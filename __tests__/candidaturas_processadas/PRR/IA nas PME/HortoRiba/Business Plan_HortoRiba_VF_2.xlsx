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esktop\PROJETOS\IFIC\IA nas PME\HortoRiba\"/>
    </mc:Choice>
  </mc:AlternateContent>
  <xr:revisionPtr revIDLastSave="0" documentId="13_ncr:1_{D6E412FE-ADDC-4C90-9EFB-70FA8A314254}" xr6:coauthVersionLast="47" xr6:coauthVersionMax="47" xr10:uidLastSave="{00000000-0000-0000-0000-000000000000}"/>
  <bookViews>
    <workbookView xWindow="28680" yWindow="-120" windowWidth="29040" windowHeight="15720" tabRatio="832" firstSheet="6" activeTab="11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  <definedName name="_xlnm.Print_Area" localSheetId="5">'63_G. Pess.'!$A$1:$I$25</definedName>
    <definedName name="_xlnm.Print_Area" localSheetId="12">'Balanço SNC'!$A$1:$I$75</definedName>
    <definedName name="_xlnm.Print_Area" localSheetId="4">'Capital Circulante'!$A$1:$G$30</definedName>
    <definedName name="_xlnm.Print_Area" localSheetId="11">'DR SNC'!$A$1:$J$41</definedName>
    <definedName name="_xlnm.Print_Area" localSheetId="3">'Fornecimento  Serviços Externos'!$A$1:$I$19</definedName>
    <definedName name="_xlnm.Print_Area" localSheetId="9">'MEIOS LIBERTOS PROJETO'!$A$1:$F$26</definedName>
    <definedName name="_xlnm.Print_Area" localSheetId="1">Pressupostos!$A$1:$N$32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7" l="1"/>
  <c r="J45" i="57"/>
  <c r="J49" i="57"/>
  <c r="I47" i="57"/>
  <c r="I42" i="57"/>
  <c r="G15" i="54" l="1"/>
  <c r="F15" i="54"/>
  <c r="E15" i="54"/>
  <c r="E54" i="58"/>
  <c r="I54" i="58"/>
  <c r="H54" i="58"/>
  <c r="G54" i="58"/>
  <c r="F54" i="58"/>
  <c r="G46" i="58"/>
  <c r="F46" i="58"/>
  <c r="E46" i="58"/>
  <c r="F17" i="58"/>
  <c r="G17" i="58" s="1"/>
  <c r="H17" i="58" s="1"/>
  <c r="I17" i="58" s="1"/>
  <c r="E17" i="58"/>
  <c r="I33" i="58"/>
  <c r="H33" i="58"/>
  <c r="G33" i="58"/>
  <c r="F33" i="58"/>
  <c r="E33" i="58"/>
  <c r="F32" i="58"/>
  <c r="E32" i="58"/>
  <c r="D11" i="58"/>
  <c r="D15" i="54"/>
  <c r="C44" i="57"/>
  <c r="J16" i="57"/>
  <c r="I16" i="57"/>
  <c r="H16" i="57"/>
  <c r="G16" i="57"/>
  <c r="B18" i="40"/>
  <c r="R18" i="61"/>
  <c r="Q18" i="61"/>
  <c r="P18" i="61"/>
  <c r="O18" i="61"/>
  <c r="G18" i="61" s="1"/>
  <c r="R17" i="61"/>
  <c r="G17" i="61"/>
  <c r="B18" i="61"/>
  <c r="B17" i="61"/>
  <c r="G4" i="54"/>
  <c r="R16" i="61"/>
  <c r="G16" i="61"/>
  <c r="B16" i="61"/>
  <c r="B8" i="61"/>
  <c r="R15" i="61"/>
  <c r="G15" i="61"/>
  <c r="B15" i="61"/>
  <c r="D6" i="61"/>
  <c r="G3" i="54"/>
  <c r="E3" i="54"/>
  <c r="B22" i="25"/>
  <c r="H15" i="54" l="1"/>
  <c r="I15" i="54" s="1"/>
  <c r="M31" i="57"/>
  <c r="B44" i="57"/>
  <c r="B45" i="57"/>
  <c r="E55" i="58"/>
  <c r="F55" i="58" s="1"/>
  <c r="G55" i="58" s="1"/>
  <c r="H55" i="58" s="1"/>
  <c r="I55" i="58" s="1"/>
  <c r="E36" i="58"/>
  <c r="F36" i="58" s="1"/>
  <c r="G36" i="58" s="1"/>
  <c r="H36" i="58" s="1"/>
  <c r="I36" i="58" s="1"/>
  <c r="D22" i="58"/>
  <c r="E20" i="58"/>
  <c r="F20" i="58" s="1"/>
  <c r="G20" i="58" s="1"/>
  <c r="H20" i="58" s="1"/>
  <c r="I20" i="58" s="1"/>
  <c r="E19" i="58"/>
  <c r="F19" i="58" s="1"/>
  <c r="G19" i="58" s="1"/>
  <c r="H19" i="58" s="1"/>
  <c r="I19" i="58" s="1"/>
  <c r="E18" i="58"/>
  <c r="F18" i="58" s="1"/>
  <c r="G18" i="58" s="1"/>
  <c r="H18" i="58" s="1"/>
  <c r="I18" i="58" s="1"/>
  <c r="E9" i="58"/>
  <c r="F9" i="58" s="1"/>
  <c r="G9" i="58" s="1"/>
  <c r="H9" i="58" s="1"/>
  <c r="I9" i="58" s="1"/>
  <c r="E7" i="58"/>
  <c r="F7" i="58" s="1"/>
  <c r="G7" i="58" s="1"/>
  <c r="H7" i="58" s="1"/>
  <c r="I7" i="58" s="1"/>
  <c r="I20" i="40"/>
  <c r="H20" i="40"/>
  <c r="G20" i="40"/>
  <c r="F20" i="40"/>
  <c r="E20" i="40"/>
  <c r="L20" i="40"/>
  <c r="D20" i="40"/>
  <c r="O16" i="61"/>
  <c r="D2" i="19"/>
  <c r="C45" i="57"/>
  <c r="E30" i="58" l="1"/>
  <c r="F30" i="58" s="1"/>
  <c r="G30" i="58" s="1"/>
  <c r="H30" i="58" s="1"/>
  <c r="I30" i="58" s="1"/>
  <c r="H3" i="45"/>
  <c r="G3" i="45"/>
  <c r="J30" i="57"/>
  <c r="I30" i="57"/>
  <c r="H30" i="57"/>
  <c r="G30" i="57"/>
  <c r="F30" i="57"/>
  <c r="E11" i="57"/>
  <c r="B48" i="57" s="1"/>
  <c r="Q16" i="61"/>
  <c r="T18" i="61"/>
  <c r="N18" i="61"/>
  <c r="Q17" i="61"/>
  <c r="P17" i="61"/>
  <c r="T17" i="61"/>
  <c r="O17" i="61"/>
  <c r="N17" i="61"/>
  <c r="O15" i="61"/>
  <c r="P15" i="61"/>
  <c r="Q15" i="61"/>
  <c r="D14" i="19"/>
  <c r="E14" i="19" s="1"/>
  <c r="F14" i="19" s="1"/>
  <c r="G14" i="19" s="1"/>
  <c r="H14" i="19" s="1"/>
  <c r="I14" i="19" s="1"/>
  <c r="J14" i="19" s="1"/>
  <c r="K14" i="19" s="1"/>
  <c r="L14" i="19" s="1"/>
  <c r="E13" i="19"/>
  <c r="F13" i="19" s="1"/>
  <c r="G13" i="19" s="1"/>
  <c r="H13" i="19" s="1"/>
  <c r="I13" i="19" s="1"/>
  <c r="J13" i="19" s="1"/>
  <c r="K13" i="19" s="1"/>
  <c r="L13" i="19" s="1"/>
  <c r="D15" i="19"/>
  <c r="E15" i="19" s="1"/>
  <c r="F15" i="19" s="1"/>
  <c r="G15" i="19" s="1"/>
  <c r="H15" i="19" s="1"/>
  <c r="I15" i="19" s="1"/>
  <c r="J15" i="19" s="1"/>
  <c r="K15" i="19" s="1"/>
  <c r="L15" i="19" s="1"/>
  <c r="D13" i="19"/>
  <c r="E12" i="19"/>
  <c r="F12" i="19" s="1"/>
  <c r="G12" i="19" s="1"/>
  <c r="H12" i="19" s="1"/>
  <c r="I12" i="19" s="1"/>
  <c r="J12" i="19" s="1"/>
  <c r="K12" i="19" s="1"/>
  <c r="L12" i="19" s="1"/>
  <c r="D12" i="19"/>
  <c r="C18" i="19"/>
  <c r="E12" i="57" s="1"/>
  <c r="B49" i="57" s="1"/>
  <c r="D8" i="19"/>
  <c r="E8" i="19" s="1"/>
  <c r="F8" i="19" s="1"/>
  <c r="G8" i="19" s="1"/>
  <c r="H8" i="19" s="1"/>
  <c r="I8" i="19" s="1"/>
  <c r="J8" i="19" s="1"/>
  <c r="K8" i="19" s="1"/>
  <c r="L8" i="19" s="1"/>
  <c r="D7" i="19"/>
  <c r="E7" i="19" s="1"/>
  <c r="F7" i="19" s="1"/>
  <c r="G7" i="19" s="1"/>
  <c r="H7" i="19" s="1"/>
  <c r="I7" i="19" s="1"/>
  <c r="J7" i="19" s="1"/>
  <c r="K7" i="19" s="1"/>
  <c r="L7" i="19" s="1"/>
  <c r="D5" i="19"/>
  <c r="E5" i="19" s="1"/>
  <c r="F5" i="19" s="1"/>
  <c r="G5" i="19" s="1"/>
  <c r="H5" i="19" s="1"/>
  <c r="I5" i="19" s="1"/>
  <c r="J5" i="19" s="1"/>
  <c r="K5" i="19" s="1"/>
  <c r="L5" i="19" s="1"/>
  <c r="D3" i="19"/>
  <c r="E3" i="19" s="1"/>
  <c r="F3" i="19" s="1"/>
  <c r="G3" i="19" s="1"/>
  <c r="H3" i="19" s="1"/>
  <c r="I3" i="19" s="1"/>
  <c r="J3" i="19" s="1"/>
  <c r="K3" i="19" s="1"/>
  <c r="L3" i="19" s="1"/>
  <c r="B51" i="57" l="1"/>
  <c r="H18" i="61"/>
  <c r="I18" i="61" s="1"/>
  <c r="H17" i="61"/>
  <c r="I17" i="61" s="1"/>
  <c r="E4" i="54"/>
  <c r="F4" i="54" s="1"/>
  <c r="F3" i="54"/>
  <c r="G3" i="60" l="1"/>
  <c r="C15" i="54"/>
  <c r="P16" i="61"/>
  <c r="O10" i="61"/>
  <c r="P10" i="61"/>
  <c r="Q10" i="61"/>
  <c r="R10" i="61"/>
  <c r="N10" i="61"/>
  <c r="E10" i="61" s="1"/>
  <c r="O9" i="61"/>
  <c r="P9" i="61"/>
  <c r="Q9" i="61"/>
  <c r="R9" i="61"/>
  <c r="N9" i="61"/>
  <c r="E9" i="61" s="1"/>
  <c r="P8" i="61"/>
  <c r="Q8" i="61"/>
  <c r="R8" i="61"/>
  <c r="O8" i="61"/>
  <c r="F8" i="61" s="1"/>
  <c r="N7" i="61"/>
  <c r="E7" i="61" s="1"/>
  <c r="F7" i="61" s="1"/>
  <c r="C14" i="61"/>
  <c r="C5" i="61"/>
  <c r="N6" i="61"/>
  <c r="E6" i="61" s="1"/>
  <c r="F6" i="61" s="1"/>
  <c r="O6" i="61"/>
  <c r="P6" i="61"/>
  <c r="Q6" i="61"/>
  <c r="D5" i="61"/>
  <c r="G6" i="61" l="1"/>
  <c r="H6" i="61" s="1"/>
  <c r="I6" i="61" s="1"/>
  <c r="J6" i="61" s="1"/>
  <c r="H3" i="60"/>
  <c r="E13" i="57"/>
  <c r="F13" i="57"/>
  <c r="G8" i="61"/>
  <c r="H8" i="61" s="1"/>
  <c r="I8" i="61" s="1"/>
  <c r="F10" i="61"/>
  <c r="F9" i="61"/>
  <c r="G9" i="61" s="1"/>
  <c r="H9" i="61" s="1"/>
  <c r="I9" i="61" s="1"/>
  <c r="G10" i="61"/>
  <c r="H10" i="61" s="1"/>
  <c r="I10" i="61" s="1"/>
  <c r="P20" i="61"/>
  <c r="H21" i="57" s="1"/>
  <c r="S16" i="61"/>
  <c r="M20" i="61"/>
  <c r="J20" i="40"/>
  <c r="K20" i="40"/>
  <c r="C18" i="40"/>
  <c r="C21" i="40" s="1"/>
  <c r="D18" i="40" s="1"/>
  <c r="D21" i="40" l="1"/>
  <c r="E18" i="40" s="1"/>
  <c r="E21" i="40" s="1"/>
  <c r="F18" i="40" s="1"/>
  <c r="D19" i="40"/>
  <c r="G27" i="57" s="1"/>
  <c r="F27" i="57"/>
  <c r="D4" i="19"/>
  <c r="E4" i="19" s="1"/>
  <c r="F4" i="19" s="1"/>
  <c r="G4" i="19" s="1"/>
  <c r="H4" i="19" s="1"/>
  <c r="I4" i="19" s="1"/>
  <c r="J4" i="19" s="1"/>
  <c r="K4" i="19" s="1"/>
  <c r="L4" i="19" s="1"/>
  <c r="D11" i="19"/>
  <c r="E11" i="19" s="1"/>
  <c r="F11" i="19" s="1"/>
  <c r="G11" i="19" s="1"/>
  <c r="H11" i="19" s="1"/>
  <c r="I11" i="19" s="1"/>
  <c r="J11" i="19" s="1"/>
  <c r="K11" i="19" s="1"/>
  <c r="L11" i="19" s="1"/>
  <c r="D10" i="19"/>
  <c r="E10" i="19" s="1"/>
  <c r="F10" i="19" s="1"/>
  <c r="G10" i="19" s="1"/>
  <c r="H10" i="19" s="1"/>
  <c r="I10" i="19" s="1"/>
  <c r="J10" i="19" s="1"/>
  <c r="K10" i="19" s="1"/>
  <c r="L10" i="19" s="1"/>
  <c r="D9" i="19"/>
  <c r="E9" i="19" s="1"/>
  <c r="F9" i="19" s="1"/>
  <c r="G9" i="19" s="1"/>
  <c r="H9" i="19" s="1"/>
  <c r="I9" i="19" s="1"/>
  <c r="J9" i="19" s="1"/>
  <c r="K9" i="19" s="1"/>
  <c r="L9" i="19" s="1"/>
  <c r="D6" i="19"/>
  <c r="E6" i="19" s="1"/>
  <c r="F6" i="19" s="1"/>
  <c r="G6" i="19" s="1"/>
  <c r="H6" i="19" s="1"/>
  <c r="I6" i="19" s="1"/>
  <c r="J6" i="19" s="1"/>
  <c r="K6" i="19" s="1"/>
  <c r="L6" i="19" s="1"/>
  <c r="E2" i="19"/>
  <c r="F2" i="19" s="1"/>
  <c r="G2" i="19" s="1"/>
  <c r="H2" i="19" s="1"/>
  <c r="I2" i="19" s="1"/>
  <c r="J2" i="19" s="1"/>
  <c r="K2" i="19" s="1"/>
  <c r="L2" i="19" s="1"/>
  <c r="E19" i="40" l="1"/>
  <c r="H27" i="57" s="1"/>
  <c r="F21" i="40"/>
  <c r="G18" i="40" s="1"/>
  <c r="F19" i="40"/>
  <c r="I27" i="57" s="1"/>
  <c r="B13" i="62"/>
  <c r="G19" i="40" l="1"/>
  <c r="J27" i="57" s="1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B17" i="45"/>
  <c r="H21" i="40" l="1"/>
  <c r="I18" i="40" s="1"/>
  <c r="H19" i="40"/>
  <c r="B5" i="45"/>
  <c r="C5" i="45"/>
  <c r="I21" i="40" l="1"/>
  <c r="J18" i="40" s="1"/>
  <c r="J21" i="40" s="1"/>
  <c r="I19" i="40"/>
  <c r="B17" i="60"/>
  <c r="D14" i="61"/>
  <c r="C13" i="62"/>
  <c r="B11" i="58"/>
  <c r="B6" i="44" l="1"/>
  <c r="K18" i="40"/>
  <c r="J19" i="40"/>
  <c r="D20" i="61"/>
  <c r="B7" i="45"/>
  <c r="E8" i="60"/>
  <c r="E18" i="25" s="1"/>
  <c r="C8" i="60"/>
  <c r="C18" i="25" s="1"/>
  <c r="F8" i="60"/>
  <c r="F18" i="25" s="1"/>
  <c r="G8" i="60"/>
  <c r="G18" i="25" s="1"/>
  <c r="D8" i="60"/>
  <c r="D18" i="25" s="1"/>
  <c r="H8" i="60"/>
  <c r="H18" i="25" s="1"/>
  <c r="C19" i="57"/>
  <c r="C24" i="57" s="1"/>
  <c r="C29" i="57" s="1"/>
  <c r="C32" i="57" s="1"/>
  <c r="B22" i="58"/>
  <c r="B24" i="58" s="1"/>
  <c r="B41" i="58"/>
  <c r="B49" i="58"/>
  <c r="D49" i="58"/>
  <c r="B57" i="58"/>
  <c r="D57" i="58"/>
  <c r="G11" i="57" l="1"/>
  <c r="E9" i="60"/>
  <c r="F7" i="57"/>
  <c r="F11" i="57"/>
  <c r="D9" i="60"/>
  <c r="G9" i="60"/>
  <c r="H13" i="25"/>
  <c r="H9" i="60"/>
  <c r="F9" i="60"/>
  <c r="G7" i="57"/>
  <c r="H11" i="57"/>
  <c r="H7" i="57"/>
  <c r="J7" i="57"/>
  <c r="J11" i="57"/>
  <c r="E20" i="60"/>
  <c r="I7" i="57"/>
  <c r="I11" i="57"/>
  <c r="C48" i="57" s="1"/>
  <c r="D20" i="60"/>
  <c r="E13" i="60"/>
  <c r="E12" i="60"/>
  <c r="E14" i="60"/>
  <c r="E15" i="60"/>
  <c r="E16" i="60"/>
  <c r="G3" i="25"/>
  <c r="I16" i="58" s="1"/>
  <c r="H3" i="25"/>
  <c r="E13" i="25"/>
  <c r="E3" i="25"/>
  <c r="G16" i="58" s="1"/>
  <c r="F3" i="25"/>
  <c r="H16" i="58" s="1"/>
  <c r="D3" i="25"/>
  <c r="F16" i="58" s="1"/>
  <c r="C3" i="25"/>
  <c r="E16" i="58" s="1"/>
  <c r="C13" i="25"/>
  <c r="K21" i="40"/>
  <c r="K19" i="40"/>
  <c r="B60" i="58"/>
  <c r="B63" i="58" s="1"/>
  <c r="B65" i="58" s="1"/>
  <c r="C7" i="45"/>
  <c r="C66" i="58"/>
  <c r="D60" i="58"/>
  <c r="B66" i="58"/>
  <c r="C65" i="58"/>
  <c r="D24" i="58"/>
  <c r="G17" i="57" l="1"/>
  <c r="H17" i="57"/>
  <c r="I17" i="57" s="1"/>
  <c r="J17" i="57" s="1"/>
  <c r="C41" i="57"/>
  <c r="C46" i="57" s="1"/>
  <c r="F13" i="25"/>
  <c r="F16" i="25" s="1"/>
  <c r="D13" i="25"/>
  <c r="G13" i="25"/>
  <c r="L21" i="40"/>
  <c r="L19" i="40"/>
  <c r="D7" i="45"/>
  <c r="B7" i="44"/>
  <c r="D3" i="40"/>
  <c r="E3" i="40" s="1"/>
  <c r="F3" i="40" s="1"/>
  <c r="G3" i="40" s="1"/>
  <c r="H3" i="40" s="1"/>
  <c r="I3" i="40" s="1"/>
  <c r="J3" i="40" s="1"/>
  <c r="K3" i="40" s="1"/>
  <c r="L3" i="40" s="1"/>
  <c r="E2" i="61"/>
  <c r="E7" i="45" l="1"/>
  <c r="E18" i="19"/>
  <c r="I18" i="19"/>
  <c r="F18" i="19"/>
  <c r="G14" i="61"/>
  <c r="G8" i="58" s="1"/>
  <c r="J18" i="19"/>
  <c r="K18" i="19"/>
  <c r="L18" i="19"/>
  <c r="H18" i="19"/>
  <c r="G18" i="19"/>
  <c r="D18" i="19"/>
  <c r="F12" i="57" l="1"/>
  <c r="D19" i="19"/>
  <c r="K21" i="19"/>
  <c r="G12" i="57"/>
  <c r="E21" i="19"/>
  <c r="J21" i="19"/>
  <c r="I21" i="19"/>
  <c r="H12" i="57"/>
  <c r="F21" i="19"/>
  <c r="I12" i="57"/>
  <c r="G21" i="19"/>
  <c r="J12" i="57"/>
  <c r="H21" i="19"/>
  <c r="L21" i="19"/>
  <c r="B8" i="60"/>
  <c r="H16" i="61"/>
  <c r="I16" i="61" s="1"/>
  <c r="F7" i="45"/>
  <c r="C49" i="57" l="1"/>
  <c r="C51" i="57" s="1"/>
  <c r="C52" i="57" s="1"/>
  <c r="E7" i="57"/>
  <c r="C9" i="60"/>
  <c r="B13" i="25"/>
  <c r="F20" i="61"/>
  <c r="C3" i="45" s="1"/>
  <c r="F14" i="61"/>
  <c r="F8" i="58" s="1"/>
  <c r="G7" i="45"/>
  <c r="B56" i="57" l="1"/>
  <c r="B41" i="57"/>
  <c r="B46" i="57" s="1"/>
  <c r="B52" i="57" s="1"/>
  <c r="B63" i="57" s="1"/>
  <c r="E19" i="57"/>
  <c r="E24" i="57" s="1"/>
  <c r="E29" i="57" s="1"/>
  <c r="E32" i="57" s="1"/>
  <c r="D38" i="58" s="1"/>
  <c r="D41" i="58" s="1"/>
  <c r="G20" i="61"/>
  <c r="D3" i="45" s="1"/>
  <c r="H7" i="45"/>
  <c r="E17" i="60"/>
  <c r="H15" i="61"/>
  <c r="B55" i="57" l="1"/>
  <c r="C58" i="57" s="1"/>
  <c r="E35" i="58"/>
  <c r="I15" i="61"/>
  <c r="I14" i="61" s="1"/>
  <c r="I8" i="58" s="1"/>
  <c r="H14" i="61"/>
  <c r="H8" i="58" s="1"/>
  <c r="Q20" i="61"/>
  <c r="I21" i="57" s="1"/>
  <c r="H20" i="61"/>
  <c r="E3" i="45" s="1"/>
  <c r="R20" i="61"/>
  <c r="J21" i="57" s="1"/>
  <c r="B11" i="62"/>
  <c r="C11" i="62"/>
  <c r="D63" i="58" l="1"/>
  <c r="D65" i="58" s="1"/>
  <c r="D66" i="58"/>
  <c r="C19" i="62"/>
  <c r="H8" i="57" s="1"/>
  <c r="C16" i="62"/>
  <c r="C20" i="62" s="1"/>
  <c r="C18" i="62"/>
  <c r="B18" i="62"/>
  <c r="B16" i="62"/>
  <c r="B20" i="62" s="1"/>
  <c r="B19" i="62"/>
  <c r="I20" i="61"/>
  <c r="F3" i="45" s="1"/>
  <c r="B15" i="62"/>
  <c r="J14" i="61" l="1"/>
  <c r="S20" i="61"/>
  <c r="I3" i="44" s="1"/>
  <c r="D18" i="62"/>
  <c r="G8" i="57"/>
  <c r="D19" i="62"/>
  <c r="C11" i="45"/>
  <c r="D11" i="45"/>
  <c r="G32" i="58" l="1"/>
  <c r="H32" i="58" s="1"/>
  <c r="I32" i="58" s="1"/>
  <c r="D20" i="62"/>
  <c r="B5" i="40"/>
  <c r="C5" i="40" s="1"/>
  <c r="C14" i="45" s="1"/>
  <c r="B21" i="62"/>
  <c r="C21" i="62"/>
  <c r="G4" i="37"/>
  <c r="H4" i="37"/>
  <c r="D5" i="40" l="1"/>
  <c r="D21" i="62"/>
  <c r="F7" i="40"/>
  <c r="E5" i="45" s="1"/>
  <c r="J7" i="40"/>
  <c r="E5" i="40"/>
  <c r="E7" i="40"/>
  <c r="D5" i="45" s="1"/>
  <c r="G7" i="40"/>
  <c r="F5" i="45" s="1"/>
  <c r="K7" i="40"/>
  <c r="I7" i="40"/>
  <c r="H5" i="45" s="1"/>
  <c r="H7" i="40"/>
  <c r="G5" i="45" s="1"/>
  <c r="L7" i="40"/>
  <c r="B11" i="54" l="1"/>
  <c r="H3" i="44"/>
  <c r="F2" i="61"/>
  <c r="G2" i="61" s="1"/>
  <c r="H2" i="61" s="1"/>
  <c r="I2" i="61" s="1"/>
  <c r="J2" i="61" s="1"/>
  <c r="B3" i="25" l="1"/>
  <c r="D11" i="54"/>
  <c r="C11" i="54"/>
  <c r="D6" i="35" l="1"/>
  <c r="B6" i="25"/>
  <c r="B6" i="35"/>
  <c r="C6" i="35"/>
  <c r="B8" i="35" l="1"/>
  <c r="E6" i="58"/>
  <c r="E5" i="61" l="1"/>
  <c r="G3" i="35"/>
  <c r="G4" i="35" s="1"/>
  <c r="E6" i="35"/>
  <c r="F6" i="35"/>
  <c r="F6" i="58"/>
  <c r="F11" i="58" s="1"/>
  <c r="B24" i="44"/>
  <c r="B25" i="44" s="1"/>
  <c r="B26" i="44" s="1"/>
  <c r="B27" i="44" s="1"/>
  <c r="A24" i="44"/>
  <c r="A25" i="44" s="1"/>
  <c r="A26" i="44" s="1"/>
  <c r="A27" i="44" s="1"/>
  <c r="D1" i="44"/>
  <c r="E1" i="44" s="1"/>
  <c r="F1" i="44" s="1"/>
  <c r="G1" i="44" s="1"/>
  <c r="H1" i="44" s="1"/>
  <c r="I1" i="44" s="1"/>
  <c r="G15" i="25"/>
  <c r="G16" i="25" s="1"/>
  <c r="H15" i="25"/>
  <c r="H16" i="25" s="1"/>
  <c r="G4" i="25"/>
  <c r="H4" i="25"/>
  <c r="G6" i="35" l="1"/>
  <c r="G6" i="58"/>
  <c r="G11" i="58" s="1"/>
  <c r="C6" i="40"/>
  <c r="D14" i="54"/>
  <c r="E14" i="54" s="1"/>
  <c r="F14" i="54" s="1"/>
  <c r="G14" i="54" s="1"/>
  <c r="H14" i="54" s="1"/>
  <c r="I14" i="54" s="1"/>
  <c r="D1" i="19"/>
  <c r="E1" i="19" s="1"/>
  <c r="F1" i="19" s="1"/>
  <c r="G1" i="19" s="1"/>
  <c r="H1" i="19" s="1"/>
  <c r="I1" i="19" s="1"/>
  <c r="J1" i="19" s="1"/>
  <c r="K1" i="19" s="1"/>
  <c r="L1" i="19" s="1"/>
  <c r="C1" i="60"/>
  <c r="H6" i="35" l="1"/>
  <c r="H3" i="35"/>
  <c r="H4" i="35" s="1"/>
  <c r="B9" i="35"/>
  <c r="H6" i="58" l="1"/>
  <c r="H11" i="58" s="1"/>
  <c r="G2" i="25"/>
  <c r="E11" i="54"/>
  <c r="I11" i="58" l="1"/>
  <c r="J5" i="61"/>
  <c r="H2" i="25"/>
  <c r="E14" i="45"/>
  <c r="F14" i="45"/>
  <c r="B3" i="35" l="1"/>
  <c r="F3" i="44" l="1"/>
  <c r="G3" i="44"/>
  <c r="E3" i="44"/>
  <c r="N2" i="61"/>
  <c r="O2" i="61" s="1"/>
  <c r="P2" i="61" s="1"/>
  <c r="Q2" i="61" s="1"/>
  <c r="R2" i="61" s="1"/>
  <c r="S2" i="61" s="1"/>
  <c r="T2" i="61" s="1"/>
  <c r="D1" i="60" l="1"/>
  <c r="E1" i="60" s="1"/>
  <c r="F1" i="60" s="1"/>
  <c r="G1" i="60" s="1"/>
  <c r="H1" i="60" s="1"/>
  <c r="F11" i="54" l="1"/>
  <c r="G11" i="54"/>
  <c r="H13" i="57" l="1"/>
  <c r="G13" i="57"/>
  <c r="B7" i="35"/>
  <c r="I13" i="57" l="1"/>
  <c r="G7" i="35"/>
  <c r="C7" i="35"/>
  <c r="E7" i="35"/>
  <c r="F7" i="35"/>
  <c r="D7" i="35"/>
  <c r="F2" i="58"/>
  <c r="G2" i="58" s="1"/>
  <c r="H2" i="58" s="1"/>
  <c r="I2" i="58" s="1"/>
  <c r="J2" i="58" s="1"/>
  <c r="K2" i="58" s="1"/>
  <c r="H7" i="35" l="1"/>
  <c r="J13" i="57"/>
  <c r="C3" i="37"/>
  <c r="D3" i="37" s="1"/>
  <c r="E3" i="37" s="1"/>
  <c r="F3" i="37" s="1"/>
  <c r="G3" i="37" s="1"/>
  <c r="H3" i="37" s="1"/>
  <c r="D14" i="45" l="1"/>
  <c r="B4" i="35" l="1"/>
  <c r="C1" i="35"/>
  <c r="D1" i="35" s="1"/>
  <c r="C8" i="40" l="1"/>
  <c r="F15" i="25"/>
  <c r="E15" i="25"/>
  <c r="D15" i="25"/>
  <c r="C15" i="25"/>
  <c r="C12" i="25"/>
  <c r="D6" i="40" l="1"/>
  <c r="E49" i="58"/>
  <c r="C9" i="35" l="1"/>
  <c r="D8" i="40"/>
  <c r="C1" i="25"/>
  <c r="E8" i="40" l="1"/>
  <c r="F49" i="58"/>
  <c r="E6" i="40" l="1"/>
  <c r="F5" i="40"/>
  <c r="F6" i="40" s="1"/>
  <c r="E9" i="35" s="1"/>
  <c r="D9" i="35" l="1"/>
  <c r="F8" i="40"/>
  <c r="D4" i="32"/>
  <c r="D2" i="32"/>
  <c r="G5" i="40" l="1"/>
  <c r="G6" i="40" s="1"/>
  <c r="B16" i="25"/>
  <c r="B4" i="25"/>
  <c r="E14" i="58" s="1"/>
  <c r="G8" i="40" l="1"/>
  <c r="C6" i="25"/>
  <c r="C8" i="35"/>
  <c r="F9" i="35"/>
  <c r="B2" i="25"/>
  <c r="B7" i="25" s="1"/>
  <c r="B8" i="25" s="1"/>
  <c r="H5" i="40" l="1"/>
  <c r="H6" i="40" s="1"/>
  <c r="G19" i="57"/>
  <c r="D1" i="25"/>
  <c r="E1" i="25" s="1"/>
  <c r="F1" i="25" s="1"/>
  <c r="G1" i="25" s="1"/>
  <c r="H1" i="25" s="1"/>
  <c r="D12" i="25"/>
  <c r="E12" i="25" s="1"/>
  <c r="F12" i="25" s="1"/>
  <c r="G12" i="25" s="1"/>
  <c r="H12" i="25" s="1"/>
  <c r="H8" i="40" l="1"/>
  <c r="G9" i="35"/>
  <c r="G49" i="58"/>
  <c r="I5" i="40" l="1"/>
  <c r="I8" i="40" s="1"/>
  <c r="H49" i="58"/>
  <c r="I6" i="40" l="1"/>
  <c r="H9" i="35" s="1"/>
  <c r="J5" i="40"/>
  <c r="I49" i="58"/>
  <c r="J8" i="40" l="1"/>
  <c r="K5" i="40" s="1"/>
  <c r="J6" i="40"/>
  <c r="C1" i="45"/>
  <c r="D1" i="45" s="1"/>
  <c r="E1" i="45" s="1"/>
  <c r="F1" i="45" s="1"/>
  <c r="G1" i="45" s="1"/>
  <c r="H1" i="45" s="1"/>
  <c r="K6" i="40" l="1"/>
  <c r="K8" i="40"/>
  <c r="L5" i="40" s="1"/>
  <c r="F3" i="32"/>
  <c r="H3" i="32" s="1"/>
  <c r="J3" i="32" s="1"/>
  <c r="L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L6" i="40" l="1"/>
  <c r="L8" i="40"/>
  <c r="E4" i="32"/>
  <c r="D3" i="35" l="1"/>
  <c r="F4" i="32"/>
  <c r="D6" i="25" l="1"/>
  <c r="D8" i="35"/>
  <c r="G4" i="32"/>
  <c r="H4" i="32" s="1"/>
  <c r="E6" i="25" l="1"/>
  <c r="H19" i="57"/>
  <c r="H24" i="57" s="1"/>
  <c r="H29" i="57" s="1"/>
  <c r="H31" i="57" s="1"/>
  <c r="G53" i="58" s="1"/>
  <c r="E8" i="35"/>
  <c r="F3" i="35"/>
  <c r="F4" i="35" s="1"/>
  <c r="I4" i="32"/>
  <c r="D16" i="25"/>
  <c r="D4" i="25"/>
  <c r="G14" i="58" s="1"/>
  <c r="E3" i="35"/>
  <c r="F6" i="25" l="1"/>
  <c r="F8" i="35"/>
  <c r="I19" i="57"/>
  <c r="I24" i="57" s="1"/>
  <c r="I29" i="57" s="1"/>
  <c r="J4" i="32"/>
  <c r="E4" i="35"/>
  <c r="E16" i="25"/>
  <c r="D2" i="25"/>
  <c r="D4" i="35"/>
  <c r="I31" i="57" l="1"/>
  <c r="H53" i="58" s="1"/>
  <c r="G8" i="35"/>
  <c r="K19" i="57"/>
  <c r="G6" i="25"/>
  <c r="J19" i="57"/>
  <c r="J24" i="57" s="1"/>
  <c r="J29" i="57" s="1"/>
  <c r="J31" i="57" s="1"/>
  <c r="I53" i="58" s="1"/>
  <c r="K4" i="32"/>
  <c r="E4" i="25"/>
  <c r="E2" i="25" l="1"/>
  <c r="H14" i="58"/>
  <c r="G12" i="45"/>
  <c r="H8" i="35"/>
  <c r="L19" i="57"/>
  <c r="H6" i="25"/>
  <c r="G5" i="25"/>
  <c r="G7" i="25" s="1"/>
  <c r="L4" i="32"/>
  <c r="D12" i="45"/>
  <c r="H51" i="58"/>
  <c r="E12" i="45"/>
  <c r="G5" i="37" l="1"/>
  <c r="G6" i="37" s="1"/>
  <c r="H12" i="45"/>
  <c r="H5" i="25"/>
  <c r="H7" i="25" s="1"/>
  <c r="H8" i="25" s="1"/>
  <c r="M4" i="32"/>
  <c r="N4" i="32" s="1"/>
  <c r="O4" i="32" s="1"/>
  <c r="P4" i="32" s="1"/>
  <c r="Q4" i="32" s="1"/>
  <c r="F4" i="25"/>
  <c r="F2" i="25" l="1"/>
  <c r="I14" i="58"/>
  <c r="H5" i="37"/>
  <c r="H6" i="37" s="1"/>
  <c r="G6" i="45"/>
  <c r="G10" i="35"/>
  <c r="G11" i="35" s="1"/>
  <c r="G12" i="35" s="1"/>
  <c r="H4" i="45"/>
  <c r="H13" i="45"/>
  <c r="H15" i="45" s="1"/>
  <c r="D5" i="37"/>
  <c r="F12" i="45"/>
  <c r="I51" i="58"/>
  <c r="E1" i="35"/>
  <c r="F1" i="35" s="1"/>
  <c r="G1" i="35" s="1"/>
  <c r="H1" i="35" s="1"/>
  <c r="H2" i="44" l="1"/>
  <c r="H4" i="44" s="1"/>
  <c r="H7" i="44" s="1"/>
  <c r="H6" i="45"/>
  <c r="H8" i="45" s="1"/>
  <c r="H16" i="45" s="1"/>
  <c r="H10" i="35"/>
  <c r="H11" i="35" s="1"/>
  <c r="H12" i="35" s="1"/>
  <c r="F5" i="37"/>
  <c r="E5" i="37"/>
  <c r="I2" i="44" l="1"/>
  <c r="I4" i="44" s="1"/>
  <c r="I7" i="44" s="1"/>
  <c r="F5" i="25"/>
  <c r="F7" i="25" s="1"/>
  <c r="G8" i="25" s="1"/>
  <c r="G4" i="45" s="1"/>
  <c r="H57" i="58"/>
  <c r="H60" i="58" s="1"/>
  <c r="G8" i="45" l="1"/>
  <c r="G13" i="45"/>
  <c r="G15" i="45" s="1"/>
  <c r="I57" i="58"/>
  <c r="I60" i="58" s="1"/>
  <c r="E5" i="25"/>
  <c r="G16" i="45" l="1"/>
  <c r="E7" i="25"/>
  <c r="F8" i="25" l="1"/>
  <c r="F13" i="45" l="1"/>
  <c r="F15" i="45" s="1"/>
  <c r="F4" i="45"/>
  <c r="C3" i="35" l="1"/>
  <c r="C4" i="35" s="1"/>
  <c r="C16" i="25" l="1"/>
  <c r="C4" i="25"/>
  <c r="C2" i="25" l="1"/>
  <c r="F14" i="58"/>
  <c r="F19" i="57"/>
  <c r="B12" i="45" s="1"/>
  <c r="G51" i="58"/>
  <c r="G57" i="58" s="1"/>
  <c r="G60" i="58" s="1"/>
  <c r="D5" i="25"/>
  <c r="F51" i="58" l="1"/>
  <c r="E51" i="58"/>
  <c r="B5" i="25"/>
  <c r="D7" i="25"/>
  <c r="E8" i="25" s="1"/>
  <c r="B4" i="37" l="1"/>
  <c r="B13" i="45"/>
  <c r="B15" i="45" s="1"/>
  <c r="B4" i="45"/>
  <c r="E13" i="45"/>
  <c r="E15" i="45" s="1"/>
  <c r="E4" i="45"/>
  <c r="H32" i="57" l="1"/>
  <c r="E2" i="44" s="1"/>
  <c r="C4" i="37"/>
  <c r="B4" i="44"/>
  <c r="C5" i="25"/>
  <c r="C7" i="25" s="1"/>
  <c r="B8" i="44" l="1"/>
  <c r="C22" i="44" s="1"/>
  <c r="D22" i="44" s="1"/>
  <c r="G38" i="58"/>
  <c r="I32" i="57"/>
  <c r="F2" i="44" s="1"/>
  <c r="D4" i="37"/>
  <c r="D6" i="37" s="1"/>
  <c r="D10" i="35" s="1"/>
  <c r="C8" i="25"/>
  <c r="D8" i="25"/>
  <c r="H38" i="58" l="1"/>
  <c r="E4" i="44"/>
  <c r="E7" i="44" s="1"/>
  <c r="D6" i="45"/>
  <c r="J32" i="57"/>
  <c r="E4" i="37"/>
  <c r="E6" i="37" s="1"/>
  <c r="E10" i="35" s="1"/>
  <c r="E11" i="35" s="1"/>
  <c r="E12" i="35" s="1"/>
  <c r="D13" i="45"/>
  <c r="D15" i="45" s="1"/>
  <c r="D4" i="45"/>
  <c r="C13" i="45"/>
  <c r="C4" i="45"/>
  <c r="C25" i="44" l="1"/>
  <c r="G2" i="44"/>
  <c r="G4" i="44" s="1"/>
  <c r="G7" i="44" s="1"/>
  <c r="C27" i="44" s="1"/>
  <c r="F4" i="44"/>
  <c r="F7" i="44" s="1"/>
  <c r="C26" i="44" s="1"/>
  <c r="I38" i="58"/>
  <c r="E6" i="45"/>
  <c r="F4" i="37"/>
  <c r="F6" i="37" s="1"/>
  <c r="F10" i="35" s="1"/>
  <c r="F11" i="35" s="1"/>
  <c r="F12" i="35" s="1"/>
  <c r="F6" i="45" l="1"/>
  <c r="D8" i="45" l="1"/>
  <c r="D16" i="45" s="1"/>
  <c r="E8" i="45" l="1"/>
  <c r="E16" i="45" s="1"/>
  <c r="F8" i="45" l="1"/>
  <c r="F16" i="45" s="1"/>
  <c r="C12" i="45" l="1"/>
  <c r="C15" i="45" s="1"/>
  <c r="D11" i="35" l="1"/>
  <c r="D12" i="35" s="1"/>
  <c r="E14" i="61" l="1"/>
  <c r="E20" i="61"/>
  <c r="N15" i="61"/>
  <c r="N20" i="61" s="1"/>
  <c r="F21" i="57" s="1"/>
  <c r="T15" i="61"/>
  <c r="T20" i="61" s="1"/>
  <c r="C3" i="44" l="1"/>
  <c r="F24" i="57"/>
  <c r="F29" i="57" s="1"/>
  <c r="E8" i="58"/>
  <c r="E11" i="58" s="1"/>
  <c r="F31" i="57" l="1"/>
  <c r="F32" i="57" l="1"/>
  <c r="E38" i="58" s="1"/>
  <c r="E53" i="58"/>
  <c r="E57" i="58" s="1"/>
  <c r="E60" i="58" s="1"/>
  <c r="B5" i="37"/>
  <c r="B6" i="37" s="1"/>
  <c r="C2" i="44" l="1"/>
  <c r="C4" i="44" s="1"/>
  <c r="C7" i="44" s="1"/>
  <c r="C23" i="44" s="1"/>
  <c r="D23" i="44" s="1"/>
  <c r="E41" i="58"/>
  <c r="F35" i="58"/>
  <c r="B10" i="35"/>
  <c r="B11" i="35" s="1"/>
  <c r="B12" i="35" s="1"/>
  <c r="B6" i="45"/>
  <c r="B8" i="45" s="1"/>
  <c r="B16" i="45" s="1"/>
  <c r="B18" i="45" s="1"/>
  <c r="E21" i="58" s="1"/>
  <c r="C8" i="44" l="1"/>
  <c r="E22" i="58"/>
  <c r="E24" i="58" s="1"/>
  <c r="E66" i="58" s="1"/>
  <c r="C17" i="45"/>
  <c r="E63" i="58"/>
  <c r="E65" i="58" l="1"/>
  <c r="G7" i="61" l="1"/>
  <c r="H7" i="61" s="1"/>
  <c r="O20" i="61"/>
  <c r="G21" i="57" s="1"/>
  <c r="F5" i="61"/>
  <c r="I7" i="61" l="1"/>
  <c r="I5" i="61" s="1"/>
  <c r="H5" i="61"/>
  <c r="G5" i="61"/>
  <c r="D3" i="44"/>
  <c r="G24" i="57"/>
  <c r="G29" i="57" s="1"/>
  <c r="G31" i="57" l="1"/>
  <c r="G32" i="57" l="1"/>
  <c r="D2" i="44" s="1"/>
  <c r="D4" i="44" s="1"/>
  <c r="D7" i="44" s="1"/>
  <c r="F53" i="58"/>
  <c r="F57" i="58" s="1"/>
  <c r="F60" i="58" s="1"/>
  <c r="C5" i="37"/>
  <c r="C6" i="37" s="1"/>
  <c r="F38" i="58" l="1"/>
  <c r="G35" i="58" s="1"/>
  <c r="C6" i="45"/>
  <c r="C8" i="45" s="1"/>
  <c r="C16" i="45" s="1"/>
  <c r="C18" i="45" s="1"/>
  <c r="F21" i="58" s="1"/>
  <c r="C10" i="35"/>
  <c r="C11" i="35" s="1"/>
  <c r="C12" i="35" s="1"/>
  <c r="B11" i="44"/>
  <c r="D8" i="44"/>
  <c r="E8" i="44" s="1"/>
  <c r="F8" i="44" s="1"/>
  <c r="G8" i="44" s="1"/>
  <c r="H8" i="44" s="1"/>
  <c r="I8" i="44" s="1"/>
  <c r="C24" i="44"/>
  <c r="D24" i="44" s="1"/>
  <c r="D25" i="44" s="1"/>
  <c r="D26" i="44" s="1"/>
  <c r="D27" i="44" s="1"/>
  <c r="C30" i="44" s="1"/>
  <c r="B10" i="44"/>
  <c r="F41" i="58" l="1"/>
  <c r="F63" i="58" s="1"/>
  <c r="D17" i="45"/>
  <c r="D18" i="45" s="1"/>
  <c r="G21" i="58" s="1"/>
  <c r="F22" i="58"/>
  <c r="F24" i="58" s="1"/>
  <c r="H35" i="58"/>
  <c r="G41" i="58"/>
  <c r="F65" i="58" l="1"/>
  <c r="G63" i="58"/>
  <c r="H41" i="58"/>
  <c r="I35" i="58"/>
  <c r="I41" i="58" s="1"/>
  <c r="F66" i="58"/>
  <c r="E17" i="45"/>
  <c r="E18" i="45" s="1"/>
  <c r="H21" i="58" s="1"/>
  <c r="G22" i="58"/>
  <c r="G24" i="58" s="1"/>
  <c r="G65" i="58" l="1"/>
  <c r="F17" i="45"/>
  <c r="F18" i="45" s="1"/>
  <c r="I21" i="58" s="1"/>
  <c r="H22" i="58"/>
  <c r="H24" i="58" s="1"/>
  <c r="H66" i="58" s="1"/>
  <c r="G66" i="58"/>
  <c r="I63" i="58"/>
  <c r="H63" i="58"/>
  <c r="H65" i="58" l="1"/>
  <c r="G17" i="45"/>
  <c r="G18" i="45" s="1"/>
  <c r="H17" i="45" s="1"/>
  <c r="H18" i="45" s="1"/>
  <c r="I22" i="58"/>
  <c r="I24" i="58" s="1"/>
  <c r="I65" i="58" l="1"/>
  <c r="I66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<sst xmlns="http://schemas.openxmlformats.org/spreadsheetml/2006/main" count="277" uniqueCount="234">
  <si>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</si>
  <si>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</si>
  <si>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</si>
  <si>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</si>
  <si>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</si>
  <si>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</si>
  <si>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</si>
  <si>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</si>
  <si>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</si>
  <si>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</si>
  <si>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</si>
  <si>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</si>
  <si>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</si>
  <si>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</si>
  <si>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</si>
  <si>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</si>
  <si>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</si>
  <si>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</si>
  <si>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</si>
  <si>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</si>
  <si>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</si>
  <si>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</si>
  <si>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</si>
  <si>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</si>
  <si>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</si>
  <si>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</si>
  <si>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</si>
  <si>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</si>
  <si>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</si>
  <si>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</si>
  <si>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</si>
  <si>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</si>
  <si>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</si>
  <si>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</si>
  <si>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</si>
  <si>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</si>
  <si>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</si>
  <si>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</si>
  <si>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</si>
  <si>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</si>
  <si>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</si>
  <si>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</si>
  <si>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</si>
  <si>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</si>
  <si>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</si>
  <si>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</si>
  <si>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</si>
  <si>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</si>
  <si>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</si>
  <si>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</si>
  <si>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</si>
  <si>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</si>
  <si>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</si>
  <si>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</si>
  <si>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</si>
  <si>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</si>
  <si>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</si>
  <si>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</si>
  <si>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</si>
  <si>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</si>
  <si>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</si>
  <si>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</si>
  <si>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</si>
  <si>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</si>
  <si>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</si>
  <si>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</si>
  <si>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</si>
  <si>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</si>
  <si>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</si>
  <si>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</si>
  <si>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</si>
  <si>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</si>
  <si>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PAY BACK PERIOD</t>
  </si>
  <si>
    <t>ANO</t>
  </si>
  <si>
    <t>Cash-Flows</t>
  </si>
  <si>
    <t>Payback Simples</t>
  </si>
  <si>
    <t>Cash Flows 
acumulados</t>
  </si>
  <si>
    <t>ANOS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</si>
  <si>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</si>
  <si>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</si>
  <si>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</si>
  <si>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</si>
  <si>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</si>
  <si>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</si>
  <si>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</si>
  <si>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</si>
  <si>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</si>
  <si>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</si>
  <si>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</si>
  <si>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</si>
  <si>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</si>
  <si>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</si>
  <si>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</si>
  <si>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</si>
  <si>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</si>
  <si>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</si>
  <si>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</si>
  <si>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</si>
  <si>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</si>
  <si>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</si>
  <si>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</si>
  <si>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</si>
  <si>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</si>
  <si>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</si>
  <si>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</si>
  <si>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</si>
  <si>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</si>
  <si>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</si>
  <si>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</si>
  <si>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</si>
  <si>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</si>
  <si>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</si>
  <si>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</si>
  <si>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</si>
  <si>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</si>
  <si>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</si>
  <si>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</si>
  <si>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</si>
  <si>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</si>
  <si>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</si>
  <si>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</si>
  <si>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</si>
  <si>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</si>
  <si>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</si>
  <si>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</si>
  <si>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</si>
  <si>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</si>
  <si>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</si>
  <si>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</si>
  <si>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</si>
  <si>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</si>
  <si>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</si>
  <si>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</si>
  <si>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</si>
  <si>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</si>
  <si>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</si>
  <si>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</si>
  <si>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</si>
  <si>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</si>
  <si>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</si>
  <si>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</si>
  <si>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</si>
  <si>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</si>
  <si>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</si>
  <si>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</si>
  <si>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</si>
  <si>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</si>
  <si>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</si>
  <si>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</si>
  <si>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</si>
  <si>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</si>
  <si>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</si>
  <si>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</si>
  <si>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</si>
  <si>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</si>
  <si>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</si>
  <si>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</si>
  <si>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</si>
  <si>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</si>
  <si>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</si>
  <si>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</si>
  <si>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</si>
  <si>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FSE´s PROJETO</t>
  </si>
  <si>
    <t>Valor Mês</t>
  </si>
  <si>
    <t>Adiantamentos a Fornecedores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</si>
  <si>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</si>
  <si>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</si>
  <si>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</si>
  <si>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</si>
  <si>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</si>
  <si>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</si>
  <si>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</si>
  <si>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</si>
  <si>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</si>
  <si>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Imobilizado Existente na Empresa</t>
  </si>
  <si>
    <t xml:space="preserve">TOTAL </t>
  </si>
  <si>
    <t>VOLUME DE NEGÓCIOS POR MERCADO 2022</t>
  </si>
  <si>
    <t>França</t>
  </si>
  <si>
    <t>Marrocos</t>
  </si>
  <si>
    <t>Espanha</t>
  </si>
  <si>
    <t>Novos produtos</t>
  </si>
  <si>
    <t>Produtos atuais</t>
  </si>
  <si>
    <t>621 - Subcontratos</t>
  </si>
  <si>
    <t>Técnico Informática</t>
  </si>
  <si>
    <t>Consumo de Tokens</t>
  </si>
  <si>
    <t>INVESTIMENTO
2026</t>
  </si>
  <si>
    <t>INVESTIMENTO
2027</t>
  </si>
  <si>
    <t>Contratação RH</t>
  </si>
  <si>
    <t>Validação de Despesas</t>
  </si>
  <si>
    <t>FINANCIAMENTO P2020 FUNDO PERDIDO 75% DO VALOR GLOBAL</t>
  </si>
  <si>
    <t xml:space="preserve">FINANCIAMENTO PRR GLOBAL </t>
  </si>
  <si>
    <t>FINANCIAMENTO P2020 REEMBOLSÁVEL  0% DO VALOR GLOBAL</t>
  </si>
  <si>
    <t>VBP</t>
  </si>
  <si>
    <t>Pré-Projeto</t>
  </si>
  <si>
    <t>Pós-Projeto</t>
  </si>
  <si>
    <t>Volume de Negócios</t>
  </si>
  <si>
    <t>Trabalhos para a própria entidade</t>
  </si>
  <si>
    <t>Rendimentos Suplementares</t>
  </si>
  <si>
    <t>Subsídios à Exploração</t>
  </si>
  <si>
    <t>CI</t>
  </si>
  <si>
    <t>FSE</t>
  </si>
  <si>
    <t>Impostos Indiretos</t>
  </si>
  <si>
    <t>VAB</t>
  </si>
  <si>
    <t>X</t>
  </si>
  <si>
    <t>Pré-Projeto
2024</t>
  </si>
  <si>
    <t>Pós-Projeto
2028</t>
  </si>
  <si>
    <t>Crescimento VAB</t>
  </si>
  <si>
    <t>Crescimento de 30% do VAB</t>
  </si>
  <si>
    <t xml:space="preserve">622 - Serviços Especializados  </t>
  </si>
  <si>
    <t>623 - Materiais</t>
  </si>
  <si>
    <t>624 - Energia e Fluidos</t>
  </si>
  <si>
    <t>625- Deslocações, Estadas e transportes</t>
  </si>
  <si>
    <t xml:space="preserve">626 - Serviços Diversos </t>
  </si>
  <si>
    <t>Desenvolvimento e Banco de Dados</t>
  </si>
  <si>
    <t>Licenças e Ferramentas</t>
  </si>
  <si>
    <t>Consultoria (Integração e formação)</t>
  </si>
  <si>
    <t>Outros encargos mensais</t>
  </si>
  <si>
    <t>Imparidade de dividas a receber (perdas/reversões)</t>
  </si>
  <si>
    <t>Aumentos/reduções de justo valor</t>
  </si>
  <si>
    <t>Propriedades de investimento</t>
  </si>
  <si>
    <t>Participações Financeiras - Método da equivalência patrimonial</t>
  </si>
  <si>
    <t>Estado E Outros Entes Públicos</t>
  </si>
  <si>
    <t>Outras variações no capital próprio</t>
  </si>
  <si>
    <t>Peso dos CMVMC sobre as Vendas</t>
  </si>
  <si>
    <t>Nota: Encargos patronais alterados para 21,65% por causa do IES 2024. Futuramente corrigir para 23,75%</t>
  </si>
  <si>
    <t>Imobilizado intangivel</t>
  </si>
  <si>
    <t>Aquisição de Software (MÊS "Digital Factory")</t>
  </si>
  <si>
    <t>Aquisição de Hardware (Ecrans e Impressoras)</t>
  </si>
  <si>
    <t>Licenças e Ferramentas (SaaS e APIs)</t>
  </si>
  <si>
    <t>Consultoria (Desenvolvimento e IA)</t>
  </si>
  <si>
    <t>Descontos de pronto pagamento concedidos</t>
  </si>
  <si>
    <t>Receitas suplementares</t>
  </si>
  <si>
    <t>Ativos Biológicos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</si>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</sst>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_)_€_ ;_ * \(#,##0\)_€_ ;_ * &quot;-&quot;_)_€_ ;_ @_ "/>
    <numFmt numFmtId="166" formatCode="#,##0\ &quot;€&quot;"/>
    <numFmt numFmtId="167" formatCode="0.0"/>
    <numFmt numFmtId="168" formatCode="_(* #,##0_);_(* \(#,##0\);_(* &quot;-&quot;_);_(@_)"/>
    <numFmt numFmtId="169" formatCode="#,###.00;\(#,###.00\);"/>
    <numFmt numFmtId="170" formatCode="_-* #,##0.0000\ &quot;€&quot;_-;\-* #,##0.0000\ &quot;€&quot;_-;_-* &quot;-&quot;??\ &quot;€&quot;_-;_-@_-"/>
    <numFmt numFmtId="171" formatCode="_-* #,##0.000\ &quot;€&quot;_-;\-* #,##0.000\ &quot;€&quot;_-;_-* &quot;-&quot;??\ &quot;€&quot;_-;_-@_-"/>
    <numFmt numFmtId="172" formatCode="#,##0.00\ &quot;€&quot;"/>
    <numFmt numFmtId="173" formatCode="#,##0.0000"/>
    <numFmt numFmtId="174" formatCode="_-* #,##0.00000000000\ &quot;€&quot;_-;\-* #,##0.00000000000\ &quot;€&quot;_-;_-* &quot;-&quot;??\ &quot;€&quot;_-;_-@_-"/>
    <numFmt numFmtId="175" formatCode="_-* #,##0.00000\ &quot;€&quot;_-;\-* #,##0.00000\ &quot;€&quot;_-;_-* &quot;-&quot;??\ &quot;€&quot;_-;_-@_-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9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8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6" fillId="0" borderId="0"/>
    <xf numFmtId="0" fontId="13" fillId="0" borderId="0"/>
    <xf numFmtId="0" fontId="5" fillId="0" borderId="0"/>
    <xf numFmtId="44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>
      <protection locked="0"/>
    </xf>
    <xf numFmtId="0" fontId="8" fillId="0" borderId="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23">
    <xf numFmtId="0" fontId="0" fillId="0" borderId="0" xfId="0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7" fillId="0" borderId="10" xfId="0" applyFont="1" applyBorder="1"/>
    <xf numFmtId="0" fontId="17" fillId="0" borderId="8" xfId="0" applyFont="1" applyBorder="1"/>
    <xf numFmtId="0" fontId="17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20" fillId="2" borderId="0" xfId="0" applyFont="1" applyFill="1" applyAlignment="1">
      <alignment vertical="center"/>
    </xf>
    <xf numFmtId="0" fontId="18" fillId="4" borderId="6" xfId="0" applyFont="1" applyFill="1" applyBorder="1" applyProtection="1">
      <protection hidden="1"/>
    </xf>
    <xf numFmtId="6" fontId="18" fillId="0" borderId="15" xfId="0" applyNumberFormat="1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8" fillId="5" borderId="6" xfId="0" applyFont="1" applyFill="1" applyBorder="1" applyAlignment="1">
      <alignment horizontal="left" vertical="center" indent="1"/>
    </xf>
    <xf numFmtId="0" fontId="17" fillId="0" borderId="15" xfId="0" applyFont="1" applyBorder="1" applyAlignment="1">
      <alignment vertical="center"/>
    </xf>
    <xf numFmtId="44" fontId="18" fillId="0" borderId="15" xfId="2" applyFont="1" applyBorder="1" applyAlignment="1">
      <alignment vertical="center"/>
    </xf>
    <xf numFmtId="0" fontId="8" fillId="0" borderId="0" xfId="13"/>
    <xf numFmtId="3" fontId="8" fillId="0" borderId="0" xfId="13" applyNumberFormat="1"/>
    <xf numFmtId="0" fontId="18" fillId="4" borderId="15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2" borderId="0" xfId="0" applyFont="1" applyFill="1"/>
    <xf numFmtId="10" fontId="21" fillId="0" borderId="10" xfId="4" applyNumberFormat="1" applyFont="1" applyBorder="1" applyAlignment="1">
      <alignment horizontal="center"/>
    </xf>
    <xf numFmtId="10" fontId="21" fillId="0" borderId="11" xfId="4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0" fontId="18" fillId="0" borderId="6" xfId="0" applyFont="1" applyBorder="1" applyAlignment="1" applyProtection="1">
      <alignment horizontal="right"/>
      <protection hidden="1"/>
    </xf>
    <xf numFmtId="9" fontId="18" fillId="0" borderId="0" xfId="3" applyFont="1" applyProtection="1">
      <protection hidden="1"/>
    </xf>
    <xf numFmtId="2" fontId="18" fillId="0" borderId="0" xfId="3" applyNumberFormat="1" applyFo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6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hidden="1"/>
    </xf>
    <xf numFmtId="167" fontId="24" fillId="0" borderId="0" xfId="0" applyNumberFormat="1" applyFont="1" applyAlignment="1" applyProtection="1">
      <alignment horizontal="right"/>
      <protection hidden="1"/>
    </xf>
    <xf numFmtId="0" fontId="18" fillId="0" borderId="6" xfId="0" applyFont="1" applyBorder="1" applyProtection="1">
      <protection locked="0"/>
    </xf>
    <xf numFmtId="0" fontId="18" fillId="0" borderId="0" xfId="0" applyFont="1" applyProtection="1">
      <protection locked="0"/>
    </xf>
    <xf numFmtId="9" fontId="18" fillId="0" borderId="6" xfId="0" applyNumberFormat="1" applyFont="1" applyBorder="1" applyProtection="1">
      <protection locked="0"/>
    </xf>
    <xf numFmtId="0" fontId="18" fillId="0" borderId="0" xfId="0" applyFont="1" applyProtection="1">
      <protection hidden="1"/>
    </xf>
    <xf numFmtId="9" fontId="24" fillId="0" borderId="0" xfId="3" applyFont="1" applyAlignment="1" applyProtection="1">
      <alignment horizontal="left" indent="1"/>
      <protection hidden="1"/>
    </xf>
    <xf numFmtId="9" fontId="18" fillId="0" borderId="0" xfId="0" applyNumberFormat="1" applyFont="1" applyProtection="1">
      <protection locked="0"/>
    </xf>
    <xf numFmtId="10" fontId="18" fillId="0" borderId="6" xfId="0" applyNumberFormat="1" applyFont="1" applyBorder="1" applyProtection="1">
      <protection locked="0"/>
    </xf>
    <xf numFmtId="10" fontId="18" fillId="0" borderId="0" xfId="0" applyNumberFormat="1" applyFont="1" applyProtection="1">
      <protection locked="0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6" fontId="17" fillId="0" borderId="10" xfId="0" applyNumberFormat="1" applyFont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166" fontId="17" fillId="0" borderId="15" xfId="0" applyNumberFormat="1" applyFont="1" applyBorder="1" applyAlignment="1">
      <alignment vertical="center"/>
    </xf>
    <xf numFmtId="166" fontId="18" fillId="0" borderId="0" xfId="0" applyNumberFormat="1" applyFont="1" applyAlignment="1">
      <alignment vertical="center"/>
    </xf>
    <xf numFmtId="0" fontId="26" fillId="0" borderId="0" xfId="0" applyFont="1" applyAlignment="1" applyProtection="1">
      <alignment wrapText="1"/>
      <protection hidden="1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166" fontId="18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3" fontId="18" fillId="6" borderId="0" xfId="13" applyNumberFormat="1" applyFont="1" applyFill="1"/>
    <xf numFmtId="3" fontId="18" fillId="0" borderId="0" xfId="13" applyNumberFormat="1" applyFont="1"/>
    <xf numFmtId="3" fontId="18" fillId="6" borderId="0" xfId="13" applyNumberFormat="1" applyFont="1" applyFill="1" applyAlignment="1">
      <alignment vertical="center"/>
    </xf>
    <xf numFmtId="6" fontId="18" fillId="0" borderId="15" xfId="2" applyNumberFormat="1" applyFont="1" applyBorder="1" applyAlignment="1">
      <alignment vertical="center"/>
    </xf>
    <xf numFmtId="44" fontId="18" fillId="0" borderId="15" xfId="2" applyFont="1" applyBorder="1" applyAlignment="1">
      <alignment horizontal="left" vertical="center"/>
    </xf>
    <xf numFmtId="44" fontId="17" fillId="0" borderId="15" xfId="0" applyNumberFormat="1" applyFont="1" applyBorder="1" applyAlignment="1">
      <alignment horizontal="left" vertical="center"/>
    </xf>
    <xf numFmtId="44" fontId="18" fillId="4" borderId="15" xfId="2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horizontal="left" vertical="center" indent="1"/>
    </xf>
    <xf numFmtId="6" fontId="18" fillId="4" borderId="15" xfId="0" applyNumberFormat="1" applyFont="1" applyFill="1" applyBorder="1" applyAlignment="1">
      <alignment vertical="center"/>
    </xf>
    <xf numFmtId="0" fontId="18" fillId="4" borderId="14" xfId="0" applyFont="1" applyFill="1" applyBorder="1" applyAlignment="1">
      <alignment vertical="center"/>
    </xf>
    <xf numFmtId="0" fontId="18" fillId="4" borderId="14" xfId="0" applyFont="1" applyFill="1" applyBorder="1" applyAlignment="1">
      <alignment horizontal="left" vertical="center"/>
    </xf>
    <xf numFmtId="6" fontId="17" fillId="4" borderId="15" xfId="0" applyNumberFormat="1" applyFont="1" applyFill="1" applyBorder="1" applyAlignment="1">
      <alignment vertical="center"/>
    </xf>
    <xf numFmtId="44" fontId="18" fillId="4" borderId="15" xfId="0" applyNumberFormat="1" applyFont="1" applyFill="1" applyBorder="1" applyAlignment="1">
      <alignment vertical="center"/>
    </xf>
    <xf numFmtId="6" fontId="17" fillId="4" borderId="6" xfId="0" applyNumberFormat="1" applyFont="1" applyFill="1" applyBorder="1" applyAlignment="1">
      <alignment vertical="center"/>
    </xf>
    <xf numFmtId="0" fontId="18" fillId="4" borderId="10" xfId="0" applyFont="1" applyFill="1" applyBorder="1" applyAlignment="1">
      <alignment vertical="center"/>
    </xf>
    <xf numFmtId="44" fontId="18" fillId="4" borderId="10" xfId="0" applyNumberFormat="1" applyFont="1" applyFill="1" applyBorder="1" applyAlignment="1">
      <alignment vertical="center"/>
    </xf>
    <xf numFmtId="44" fontId="18" fillId="4" borderId="15" xfId="2" applyFont="1" applyFill="1" applyBorder="1" applyAlignment="1">
      <alignment horizontal="left" vertical="center" indent="1"/>
    </xf>
    <xf numFmtId="44" fontId="17" fillId="4" borderId="15" xfId="2" applyFont="1" applyFill="1" applyBorder="1" applyAlignment="1">
      <alignment vertical="center"/>
    </xf>
    <xf numFmtId="44" fontId="17" fillId="4" borderId="15" xfId="2" applyFont="1" applyFill="1" applyBorder="1" applyAlignment="1">
      <alignment horizontal="left" vertical="center"/>
    </xf>
    <xf numFmtId="44" fontId="18" fillId="4" borderId="8" xfId="2" applyFont="1" applyFill="1" applyBorder="1" applyAlignment="1">
      <alignment horizontal="left" vertical="center"/>
    </xf>
    <xf numFmtId="44" fontId="18" fillId="4" borderId="0" xfId="2" applyFont="1" applyFill="1" applyAlignment="1">
      <alignment vertical="center"/>
    </xf>
    <xf numFmtId="10" fontId="18" fillId="2" borderId="0" xfId="0" applyNumberFormat="1" applyFont="1" applyFill="1" applyAlignment="1">
      <alignment vertical="center"/>
    </xf>
    <xf numFmtId="0" fontId="27" fillId="0" borderId="0" xfId="21" applyProtection="1"/>
    <xf numFmtId="0" fontId="8" fillId="0" borderId="0" xfId="22" applyProtection="1"/>
    <xf numFmtId="0" fontId="29" fillId="0" borderId="21" xfId="21" applyFont="1" applyBorder="1" applyProtection="1"/>
    <xf numFmtId="3" fontId="31" fillId="0" borderId="0" xfId="13" applyNumberFormat="1" applyFont="1" applyAlignment="1">
      <alignment horizontal="center"/>
    </xf>
    <xf numFmtId="3" fontId="17" fillId="4" borderId="39" xfId="13" applyNumberFormat="1" applyFont="1" applyFill="1" applyBorder="1" applyAlignment="1">
      <alignment vertical="center"/>
    </xf>
    <xf numFmtId="3" fontId="30" fillId="4" borderId="39" xfId="13" applyNumberFormat="1" applyFont="1" applyFill="1" applyBorder="1" applyAlignment="1">
      <alignment horizontal="center" vertical="center"/>
    </xf>
    <xf numFmtId="0" fontId="30" fillId="0" borderId="0" xfId="23" applyFont="1"/>
    <xf numFmtId="0" fontId="4" fillId="0" borderId="0" xfId="23"/>
    <xf numFmtId="0" fontId="4" fillId="0" borderId="0" xfId="23" applyAlignment="1">
      <alignment horizontal="left"/>
    </xf>
    <xf numFmtId="0" fontId="15" fillId="0" borderId="0" xfId="13" applyFont="1" applyAlignment="1">
      <alignment horizontal="center"/>
    </xf>
    <xf numFmtId="0" fontId="28" fillId="0" borderId="2" xfId="21" applyFont="1" applyBorder="1" applyAlignment="1" applyProtection="1">
      <alignment horizontal="left"/>
    </xf>
    <xf numFmtId="0" fontId="8" fillId="0" borderId="0" xfId="21" applyFont="1" applyAlignment="1" applyProtection="1">
      <alignment horizontal="right"/>
    </xf>
    <xf numFmtId="169" fontId="27" fillId="0" borderId="0" xfId="21" applyNumberFormat="1" applyProtection="1"/>
    <xf numFmtId="4" fontId="27" fillId="0" borderId="0" xfId="21" applyNumberFormat="1" applyProtection="1"/>
    <xf numFmtId="44" fontId="14" fillId="2" borderId="0" xfId="0" applyNumberFormat="1" applyFont="1" applyFill="1" applyAlignment="1">
      <alignment vertical="center"/>
    </xf>
    <xf numFmtId="44" fontId="18" fillId="4" borderId="43" xfId="2" applyFont="1" applyFill="1" applyBorder="1" applyAlignment="1">
      <alignment vertical="center"/>
    </xf>
    <xf numFmtId="3" fontId="17" fillId="0" borderId="0" xfId="13" applyNumberFormat="1" applyFont="1" applyAlignment="1">
      <alignment vertical="center"/>
    </xf>
    <xf numFmtId="0" fontId="8" fillId="0" borderId="0" xfId="22" applyAlignment="1" applyProtection="1">
      <alignment horizontal="left"/>
    </xf>
    <xf numFmtId="0" fontId="32" fillId="2" borderId="0" xfId="0" applyFont="1" applyFill="1" applyAlignment="1">
      <alignment vertical="center"/>
    </xf>
    <xf numFmtId="10" fontId="17" fillId="2" borderId="32" xfId="3" applyNumberFormat="1" applyFont="1" applyFill="1" applyBorder="1" applyAlignment="1">
      <alignment horizontal="right" vertical="center"/>
    </xf>
    <xf numFmtId="44" fontId="18" fillId="5" borderId="6" xfId="2" applyFont="1" applyFill="1" applyBorder="1" applyAlignment="1">
      <alignment vertical="center"/>
    </xf>
    <xf numFmtId="44" fontId="17" fillId="4" borderId="15" xfId="0" applyNumberFormat="1" applyFont="1" applyFill="1" applyBorder="1" applyAlignment="1">
      <alignment vertical="center"/>
    </xf>
    <xf numFmtId="0" fontId="8" fillId="0" borderId="0" xfId="0" applyFont="1"/>
    <xf numFmtId="0" fontId="17" fillId="8" borderId="6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6" xfId="0" applyFont="1" applyFill="1" applyBorder="1" applyAlignment="1" applyProtection="1">
      <alignment horizontal="center" wrapText="1"/>
      <protection hidden="1"/>
    </xf>
    <xf numFmtId="0" fontId="33" fillId="7" borderId="0" xfId="20" applyFont="1" applyFill="1" applyAlignment="1" applyProtection="1">
      <alignment horizontal="center" vertical="center"/>
    </xf>
    <xf numFmtId="44" fontId="3" fillId="4" borderId="43" xfId="2" applyFont="1" applyFill="1" applyBorder="1" applyAlignment="1">
      <alignment vertical="center"/>
    </xf>
    <xf numFmtId="44" fontId="3" fillId="4" borderId="39" xfId="2" applyFont="1" applyFill="1" applyBorder="1" applyAlignment="1">
      <alignment vertical="center"/>
    </xf>
    <xf numFmtId="3" fontId="30" fillId="0" borderId="0" xfId="13" applyNumberFormat="1" applyFont="1" applyAlignment="1">
      <alignment horizontal="center"/>
    </xf>
    <xf numFmtId="44" fontId="18" fillId="0" borderId="28" xfId="2" applyFont="1" applyBorder="1"/>
    <xf numFmtId="3" fontId="34" fillId="0" borderId="0" xfId="13" applyNumberFormat="1" applyFont="1"/>
    <xf numFmtId="0" fontId="18" fillId="0" borderId="0" xfId="13" applyFont="1"/>
    <xf numFmtId="44" fontId="18" fillId="0" borderId="15" xfId="2" applyFont="1" applyBorder="1"/>
    <xf numFmtId="0" fontId="17" fillId="0" borderId="0" xfId="13" applyFont="1" applyAlignment="1">
      <alignment horizontal="center"/>
    </xf>
    <xf numFmtId="0" fontId="17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vertical="center"/>
    </xf>
    <xf numFmtId="166" fontId="17" fillId="8" borderId="31" xfId="2" applyNumberFormat="1" applyFont="1" applyFill="1" applyBorder="1" applyAlignment="1">
      <alignment vertical="center"/>
    </xf>
    <xf numFmtId="166" fontId="17" fillId="3" borderId="15" xfId="0" applyNumberFormat="1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0" fontId="17" fillId="8" borderId="27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vertical="center"/>
    </xf>
    <xf numFmtId="0" fontId="18" fillId="4" borderId="34" xfId="0" applyFont="1" applyFill="1" applyBorder="1" applyAlignment="1">
      <alignment horizontal="left" vertical="center" indent="1"/>
    </xf>
    <xf numFmtId="0" fontId="17" fillId="4" borderId="34" xfId="0" applyFont="1" applyFill="1" applyBorder="1" applyAlignment="1">
      <alignment vertical="center"/>
    </xf>
    <xf numFmtId="0" fontId="17" fillId="3" borderId="34" xfId="0" applyFont="1" applyFill="1" applyBorder="1" applyAlignment="1">
      <alignment horizontal="right" vertical="center"/>
    </xf>
    <xf numFmtId="0" fontId="17" fillId="8" borderId="45" xfId="0" applyFont="1" applyFill="1" applyBorder="1" applyAlignment="1">
      <alignment horizontal="right" vertical="center"/>
    </xf>
    <xf numFmtId="166" fontId="17" fillId="8" borderId="29" xfId="0" applyNumberFormat="1" applyFont="1" applyFill="1" applyBorder="1" applyAlignment="1">
      <alignment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17" fillId="3" borderId="28" xfId="0" applyFont="1" applyFill="1" applyBorder="1" applyAlignment="1">
      <alignment horizontal="right" vertical="center"/>
    </xf>
    <xf numFmtId="166" fontId="17" fillId="3" borderId="29" xfId="0" applyNumberFormat="1" applyFont="1" applyFill="1" applyBorder="1" applyAlignment="1">
      <alignment vertical="center"/>
    </xf>
    <xf numFmtId="1" fontId="30" fillId="9" borderId="37" xfId="13" applyNumberFormat="1" applyFont="1" applyFill="1" applyBorder="1" applyAlignment="1">
      <alignment horizontal="center" vertical="center"/>
    </xf>
    <xf numFmtId="3" fontId="17" fillId="8" borderId="26" xfId="13" applyNumberFormat="1" applyFont="1" applyFill="1" applyBorder="1" applyAlignment="1">
      <alignment horizontal="right" vertical="center"/>
    </xf>
    <xf numFmtId="3" fontId="30" fillId="8" borderId="36" xfId="2" applyNumberFormat="1" applyFont="1" applyFill="1" applyBorder="1" applyAlignment="1">
      <alignment horizontal="center" vertical="center"/>
    </xf>
    <xf numFmtId="44" fontId="17" fillId="8" borderId="31" xfId="2" applyFont="1" applyFill="1" applyBorder="1" applyAlignment="1">
      <alignment horizontal="right" vertical="center"/>
    </xf>
    <xf numFmtId="44" fontId="17" fillId="8" borderId="35" xfId="2" applyFont="1" applyFill="1" applyBorder="1" applyAlignment="1">
      <alignment horizontal="right" vertical="center"/>
    </xf>
    <xf numFmtId="3" fontId="17" fillId="8" borderId="22" xfId="13" applyNumberFormat="1" applyFont="1" applyFill="1" applyBorder="1" applyAlignment="1">
      <alignment horizontal="center" vertical="center"/>
    </xf>
    <xf numFmtId="44" fontId="23" fillId="3" borderId="6" xfId="2" applyFont="1" applyFill="1" applyBorder="1" applyAlignment="1">
      <alignment horizontal="left" vertical="center" indent="1"/>
    </xf>
    <xf numFmtId="0" fontId="17" fillId="8" borderId="37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6" fontId="18" fillId="0" borderId="18" xfId="2" applyNumberFormat="1" applyFont="1" applyBorder="1" applyAlignment="1">
      <alignment vertical="center"/>
    </xf>
    <xf numFmtId="0" fontId="17" fillId="3" borderId="48" xfId="0" applyFont="1" applyFill="1" applyBorder="1" applyAlignment="1">
      <alignment horizontal="left" vertical="center"/>
    </xf>
    <xf numFmtId="6" fontId="17" fillId="3" borderId="29" xfId="2" applyNumberFormat="1" applyFont="1" applyFill="1" applyBorder="1" applyAlignment="1">
      <alignment vertical="center"/>
    </xf>
    <xf numFmtId="6" fontId="17" fillId="3" borderId="30" xfId="2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44" fontId="17" fillId="3" borderId="6" xfId="0" applyNumberFormat="1" applyFont="1" applyFill="1" applyBorder="1" applyAlignment="1">
      <alignment horizontal="right" vertical="center"/>
    </xf>
    <xf numFmtId="44" fontId="17" fillId="3" borderId="6" xfId="2" applyFont="1" applyFill="1" applyBorder="1" applyAlignment="1">
      <alignment horizontal="left" vertical="center" indent="1"/>
    </xf>
    <xf numFmtId="0" fontId="17" fillId="8" borderId="6" xfId="0" applyFont="1" applyFill="1" applyBorder="1" applyAlignment="1">
      <alignment horizontal="right" vertical="center"/>
    </xf>
    <xf numFmtId="0" fontId="18" fillId="8" borderId="17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right" vertical="center"/>
    </xf>
    <xf numFmtId="6" fontId="18" fillId="3" borderId="6" xfId="0" applyNumberFormat="1" applyFont="1" applyFill="1" applyBorder="1" applyAlignment="1">
      <alignment vertical="center"/>
    </xf>
    <xf numFmtId="6" fontId="17" fillId="8" borderId="6" xfId="0" applyNumberFormat="1" applyFont="1" applyFill="1" applyBorder="1" applyAlignment="1">
      <alignment vertical="center"/>
    </xf>
    <xf numFmtId="0" fontId="17" fillId="0" borderId="1" xfId="21" applyFont="1" applyBorder="1" applyProtection="1"/>
    <xf numFmtId="0" fontId="18" fillId="0" borderId="15" xfId="21" applyFont="1" applyBorder="1" applyProtection="1"/>
    <xf numFmtId="0" fontId="17" fillId="0" borderId="1" xfId="21" applyFont="1" applyBorder="1" applyAlignment="1" applyProtection="1">
      <alignment horizontal="center"/>
    </xf>
    <xf numFmtId="0" fontId="18" fillId="0" borderId="1" xfId="21" applyFont="1" applyBorder="1" applyProtection="1"/>
    <xf numFmtId="44" fontId="18" fillId="0" borderId="15" xfId="21" applyNumberFormat="1" applyFont="1" applyBorder="1" applyProtection="1"/>
    <xf numFmtId="169" fontId="18" fillId="0" borderId="15" xfId="21" applyNumberFormat="1" applyFont="1" applyBorder="1" applyAlignment="1" applyProtection="1">
      <alignment horizontal="right"/>
    </xf>
    <xf numFmtId="169" fontId="18" fillId="0" borderId="15" xfId="21" applyNumberFormat="1" applyFont="1" applyBorder="1" applyProtection="1"/>
    <xf numFmtId="0" fontId="18" fillId="0" borderId="1" xfId="21" applyFont="1" applyBorder="1" applyAlignment="1" applyProtection="1">
      <alignment horizontal="left"/>
    </xf>
    <xf numFmtId="0" fontId="17" fillId="0" borderId="1" xfId="21" applyFont="1" applyBorder="1" applyAlignment="1" applyProtection="1">
      <alignment horizontal="left" wrapText="1"/>
    </xf>
    <xf numFmtId="169" fontId="17" fillId="0" borderId="15" xfId="21" applyNumberFormat="1" applyFont="1" applyBorder="1" applyAlignment="1" applyProtection="1">
      <alignment horizontal="right" vertical="center"/>
    </xf>
    <xf numFmtId="0" fontId="17" fillId="0" borderId="1" xfId="21" applyFont="1" applyBorder="1" applyAlignment="1" applyProtection="1">
      <alignment horizontal="right"/>
    </xf>
    <xf numFmtId="169" fontId="17" fillId="0" borderId="15" xfId="21" applyNumberFormat="1" applyFont="1" applyBorder="1" applyAlignment="1" applyProtection="1">
      <alignment horizontal="right"/>
    </xf>
    <xf numFmtId="9" fontId="17" fillId="0" borderId="1" xfId="21" applyNumberFormat="1" applyFont="1" applyBorder="1" applyAlignment="1" applyProtection="1">
      <alignment horizontal="center"/>
    </xf>
    <xf numFmtId="0" fontId="18" fillId="0" borderId="1" xfId="21" applyFont="1" applyBorder="1" applyAlignment="1" applyProtection="1">
      <alignment horizontal="right"/>
    </xf>
    <xf numFmtId="0" fontId="17" fillId="8" borderId="46" xfId="21" applyFont="1" applyFill="1" applyBorder="1" applyAlignment="1" applyProtection="1">
      <alignment horizontal="center" vertical="center"/>
    </xf>
    <xf numFmtId="0" fontId="18" fillId="8" borderId="22" xfId="21" applyFont="1" applyFill="1" applyBorder="1" applyAlignment="1" applyProtection="1">
      <alignment vertical="center"/>
    </xf>
    <xf numFmtId="0" fontId="17" fillId="8" borderId="23" xfId="21" applyFont="1" applyFill="1" applyBorder="1" applyAlignment="1" applyProtection="1">
      <alignment horizontal="center" vertical="center"/>
    </xf>
    <xf numFmtId="0" fontId="17" fillId="0" borderId="14" xfId="22" applyFont="1" applyBorder="1" applyAlignment="1" applyProtection="1">
      <alignment horizontal="left"/>
    </xf>
    <xf numFmtId="0" fontId="18" fillId="0" borderId="14" xfId="22" applyFont="1" applyBorder="1" applyAlignment="1" applyProtection="1">
      <alignment horizontal="left"/>
    </xf>
    <xf numFmtId="0" fontId="18" fillId="0" borderId="16" xfId="22" applyFont="1" applyBorder="1" applyAlignment="1" applyProtection="1">
      <alignment horizontal="left"/>
    </xf>
    <xf numFmtId="0" fontId="17" fillId="0" borderId="16" xfId="22" applyFont="1" applyBorder="1" applyAlignment="1" applyProtection="1">
      <alignment horizontal="left"/>
    </xf>
    <xf numFmtId="0" fontId="25" fillId="0" borderId="14" xfId="22" applyFont="1" applyBorder="1" applyAlignment="1" applyProtection="1">
      <alignment horizontal="left"/>
    </xf>
    <xf numFmtId="0" fontId="17" fillId="8" borderId="17" xfId="0" applyFont="1" applyFill="1" applyBorder="1" applyAlignment="1">
      <alignment vertical="center"/>
    </xf>
    <xf numFmtId="0" fontId="17" fillId="8" borderId="14" xfId="0" applyFont="1" applyFill="1" applyBorder="1" applyAlignment="1">
      <alignment horizontal="right" vertical="center"/>
    </xf>
    <xf numFmtId="0" fontId="17" fillId="8" borderId="16" xfId="0" applyFont="1" applyFill="1" applyBorder="1" applyAlignment="1">
      <alignment horizontal="right" vertical="center"/>
    </xf>
    <xf numFmtId="164" fontId="17" fillId="3" borderId="19" xfId="5" applyFont="1" applyFill="1" applyBorder="1" applyAlignment="1">
      <alignment vertical="center"/>
    </xf>
    <xf numFmtId="0" fontId="17" fillId="3" borderId="9" xfId="0" applyFont="1" applyFill="1" applyBorder="1" applyAlignment="1">
      <alignment vertical="center"/>
    </xf>
    <xf numFmtId="44" fontId="17" fillId="8" borderId="6" xfId="2" applyFont="1" applyFill="1" applyBorder="1" applyAlignment="1">
      <alignment horizontal="left" vertical="center" indent="1"/>
    </xf>
    <xf numFmtId="0" fontId="17" fillId="8" borderId="6" xfId="22" applyFont="1" applyFill="1" applyBorder="1" applyAlignment="1" applyProtection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3" fontId="30" fillId="9" borderId="4" xfId="13" applyNumberFormat="1" applyFont="1" applyFill="1" applyBorder="1" applyAlignment="1">
      <alignment horizontal="center" vertical="center"/>
    </xf>
    <xf numFmtId="3" fontId="17" fillId="9" borderId="26" xfId="13" applyNumberFormat="1" applyFont="1" applyFill="1" applyBorder="1" applyAlignment="1">
      <alignment horizontal="center" vertical="center" wrapText="1"/>
    </xf>
    <xf numFmtId="3" fontId="17" fillId="9" borderId="31" xfId="13" applyNumberFormat="1" applyFont="1" applyFill="1" applyBorder="1" applyAlignment="1">
      <alignment horizontal="center" vertical="center" wrapText="1"/>
    </xf>
    <xf numFmtId="3" fontId="17" fillId="9" borderId="32" xfId="13" applyNumberFormat="1" applyFont="1" applyFill="1" applyBorder="1" applyAlignment="1">
      <alignment horizontal="center" vertical="center"/>
    </xf>
    <xf numFmtId="3" fontId="17" fillId="9" borderId="35" xfId="13" applyNumberFormat="1" applyFont="1" applyFill="1" applyBorder="1" applyAlignment="1">
      <alignment horizontal="center" vertical="center" wrapText="1"/>
    </xf>
    <xf numFmtId="169" fontId="21" fillId="0" borderId="15" xfId="21" applyNumberFormat="1" applyFont="1" applyBorder="1" applyAlignment="1" applyProtection="1">
      <alignment horizontal="right"/>
    </xf>
    <xf numFmtId="44" fontId="18" fillId="4" borderId="10" xfId="0" applyNumberFormat="1" applyFont="1" applyFill="1" applyBorder="1" applyAlignment="1">
      <alignment horizontal="center" vertical="center"/>
    </xf>
    <xf numFmtId="44" fontId="18" fillId="4" borderId="15" xfId="0" applyNumberFormat="1" applyFont="1" applyFill="1" applyBorder="1" applyAlignment="1">
      <alignment horizontal="center" vertical="center"/>
    </xf>
    <xf numFmtId="44" fontId="17" fillId="4" borderId="15" xfId="0" applyNumberFormat="1" applyFont="1" applyFill="1" applyBorder="1" applyAlignment="1">
      <alignment horizontal="center" vertical="center"/>
    </xf>
    <xf numFmtId="44" fontId="18" fillId="4" borderId="15" xfId="2" applyFont="1" applyFill="1" applyBorder="1" applyAlignment="1">
      <alignment horizontal="center" vertical="center"/>
    </xf>
    <xf numFmtId="44" fontId="17" fillId="4" borderId="15" xfId="2" applyFont="1" applyFill="1" applyBorder="1" applyAlignment="1">
      <alignment horizontal="center" vertical="center"/>
    </xf>
    <xf numFmtId="44" fontId="18" fillId="4" borderId="8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10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0" fontId="17" fillId="3" borderId="6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44" fontId="18" fillId="2" borderId="6" xfId="0" applyNumberFormat="1" applyFont="1" applyFill="1" applyBorder="1" applyAlignment="1">
      <alignment horizontal="right" vertical="center"/>
    </xf>
    <xf numFmtId="44" fontId="18" fillId="2" borderId="6" xfId="0" applyNumberFormat="1" applyFont="1" applyFill="1" applyBorder="1" applyAlignment="1">
      <alignment vertical="center"/>
    </xf>
    <xf numFmtId="0" fontId="30" fillId="0" borderId="0" xfId="23" applyFont="1" applyAlignment="1">
      <alignment horizontal="left"/>
    </xf>
    <xf numFmtId="3" fontId="17" fillId="4" borderId="49" xfId="13" applyNumberFormat="1" applyFont="1" applyFill="1" applyBorder="1" applyAlignment="1">
      <alignment vertical="center"/>
    </xf>
    <xf numFmtId="3" fontId="30" fillId="4" borderId="49" xfId="13" applyNumberFormat="1" applyFont="1" applyFill="1" applyBorder="1" applyAlignment="1">
      <alignment horizontal="center" vertical="center"/>
    </xf>
    <xf numFmtId="44" fontId="3" fillId="4" borderId="49" xfId="2" applyFont="1" applyFill="1" applyBorder="1" applyAlignment="1">
      <alignment vertical="center"/>
    </xf>
    <xf numFmtId="44" fontId="3" fillId="4" borderId="50" xfId="2" applyFont="1" applyFill="1" applyBorder="1" applyAlignment="1">
      <alignment vertical="center"/>
    </xf>
    <xf numFmtId="44" fontId="18" fillId="4" borderId="50" xfId="2" applyFont="1" applyFill="1" applyBorder="1" applyAlignment="1">
      <alignment vertical="center"/>
    </xf>
    <xf numFmtId="44" fontId="18" fillId="6" borderId="15" xfId="2" applyFont="1" applyFill="1" applyBorder="1" applyAlignment="1">
      <alignment vertical="center"/>
    </xf>
    <xf numFmtId="0" fontId="17" fillId="6" borderId="14" xfId="13" applyFont="1" applyFill="1" applyBorder="1" applyAlignment="1">
      <alignment horizontal="center" vertical="center"/>
    </xf>
    <xf numFmtId="0" fontId="18" fillId="6" borderId="15" xfId="13" applyFont="1" applyFill="1" applyBorder="1" applyAlignment="1">
      <alignment vertical="center"/>
    </xf>
    <xf numFmtId="0" fontId="18" fillId="6" borderId="16" xfId="13" applyFont="1" applyFill="1" applyBorder="1" applyAlignment="1">
      <alignment vertical="center"/>
    </xf>
    <xf numFmtId="0" fontId="17" fillId="9" borderId="6" xfId="13" applyFont="1" applyFill="1" applyBorder="1" applyAlignment="1">
      <alignment vertical="center"/>
    </xf>
    <xf numFmtId="44" fontId="17" fillId="9" borderId="6" xfId="13" applyNumberFormat="1" applyFont="1" applyFill="1" applyBorder="1" applyAlignment="1">
      <alignment vertical="center"/>
    </xf>
    <xf numFmtId="44" fontId="18" fillId="6" borderId="14" xfId="2" applyFont="1" applyFill="1" applyBorder="1" applyAlignment="1">
      <alignment vertical="center"/>
    </xf>
    <xf numFmtId="9" fontId="17" fillId="0" borderId="15" xfId="13" applyNumberFormat="1" applyFont="1" applyBorder="1" applyAlignment="1">
      <alignment horizontal="center"/>
    </xf>
    <xf numFmtId="44" fontId="18" fillId="0" borderId="8" xfId="2" applyFont="1" applyBorder="1"/>
    <xf numFmtId="0" fontId="17" fillId="11" borderId="8" xfId="13" applyFont="1" applyFill="1" applyBorder="1" applyAlignment="1">
      <alignment horizontal="center"/>
    </xf>
    <xf numFmtId="44" fontId="17" fillId="11" borderId="8" xfId="2" applyFont="1" applyFill="1" applyBorder="1"/>
    <xf numFmtId="44" fontId="17" fillId="4" borderId="6" xfId="2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44" fontId="10" fillId="2" borderId="6" xfId="2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44" fontId="10" fillId="11" borderId="6" xfId="2" applyFont="1" applyFill="1" applyBorder="1" applyAlignment="1">
      <alignment horizontal="left" vertical="center"/>
    </xf>
    <xf numFmtId="169" fontId="18" fillId="0" borderId="40" xfId="22" applyNumberFormat="1" applyFont="1" applyBorder="1" applyAlignment="1" applyProtection="1">
      <alignment horizontal="center"/>
    </xf>
    <xf numFmtId="0" fontId="18" fillId="13" borderId="15" xfId="0" applyFont="1" applyFill="1" applyBorder="1" applyAlignment="1">
      <alignment vertical="center" wrapText="1"/>
    </xf>
    <xf numFmtId="44" fontId="18" fillId="13" borderId="15" xfId="2" applyFont="1" applyFill="1" applyBorder="1" applyAlignment="1">
      <alignment vertical="center"/>
    </xf>
    <xf numFmtId="0" fontId="17" fillId="4" borderId="6" xfId="23" applyFont="1" applyFill="1" applyBorder="1" applyAlignment="1">
      <alignment horizontal="center" vertical="center"/>
    </xf>
    <xf numFmtId="44" fontId="30" fillId="0" borderId="0" xfId="2" applyFont="1" applyAlignment="1">
      <alignment horizontal="center"/>
    </xf>
    <xf numFmtId="0" fontId="4" fillId="0" borderId="0" xfId="23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44" fontId="15" fillId="5" borderId="6" xfId="2" applyFont="1" applyFill="1" applyBorder="1" applyAlignment="1">
      <alignment horizontal="center" vertical="center" wrapText="1"/>
    </xf>
    <xf numFmtId="44" fontId="0" fillId="0" borderId="0" xfId="0" applyNumberFormat="1"/>
    <xf numFmtId="0" fontId="36" fillId="5" borderId="0" xfId="0" applyFont="1" applyFill="1" applyAlignment="1">
      <alignment vertical="center"/>
    </xf>
    <xf numFmtId="44" fontId="15" fillId="5" borderId="0" xfId="0" applyNumberFormat="1" applyFont="1" applyFill="1"/>
    <xf numFmtId="0" fontId="36" fillId="14" borderId="0" xfId="0" applyFont="1" applyFill="1" applyAlignment="1">
      <alignment vertical="center"/>
    </xf>
    <xf numFmtId="44" fontId="15" fillId="14" borderId="0" xfId="2" applyFont="1" applyFill="1"/>
    <xf numFmtId="0" fontId="36" fillId="8" borderId="0" xfId="0" applyFont="1" applyFill="1" applyAlignment="1">
      <alignment vertical="center"/>
    </xf>
    <xf numFmtId="44" fontId="15" fillId="8" borderId="0" xfId="2" applyFont="1" applyFill="1"/>
    <xf numFmtId="0" fontId="36" fillId="10" borderId="0" xfId="0" applyFont="1" applyFill="1" applyAlignment="1">
      <alignment vertical="center"/>
    </xf>
    <xf numFmtId="44" fontId="15" fillId="10" borderId="0" xfId="0" applyNumberFormat="1" applyFont="1" applyFill="1"/>
    <xf numFmtId="44" fontId="15" fillId="8" borderId="6" xfId="2" applyFont="1" applyFill="1" applyBorder="1" applyAlignment="1">
      <alignment vertical="center"/>
    </xf>
    <xf numFmtId="44" fontId="30" fillId="10" borderId="0" xfId="23" applyNumberFormat="1" applyFont="1" applyFill="1" applyAlignment="1">
      <alignment horizontal="center"/>
    </xf>
    <xf numFmtId="0" fontId="30" fillId="11" borderId="6" xfId="23" applyFont="1" applyFill="1" applyBorder="1" applyAlignment="1">
      <alignment horizontal="right"/>
    </xf>
    <xf numFmtId="0" fontId="17" fillId="11" borderId="6" xfId="23" applyFont="1" applyFill="1" applyBorder="1" applyAlignment="1">
      <alignment horizontal="center" vertical="center"/>
    </xf>
    <xf numFmtId="9" fontId="30" fillId="0" borderId="0" xfId="23" applyNumberFormat="1" applyFont="1" applyAlignment="1">
      <alignment horizontal="center"/>
    </xf>
    <xf numFmtId="44" fontId="30" fillId="11" borderId="6" xfId="2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44" fontId="8" fillId="0" borderId="52" xfId="2" applyBorder="1"/>
    <xf numFmtId="44" fontId="8" fillId="0" borderId="53" xfId="2" applyBorder="1"/>
    <xf numFmtId="0" fontId="35" fillId="0" borderId="54" xfId="0" applyFont="1" applyBorder="1" applyAlignment="1">
      <alignment vertical="center"/>
    </xf>
    <xf numFmtId="0" fontId="15" fillId="8" borderId="17" xfId="0" applyFont="1" applyFill="1" applyBorder="1" applyAlignment="1">
      <alignment vertical="center"/>
    </xf>
    <xf numFmtId="44" fontId="15" fillId="5" borderId="9" xfId="2" applyFont="1" applyFill="1" applyBorder="1" applyAlignment="1">
      <alignment horizontal="center" vertical="center" wrapText="1"/>
    </xf>
    <xf numFmtId="44" fontId="0" fillId="0" borderId="55" xfId="2" applyFont="1" applyBorder="1"/>
    <xf numFmtId="44" fontId="0" fillId="0" borderId="56" xfId="2" applyFont="1" applyBorder="1"/>
    <xf numFmtId="44" fontId="0" fillId="0" borderId="57" xfId="2" applyFont="1" applyBorder="1"/>
    <xf numFmtId="0" fontId="36" fillId="4" borderId="0" xfId="0" applyFont="1" applyFill="1" applyAlignment="1">
      <alignment vertical="center"/>
    </xf>
    <xf numFmtId="44" fontId="15" fillId="4" borderId="0" xfId="2" applyFont="1" applyFill="1"/>
    <xf numFmtId="0" fontId="36" fillId="15" borderId="0" xfId="0" applyFont="1" applyFill="1" applyAlignment="1">
      <alignment vertical="center"/>
    </xf>
    <xf numFmtId="44" fontId="15" fillId="15" borderId="0" xfId="2" applyFont="1" applyFill="1"/>
    <xf numFmtId="0" fontId="15" fillId="10" borderId="0" xfId="0" applyFont="1" applyFill="1"/>
    <xf numFmtId="0" fontId="17" fillId="8" borderId="0" xfId="13" applyFont="1" applyFill="1" applyAlignment="1">
      <alignment horizontal="center" vertical="center"/>
    </xf>
    <xf numFmtId="44" fontId="17" fillId="9" borderId="8" xfId="13" applyNumberFormat="1" applyFont="1" applyFill="1" applyBorder="1" applyAlignment="1">
      <alignment vertical="center"/>
    </xf>
    <xf numFmtId="9" fontId="17" fillId="10" borderId="10" xfId="13" applyNumberFormat="1" applyFont="1" applyFill="1" applyBorder="1" applyAlignment="1">
      <alignment horizontal="center"/>
    </xf>
    <xf numFmtId="44" fontId="18" fillId="10" borderId="10" xfId="2" applyFont="1" applyFill="1" applyBorder="1"/>
    <xf numFmtId="0" fontId="17" fillId="10" borderId="9" xfId="13" applyFont="1" applyFill="1" applyBorder="1" applyAlignment="1">
      <alignment horizontal="center" vertical="center"/>
    </xf>
    <xf numFmtId="9" fontId="17" fillId="10" borderId="6" xfId="13" applyNumberFormat="1" applyFont="1" applyFill="1" applyBorder="1" applyAlignment="1">
      <alignment horizontal="center"/>
    </xf>
    <xf numFmtId="44" fontId="18" fillId="10" borderId="6" xfId="2" applyFont="1" applyFill="1" applyBorder="1"/>
    <xf numFmtId="0" fontId="18" fillId="10" borderId="26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6" fontId="18" fillId="0" borderId="10" xfId="0" applyNumberFormat="1" applyFont="1" applyBorder="1" applyAlignment="1">
      <alignment vertical="center"/>
    </xf>
    <xf numFmtId="0" fontId="18" fillId="5" borderId="6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indent="1"/>
    </xf>
    <xf numFmtId="44" fontId="18" fillId="0" borderId="8" xfId="2" applyFont="1" applyBorder="1" applyAlignment="1">
      <alignment vertical="center"/>
    </xf>
    <xf numFmtId="6" fontId="18" fillId="0" borderId="13" xfId="0" applyNumberFormat="1" applyFont="1" applyBorder="1" applyAlignment="1">
      <alignment vertical="center"/>
    </xf>
    <xf numFmtId="44" fontId="18" fillId="0" borderId="14" xfId="2" applyFont="1" applyBorder="1" applyAlignment="1">
      <alignment vertical="center"/>
    </xf>
    <xf numFmtId="44" fontId="18" fillId="5" borderId="17" xfId="2" applyFont="1" applyFill="1" applyBorder="1" applyAlignment="1">
      <alignment vertical="center"/>
    </xf>
    <xf numFmtId="44" fontId="18" fillId="0" borderId="16" xfId="2" applyFont="1" applyBorder="1" applyAlignment="1">
      <alignment vertical="center"/>
    </xf>
    <xf numFmtId="44" fontId="18" fillId="5" borderId="9" xfId="2" applyFont="1" applyFill="1" applyBorder="1" applyAlignment="1">
      <alignment vertical="center"/>
    </xf>
    <xf numFmtId="6" fontId="18" fillId="0" borderId="11" xfId="0" applyNumberFormat="1" applyFont="1" applyBorder="1" applyAlignment="1">
      <alignment vertical="center"/>
    </xf>
    <xf numFmtId="44" fontId="18" fillId="0" borderId="3" xfId="2" applyFont="1" applyBorder="1" applyAlignment="1">
      <alignment vertical="center"/>
    </xf>
    <xf numFmtId="44" fontId="18" fillId="0" borderId="12" xfId="2" applyFont="1" applyBorder="1" applyAlignment="1">
      <alignment vertical="center"/>
    </xf>
    <xf numFmtId="9" fontId="17" fillId="4" borderId="6" xfId="0" applyNumberFormat="1" applyFont="1" applyFill="1" applyBorder="1" applyAlignment="1">
      <alignment horizontal="left" vertical="center"/>
    </xf>
    <xf numFmtId="44" fontId="17" fillId="4" borderId="6" xfId="2" applyFont="1" applyFill="1" applyBorder="1" applyAlignment="1">
      <alignment horizontal="left" vertical="center"/>
    </xf>
    <xf numFmtId="0" fontId="8" fillId="0" borderId="0" xfId="22" applyAlignment="1" applyProtection="1">
      <alignment horizontal="center"/>
    </xf>
    <xf numFmtId="0" fontId="15" fillId="0" borderId="0" xfId="22" applyFont="1" applyAlignment="1" applyProtection="1">
      <alignment horizontal="center"/>
    </xf>
    <xf numFmtId="0" fontId="17" fillId="8" borderId="24" xfId="21" applyFont="1" applyFill="1" applyBorder="1" applyAlignment="1" applyProtection="1">
      <alignment horizontal="center" vertical="center"/>
    </xf>
    <xf numFmtId="0" fontId="18" fillId="0" borderId="18" xfId="21" applyFont="1" applyBorder="1" applyProtection="1"/>
    <xf numFmtId="44" fontId="18" fillId="0" borderId="18" xfId="21" applyNumberFormat="1" applyFont="1" applyBorder="1" applyProtection="1"/>
    <xf numFmtId="169" fontId="21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Protection="1"/>
    <xf numFmtId="169" fontId="17" fillId="0" borderId="18" xfId="21" applyNumberFormat="1" applyFont="1" applyBorder="1" applyAlignment="1" applyProtection="1">
      <alignment horizontal="right" vertical="center"/>
    </xf>
    <xf numFmtId="169" fontId="17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Alignment="1" applyProtection="1">
      <alignment horizontal="right"/>
    </xf>
    <xf numFmtId="0" fontId="29" fillId="0" borderId="60" xfId="21" applyFont="1" applyBorder="1" applyProtection="1"/>
    <xf numFmtId="169" fontId="18" fillId="0" borderId="15" xfId="21" applyNumberFormat="1" applyFont="1" applyBorder="1" applyAlignment="1" applyProtection="1">
      <alignment horizontal="center" vertical="center"/>
    </xf>
    <xf numFmtId="0" fontId="17" fillId="8" borderId="58" xfId="21" applyFont="1" applyFill="1" applyBorder="1" applyAlignment="1" applyProtection="1">
      <alignment horizontal="center" vertical="center"/>
    </xf>
    <xf numFmtId="0" fontId="18" fillId="0" borderId="41" xfId="22" applyFont="1" applyBorder="1" applyAlignment="1" applyProtection="1">
      <alignment horizontal="center"/>
    </xf>
    <xf numFmtId="0" fontId="18" fillId="0" borderId="40" xfId="22" applyFont="1" applyBorder="1" applyAlignment="1" applyProtection="1">
      <alignment horizontal="center"/>
    </xf>
    <xf numFmtId="169" fontId="18" fillId="0" borderId="61" xfId="22" applyNumberFormat="1" applyFont="1" applyBorder="1" applyAlignment="1" applyProtection="1">
      <alignment horizontal="center"/>
    </xf>
    <xf numFmtId="169" fontId="18" fillId="0" borderId="42" xfId="22" applyNumberFormat="1" applyFont="1" applyBorder="1" applyAlignment="1" applyProtection="1">
      <alignment horizontal="center"/>
    </xf>
    <xf numFmtId="169" fontId="17" fillId="0" borderId="40" xfId="22" applyNumberFormat="1" applyFont="1" applyBorder="1" applyAlignment="1" applyProtection="1">
      <alignment horizontal="center"/>
    </xf>
    <xf numFmtId="0" fontId="18" fillId="0" borderId="42" xfId="22" applyFont="1" applyBorder="1" applyAlignment="1" applyProtection="1">
      <alignment horizontal="center"/>
    </xf>
    <xf numFmtId="4" fontId="18" fillId="0" borderId="40" xfId="22" applyNumberFormat="1" applyFont="1" applyBorder="1" applyAlignment="1" applyProtection="1">
      <alignment horizontal="center"/>
    </xf>
    <xf numFmtId="169" fontId="17" fillId="0" borderId="42" xfId="22" applyNumberFormat="1" applyFont="1" applyBorder="1" applyAlignment="1" applyProtection="1">
      <alignment horizontal="center"/>
    </xf>
    <xf numFmtId="169" fontId="25" fillId="0" borderId="40" xfId="22" applyNumberFormat="1" applyFont="1" applyBorder="1" applyAlignment="1" applyProtection="1">
      <alignment horizontal="center"/>
    </xf>
    <xf numFmtId="44" fontId="18" fillId="0" borderId="42" xfId="2" applyFont="1" applyBorder="1" applyAlignment="1">
      <alignment horizontal="center"/>
    </xf>
    <xf numFmtId="170" fontId="18" fillId="0" borderId="42" xfId="2" applyNumberFormat="1" applyFont="1" applyBorder="1" applyAlignment="1">
      <alignment horizontal="center"/>
    </xf>
    <xf numFmtId="0" fontId="15" fillId="11" borderId="0" xfId="22" applyFont="1" applyFill="1" applyAlignment="1" applyProtection="1">
      <alignment horizontal="center"/>
    </xf>
    <xf numFmtId="10" fontId="15" fillId="11" borderId="0" xfId="3" applyNumberFormat="1" applyFont="1" applyFill="1" applyAlignment="1">
      <alignment horizontal="center"/>
    </xf>
    <xf numFmtId="44" fontId="17" fillId="4" borderId="6" xfId="23" applyNumberFormat="1" applyFont="1" applyFill="1" applyBorder="1" applyAlignment="1">
      <alignment horizontal="center" vertical="center"/>
    </xf>
    <xf numFmtId="9" fontId="4" fillId="0" borderId="0" xfId="3" applyFont="1"/>
    <xf numFmtId="0" fontId="38" fillId="0" borderId="0" xfId="0" applyFont="1" applyAlignment="1">
      <alignment horizontal="left" vertical="center" inden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7" fillId="17" borderId="10" xfId="21" applyFont="1" applyFill="1" applyBorder="1" applyProtection="1"/>
    <xf numFmtId="0" fontId="17" fillId="17" borderId="15" xfId="21" applyFont="1" applyFill="1" applyBorder="1" applyAlignment="1" applyProtection="1">
      <alignment horizontal="center"/>
    </xf>
    <xf numFmtId="169" fontId="18" fillId="17" borderId="15" xfId="21" applyNumberFormat="1" applyFont="1" applyFill="1" applyBorder="1" applyAlignment="1" applyProtection="1">
      <alignment horizontal="center" vertical="center"/>
    </xf>
    <xf numFmtId="0" fontId="18" fillId="17" borderId="15" xfId="21" applyFont="1" applyFill="1" applyBorder="1" applyProtection="1"/>
    <xf numFmtId="169" fontId="21" fillId="17" borderId="15" xfId="21" applyNumberFormat="1" applyFont="1" applyFill="1" applyBorder="1" applyAlignment="1" applyProtection="1">
      <alignment horizontal="right"/>
    </xf>
    <xf numFmtId="169" fontId="18" fillId="17" borderId="15" xfId="21" applyNumberFormat="1" applyFont="1" applyFill="1" applyBorder="1" applyAlignment="1" applyProtection="1">
      <alignment horizontal="right" vertical="center"/>
    </xf>
    <xf numFmtId="0" fontId="18" fillId="17" borderId="15" xfId="21" applyFont="1" applyFill="1" applyBorder="1" applyAlignment="1" applyProtection="1">
      <alignment horizontal="left"/>
    </xf>
    <xf numFmtId="169" fontId="17" fillId="17" borderId="15" xfId="21" applyNumberFormat="1" applyFont="1" applyFill="1" applyBorder="1" applyAlignment="1" applyProtection="1">
      <alignment horizontal="right" vertical="center"/>
    </xf>
    <xf numFmtId="169" fontId="17" fillId="17" borderId="15" xfId="21" applyNumberFormat="1" applyFont="1" applyFill="1" applyBorder="1" applyAlignment="1" applyProtection="1">
      <alignment horizontal="right"/>
    </xf>
    <xf numFmtId="9" fontId="17" fillId="17" borderId="15" xfId="21" applyNumberFormat="1" applyFont="1" applyFill="1" applyBorder="1" applyAlignment="1" applyProtection="1">
      <alignment horizontal="center"/>
    </xf>
    <xf numFmtId="0" fontId="28" fillId="17" borderId="21" xfId="21" applyFont="1" applyFill="1" applyBorder="1" applyAlignment="1" applyProtection="1">
      <alignment horizontal="left"/>
    </xf>
    <xf numFmtId="0" fontId="28" fillId="17" borderId="59" xfId="21" applyFont="1" applyFill="1" applyBorder="1" applyAlignment="1" applyProtection="1">
      <alignment horizontal="left"/>
    </xf>
    <xf numFmtId="171" fontId="18" fillId="0" borderId="42" xfId="2" applyNumberFormat="1" applyFont="1" applyBorder="1" applyAlignment="1">
      <alignment horizontal="center"/>
    </xf>
    <xf numFmtId="0" fontId="17" fillId="16" borderId="6" xfId="22" applyFont="1" applyFill="1" applyBorder="1" applyAlignment="1" applyProtection="1">
      <alignment horizontal="center" vertical="center"/>
    </xf>
    <xf numFmtId="0" fontId="18" fillId="16" borderId="41" xfId="22" applyFont="1" applyFill="1" applyBorder="1" applyAlignment="1" applyProtection="1">
      <alignment horizontal="center"/>
    </xf>
    <xf numFmtId="169" fontId="18" fillId="16" borderId="40" xfId="22" applyNumberFormat="1" applyFont="1" applyFill="1" applyBorder="1" applyAlignment="1" applyProtection="1">
      <alignment horizontal="center"/>
    </xf>
    <xf numFmtId="169" fontId="18" fillId="16" borderId="42" xfId="22" applyNumberFormat="1" applyFont="1" applyFill="1" applyBorder="1" applyAlignment="1" applyProtection="1">
      <alignment horizontal="center"/>
    </xf>
    <xf numFmtId="169" fontId="18" fillId="16" borderId="41" xfId="22" applyNumberFormat="1" applyFont="1" applyFill="1" applyBorder="1" applyAlignment="1" applyProtection="1">
      <alignment horizontal="center"/>
    </xf>
    <xf numFmtId="169" fontId="17" fillId="16" borderId="40" xfId="22" applyNumberFormat="1" applyFont="1" applyFill="1" applyBorder="1" applyAlignment="1" applyProtection="1">
      <alignment horizontal="center"/>
    </xf>
    <xf numFmtId="0" fontId="18" fillId="16" borderId="42" xfId="22" applyFont="1" applyFill="1" applyBorder="1" applyAlignment="1" applyProtection="1">
      <alignment horizontal="center"/>
    </xf>
    <xf numFmtId="169" fontId="21" fillId="16" borderId="41" xfId="22" applyNumberFormat="1" applyFont="1" applyFill="1" applyBorder="1" applyAlignment="1" applyProtection="1">
      <alignment horizontal="center"/>
    </xf>
    <xf numFmtId="169" fontId="21" fillId="16" borderId="40" xfId="22" applyNumberFormat="1" applyFont="1" applyFill="1" applyBorder="1" applyAlignment="1" applyProtection="1">
      <alignment horizontal="center"/>
    </xf>
    <xf numFmtId="169" fontId="17" fillId="16" borderId="42" xfId="22" applyNumberFormat="1" applyFont="1" applyFill="1" applyBorder="1" applyAlignment="1" applyProtection="1">
      <alignment horizontal="center"/>
    </xf>
    <xf numFmtId="0" fontId="18" fillId="16" borderId="14" xfId="22" applyFont="1" applyFill="1" applyBorder="1" applyAlignment="1" applyProtection="1">
      <alignment horizontal="center"/>
    </xf>
    <xf numFmtId="169" fontId="25" fillId="16" borderId="40" xfId="22" applyNumberFormat="1" applyFont="1" applyFill="1" applyBorder="1" applyAlignment="1" applyProtection="1">
      <alignment horizontal="center"/>
    </xf>
    <xf numFmtId="44" fontId="18" fillId="16" borderId="42" xfId="2" applyFont="1" applyFill="1" applyBorder="1" applyAlignment="1">
      <alignment horizontal="center"/>
    </xf>
    <xf numFmtId="10" fontId="15" fillId="16" borderId="0" xfId="3" applyNumberFormat="1" applyFont="1" applyFill="1" applyAlignment="1">
      <alignment horizontal="center"/>
    </xf>
    <xf numFmtId="0" fontId="8" fillId="16" borderId="0" xfId="22" applyFill="1" applyAlignment="1" applyProtection="1">
      <alignment horizontal="center"/>
    </xf>
    <xf numFmtId="0" fontId="8" fillId="4" borderId="0" xfId="22" applyFill="1" applyAlignment="1" applyProtection="1">
      <alignment horizontal="center"/>
    </xf>
    <xf numFmtId="0" fontId="33" fillId="4" borderId="0" xfId="20" applyFont="1" applyFill="1" applyAlignment="1" applyProtection="1">
      <alignment horizontal="center" vertical="center"/>
    </xf>
    <xf numFmtId="0" fontId="11" fillId="2" borderId="0" xfId="0" applyFont="1" applyFill="1" applyAlignment="1">
      <alignment horizontal="right" vertical="center"/>
    </xf>
    <xf numFmtId="166" fontId="17" fillId="3" borderId="63" xfId="0" applyNumberFormat="1" applyFont="1" applyFill="1" applyBorder="1" applyAlignment="1">
      <alignment vertical="center"/>
    </xf>
    <xf numFmtId="166" fontId="18" fillId="0" borderId="3" xfId="0" applyNumberFormat="1" applyFont="1" applyBorder="1" applyAlignment="1">
      <alignment vertical="center"/>
    </xf>
    <xf numFmtId="166" fontId="18" fillId="0" borderId="65" xfId="0" applyNumberFormat="1" applyFont="1" applyBorder="1" applyAlignment="1">
      <alignment vertical="center"/>
    </xf>
    <xf numFmtId="166" fontId="17" fillId="3" borderId="66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0" fontId="17" fillId="8" borderId="64" xfId="0" applyFont="1" applyFill="1" applyBorder="1" applyAlignment="1">
      <alignment horizontal="center" vertical="center"/>
    </xf>
    <xf numFmtId="0" fontId="17" fillId="8" borderId="62" xfId="0" applyFont="1" applyFill="1" applyBorder="1" applyAlignment="1">
      <alignment horizontal="center" vertical="center"/>
    </xf>
    <xf numFmtId="0" fontId="17" fillId="8" borderId="67" xfId="0" applyFont="1" applyFill="1" applyBorder="1" applyAlignment="1">
      <alignment horizontal="center" vertical="center"/>
    </xf>
    <xf numFmtId="166" fontId="17" fillId="0" borderId="68" xfId="0" applyNumberFormat="1" applyFont="1" applyBorder="1" applyAlignment="1">
      <alignment vertical="center"/>
    </xf>
    <xf numFmtId="166" fontId="17" fillId="0" borderId="65" xfId="0" applyNumberFormat="1" applyFont="1" applyBorder="1" applyAlignment="1">
      <alignment vertical="center"/>
    </xf>
    <xf numFmtId="166" fontId="17" fillId="3" borderId="65" xfId="0" applyNumberFormat="1" applyFont="1" applyFill="1" applyBorder="1" applyAlignment="1">
      <alignment vertical="center"/>
    </xf>
    <xf numFmtId="166" fontId="17" fillId="8" borderId="66" xfId="0" applyNumberFormat="1" applyFont="1" applyFill="1" applyBorder="1" applyAlignment="1">
      <alignment vertical="center"/>
    </xf>
    <xf numFmtId="0" fontId="17" fillId="8" borderId="69" xfId="0" applyFont="1" applyFill="1" applyBorder="1" applyAlignment="1">
      <alignment horizontal="center" vertical="center"/>
    </xf>
    <xf numFmtId="166" fontId="17" fillId="0" borderId="13" xfId="0" applyNumberFormat="1" applyFont="1" applyBorder="1" applyAlignment="1">
      <alignment vertical="center"/>
    </xf>
    <xf numFmtId="166" fontId="17" fillId="0" borderId="14" xfId="0" applyNumberFormat="1" applyFont="1" applyBorder="1" applyAlignment="1">
      <alignment vertical="center"/>
    </xf>
    <xf numFmtId="166" fontId="17" fillId="3" borderId="14" xfId="0" applyNumberFormat="1" applyFont="1" applyFill="1" applyBorder="1" applyAlignment="1">
      <alignment vertical="center"/>
    </xf>
    <xf numFmtId="166" fontId="17" fillId="8" borderId="63" xfId="0" applyNumberFormat="1" applyFont="1" applyFill="1" applyBorder="1" applyAlignment="1">
      <alignment vertical="center"/>
    </xf>
    <xf numFmtId="169" fontId="18" fillId="16" borderId="61" xfId="22" applyNumberFormat="1" applyFont="1" applyFill="1" applyBorder="1" applyAlignment="1" applyProtection="1">
      <alignment horizontal="center"/>
    </xf>
    <xf numFmtId="0" fontId="17" fillId="10" borderId="14" xfId="13" applyFont="1" applyFill="1" applyBorder="1" applyAlignment="1">
      <alignment horizontal="center" vertical="center"/>
    </xf>
    <xf numFmtId="9" fontId="17" fillId="10" borderId="15" xfId="13" applyNumberFormat="1" applyFont="1" applyFill="1" applyBorder="1" applyAlignment="1">
      <alignment horizontal="center"/>
    </xf>
    <xf numFmtId="44" fontId="18" fillId="10" borderId="15" xfId="2" applyFont="1" applyFill="1" applyBorder="1"/>
    <xf numFmtId="9" fontId="17" fillId="10" borderId="3" xfId="13" applyNumberFormat="1" applyFont="1" applyFill="1" applyBorder="1" applyAlignment="1">
      <alignment horizontal="center"/>
    </xf>
    <xf numFmtId="0" fontId="17" fillId="10" borderId="6" xfId="13" applyFont="1" applyFill="1" applyBorder="1" applyAlignment="1">
      <alignment horizontal="center" vertical="center"/>
    </xf>
    <xf numFmtId="44" fontId="17" fillId="10" borderId="6" xfId="13" applyNumberFormat="1" applyFont="1" applyFill="1" applyBorder="1" applyAlignment="1">
      <alignment horizontal="center" vertical="center"/>
    </xf>
    <xf numFmtId="8" fontId="18" fillId="0" borderId="0" xfId="0" applyNumberFormat="1" applyFont="1" applyAlignment="1">
      <alignment horizontal="center" vertical="center"/>
    </xf>
    <xf numFmtId="10" fontId="18" fillId="0" borderId="15" xfId="3" applyNumberFormat="1" applyFont="1" applyBorder="1" applyProtection="1"/>
    <xf numFmtId="44" fontId="4" fillId="0" borderId="0" xfId="23" applyNumberFormat="1" applyAlignment="1">
      <alignment horizontal="center"/>
    </xf>
    <xf numFmtId="44" fontId="11" fillId="2" borderId="0" xfId="0" applyNumberFormat="1" applyFont="1" applyFill="1" applyAlignment="1">
      <alignment horizontal="left" vertical="center"/>
    </xf>
    <xf numFmtId="44" fontId="17" fillId="0" borderId="6" xfId="2" applyFont="1" applyFill="1" applyBorder="1" applyAlignment="1">
      <alignment horizontal="center" vertical="center"/>
    </xf>
    <xf numFmtId="10" fontId="30" fillId="0" borderId="0" xfId="3" applyNumberFormat="1" applyFont="1" applyAlignment="1">
      <alignment horizontal="center"/>
    </xf>
    <xf numFmtId="4" fontId="18" fillId="0" borderId="40" xfId="2" applyNumberFormat="1" applyFont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0" fillId="0" borderId="6" xfId="0" applyBorder="1"/>
    <xf numFmtId="172" fontId="0" fillId="0" borderId="6" xfId="0" applyNumberFormat="1" applyBorder="1" applyAlignment="1">
      <alignment horizontal="center"/>
    </xf>
    <xf numFmtId="0" fontId="30" fillId="0" borderId="6" xfId="0" applyFont="1" applyBorder="1" applyAlignment="1">
      <alignment horizontal="center"/>
    </xf>
    <xf numFmtId="172" fontId="30" fillId="0" borderId="6" xfId="0" applyNumberFormat="1" applyFont="1" applyBorder="1" applyAlignment="1">
      <alignment horizontal="center"/>
    </xf>
    <xf numFmtId="0" fontId="39" fillId="19" borderId="6" xfId="0" applyFont="1" applyFill="1" applyBorder="1" applyAlignment="1">
      <alignment horizontal="center"/>
    </xf>
    <xf numFmtId="172" fontId="39" fillId="19" borderId="6" xfId="0" applyNumberFormat="1" applyFont="1" applyFill="1" applyBorder="1" applyAlignment="1">
      <alignment horizontal="center"/>
    </xf>
    <xf numFmtId="0" fontId="8" fillId="0" borderId="0" xfId="21" applyFont="1" applyProtection="1"/>
    <xf numFmtId="0" fontId="30" fillId="18" borderId="6" xfId="0" applyFont="1" applyFill="1" applyBorder="1" applyAlignment="1">
      <alignment horizontal="center" wrapText="1"/>
    </xf>
    <xf numFmtId="0" fontId="30" fillId="18" borderId="6" xfId="0" applyFont="1" applyFill="1" applyBorder="1" applyAlignment="1">
      <alignment horizontal="center" vertical="center"/>
    </xf>
    <xf numFmtId="172" fontId="27" fillId="0" borderId="13" xfId="21" applyNumberFormat="1" applyBorder="1" applyProtection="1"/>
    <xf numFmtId="0" fontId="27" fillId="0" borderId="11" xfId="21" applyBorder="1" applyProtection="1"/>
    <xf numFmtId="172" fontId="27" fillId="0" borderId="14" xfId="21" applyNumberFormat="1" applyBorder="1" applyProtection="1"/>
    <xf numFmtId="0" fontId="15" fillId="0" borderId="3" xfId="21" applyFont="1" applyBorder="1" applyAlignment="1" applyProtection="1">
      <alignment horizontal="center"/>
    </xf>
    <xf numFmtId="0" fontId="27" fillId="0" borderId="14" xfId="21" applyBorder="1" applyProtection="1"/>
    <xf numFmtId="0" fontId="27" fillId="0" borderId="3" xfId="21" applyBorder="1" applyProtection="1"/>
    <xf numFmtId="0" fontId="15" fillId="0" borderId="14" xfId="21" applyFont="1" applyBorder="1" applyAlignment="1" applyProtection="1">
      <alignment horizontal="center"/>
    </xf>
    <xf numFmtId="0" fontId="17" fillId="17" borderId="0" xfId="21" applyFont="1" applyFill="1" applyProtection="1"/>
    <xf numFmtId="0" fontId="17" fillId="17" borderId="0" xfId="21" applyFont="1" applyFill="1" applyAlignment="1" applyProtection="1">
      <alignment horizontal="center"/>
    </xf>
    <xf numFmtId="10" fontId="18" fillId="0" borderId="18" xfId="3" applyNumberFormat="1" applyFont="1" applyBorder="1" applyProtection="1"/>
    <xf numFmtId="169" fontId="18" fillId="0" borderId="18" xfId="21" applyNumberFormat="1" applyFont="1" applyBorder="1" applyAlignment="1" applyProtection="1">
      <alignment horizontal="center" vertical="center"/>
    </xf>
    <xf numFmtId="9" fontId="17" fillId="15" borderId="6" xfId="0" applyNumberFormat="1" applyFont="1" applyFill="1" applyBorder="1" applyAlignment="1">
      <alignment horizontal="left" vertical="center"/>
    </xf>
    <xf numFmtId="4" fontId="18" fillId="6" borderId="0" xfId="13" applyNumberFormat="1" applyFont="1" applyFill="1"/>
    <xf numFmtId="4" fontId="40" fillId="6" borderId="0" xfId="13" applyNumberFormat="1" applyFont="1" applyFill="1"/>
    <xf numFmtId="173" fontId="18" fillId="6" borderId="0" xfId="13" applyNumberFormat="1" applyFont="1" applyFill="1"/>
    <xf numFmtId="44" fontId="3" fillId="10" borderId="43" xfId="2" applyFont="1" applyFill="1" applyBorder="1" applyAlignment="1">
      <alignment vertical="center"/>
    </xf>
    <xf numFmtId="3" fontId="18" fillId="10" borderId="0" xfId="13" applyNumberFormat="1" applyFont="1" applyFill="1"/>
    <xf numFmtId="4" fontId="18" fillId="0" borderId="0" xfId="13" applyNumberFormat="1" applyFont="1"/>
    <xf numFmtId="4" fontId="40" fillId="10" borderId="0" xfId="13" applyNumberFormat="1" applyFont="1" applyFill="1"/>
    <xf numFmtId="174" fontId="18" fillId="0" borderId="15" xfId="2" applyNumberFormat="1" applyFont="1" applyBorder="1"/>
    <xf numFmtId="169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/>
    </xf>
    <xf numFmtId="4" fontId="18" fillId="0" borderId="15" xfId="21" applyNumberFormat="1" applyFont="1" applyBorder="1" applyProtection="1"/>
    <xf numFmtId="4" fontId="18" fillId="16" borderId="41" xfId="22" applyNumberFormat="1" applyFont="1" applyFill="1" applyBorder="1" applyAlignment="1" applyProtection="1">
      <alignment horizontal="center"/>
    </xf>
    <xf numFmtId="10" fontId="27" fillId="0" borderId="0" xfId="3" applyNumberFormat="1" applyFont="1" applyProtection="1"/>
    <xf numFmtId="0" fontId="17" fillId="15" borderId="6" xfId="22" applyFont="1" applyFill="1" applyBorder="1" applyAlignment="1" applyProtection="1">
      <alignment horizontal="center" vertical="center"/>
    </xf>
    <xf numFmtId="0" fontId="18" fillId="15" borderId="41" xfId="22" applyFont="1" applyFill="1" applyBorder="1" applyAlignment="1" applyProtection="1">
      <alignment horizontal="center"/>
    </xf>
    <xf numFmtId="0" fontId="18" fillId="15" borderId="40" xfId="22" applyFont="1" applyFill="1" applyBorder="1" applyAlignment="1" applyProtection="1">
      <alignment horizontal="center"/>
    </xf>
    <xf numFmtId="169" fontId="18" fillId="15" borderId="40" xfId="22" applyNumberFormat="1" applyFont="1" applyFill="1" applyBorder="1" applyAlignment="1" applyProtection="1">
      <alignment horizontal="center"/>
    </xf>
    <xf numFmtId="169" fontId="18" fillId="15" borderId="61" xfId="22" applyNumberFormat="1" applyFont="1" applyFill="1" applyBorder="1" applyAlignment="1" applyProtection="1">
      <alignment horizontal="center"/>
    </xf>
    <xf numFmtId="169" fontId="18" fillId="15" borderId="42" xfId="22" applyNumberFormat="1" applyFont="1" applyFill="1" applyBorder="1" applyAlignment="1" applyProtection="1">
      <alignment horizontal="center"/>
    </xf>
    <xf numFmtId="4" fontId="18" fillId="15" borderId="40" xfId="2" applyNumberFormat="1" applyFont="1" applyFill="1" applyBorder="1" applyAlignment="1">
      <alignment horizontal="center"/>
    </xf>
    <xf numFmtId="169" fontId="17" fillId="15" borderId="40" xfId="22" applyNumberFormat="1" applyFont="1" applyFill="1" applyBorder="1" applyAlignment="1" applyProtection="1">
      <alignment horizontal="center"/>
    </xf>
    <xf numFmtId="0" fontId="18" fillId="15" borderId="42" xfId="22" applyFont="1" applyFill="1" applyBorder="1" applyAlignment="1" applyProtection="1">
      <alignment horizontal="center"/>
    </xf>
    <xf numFmtId="169" fontId="17" fillId="15" borderId="42" xfId="22" applyNumberFormat="1" applyFont="1" applyFill="1" applyBorder="1" applyAlignment="1" applyProtection="1">
      <alignment horizontal="center"/>
    </xf>
    <xf numFmtId="0" fontId="17" fillId="15" borderId="23" xfId="21" applyFont="1" applyFill="1" applyBorder="1" applyAlignment="1" applyProtection="1">
      <alignment horizontal="center" vertical="center"/>
    </xf>
    <xf numFmtId="0" fontId="18" fillId="15" borderId="15" xfId="21" applyFont="1" applyFill="1" applyBorder="1" applyProtection="1"/>
    <xf numFmtId="10" fontId="18" fillId="15" borderId="15" xfId="3" applyNumberFormat="1" applyFont="1" applyFill="1" applyBorder="1" applyProtection="1"/>
    <xf numFmtId="169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/>
    </xf>
    <xf numFmtId="44" fontId="18" fillId="15" borderId="15" xfId="21" applyNumberFormat="1" applyFont="1" applyFill="1" applyBorder="1" applyProtection="1"/>
    <xf numFmtId="169" fontId="21" fillId="15" borderId="15" xfId="21" applyNumberFormat="1" applyFont="1" applyFill="1" applyBorder="1" applyAlignment="1" applyProtection="1">
      <alignment horizontal="right"/>
    </xf>
    <xf numFmtId="169" fontId="17" fillId="15" borderId="15" xfId="21" applyNumberFormat="1" applyFont="1" applyFill="1" applyBorder="1" applyAlignment="1" applyProtection="1">
      <alignment horizontal="right" vertical="center"/>
    </xf>
    <xf numFmtId="169" fontId="17" fillId="15" borderId="15" xfId="21" applyNumberFormat="1" applyFont="1" applyFill="1" applyBorder="1" applyAlignment="1" applyProtection="1">
      <alignment horizontal="right"/>
    </xf>
    <xf numFmtId="169" fontId="18" fillId="15" borderId="15" xfId="21" applyNumberFormat="1" applyFont="1" applyFill="1" applyBorder="1" applyAlignment="1" applyProtection="1">
      <alignment horizontal="right"/>
    </xf>
    <xf numFmtId="0" fontId="29" fillId="15" borderId="21" xfId="21" applyFont="1" applyFill="1" applyBorder="1" applyProtection="1"/>
    <xf numFmtId="172" fontId="11" fillId="2" borderId="0" xfId="0" applyNumberFormat="1" applyFont="1" applyFill="1" applyAlignment="1">
      <alignment horizontal="left" vertical="center"/>
    </xf>
    <xf numFmtId="0" fontId="10" fillId="20" borderId="4" xfId="0" applyFont="1" applyFill="1" applyBorder="1" applyAlignment="1">
      <alignment vertical="center"/>
    </xf>
    <xf numFmtId="10" fontId="18" fillId="6" borderId="0" xfId="3" applyNumberFormat="1" applyFont="1" applyFill="1"/>
    <xf numFmtId="175" fontId="18" fillId="0" borderId="15" xfId="2" applyNumberFormat="1" applyFont="1" applyBorder="1"/>
    <xf numFmtId="44" fontId="18" fillId="6" borderId="15" xfId="13" applyNumberFormat="1" applyFont="1" applyFill="1" applyBorder="1" applyAlignment="1">
      <alignment vertical="center"/>
    </xf>
    <xf numFmtId="169" fontId="21" fillId="0" borderId="15" xfId="21" applyNumberFormat="1" applyFont="1" applyBorder="1" applyProtection="1"/>
    <xf numFmtId="169" fontId="21" fillId="15" borderId="15" xfId="21" applyNumberFormat="1" applyFont="1" applyFill="1" applyBorder="1" applyProtection="1"/>
    <xf numFmtId="4" fontId="18" fillId="15" borderId="15" xfId="21" applyNumberFormat="1" applyFont="1" applyFill="1" applyBorder="1" applyProtection="1"/>
    <xf numFmtId="169" fontId="25" fillId="15" borderId="40" xfId="22" applyNumberFormat="1" applyFont="1" applyFill="1" applyBorder="1" applyAlignment="1" applyProtection="1">
      <alignment horizontal="center"/>
    </xf>
    <xf numFmtId="44" fontId="18" fillId="15" borderId="42" xfId="2" applyFont="1" applyFill="1" applyBorder="1" applyAlignment="1">
      <alignment horizontal="center"/>
    </xf>
    <xf numFmtId="0" fontId="23" fillId="4" borderId="10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30" fillId="11" borderId="0" xfId="23" applyFont="1" applyFill="1" applyAlignment="1">
      <alignment horizontal="center"/>
    </xf>
    <xf numFmtId="1" fontId="17" fillId="9" borderId="33" xfId="13" applyNumberFormat="1" applyFont="1" applyFill="1" applyBorder="1" applyAlignment="1">
      <alignment horizontal="center" vertical="center" wrapText="1"/>
    </xf>
    <xf numFmtId="1" fontId="17" fillId="9" borderId="7" xfId="13" applyNumberFormat="1" applyFont="1" applyFill="1" applyBorder="1" applyAlignment="1">
      <alignment horizontal="center" vertical="center"/>
    </xf>
    <xf numFmtId="3" fontId="30" fillId="0" borderId="0" xfId="13" applyNumberFormat="1" applyFont="1" applyAlignment="1">
      <alignment horizontal="right"/>
    </xf>
    <xf numFmtId="1" fontId="17" fillId="9" borderId="37" xfId="13" applyNumberFormat="1" applyFont="1" applyFill="1" applyBorder="1" applyAlignment="1">
      <alignment horizontal="center" vertical="center"/>
    </xf>
    <xf numFmtId="1" fontId="17" fillId="9" borderId="5" xfId="13" applyNumberFormat="1" applyFont="1" applyFill="1" applyBorder="1" applyAlignment="1">
      <alignment horizontal="center" vertical="center"/>
    </xf>
    <xf numFmtId="1" fontId="17" fillId="9" borderId="38" xfId="13" applyNumberFormat="1" applyFont="1" applyFill="1" applyBorder="1" applyAlignment="1">
      <alignment horizontal="center" vertical="center"/>
    </xf>
    <xf numFmtId="3" fontId="17" fillId="9" borderId="33" xfId="13" applyNumberFormat="1" applyFont="1" applyFill="1" applyBorder="1" applyAlignment="1">
      <alignment horizontal="center" vertical="center"/>
    </xf>
    <xf numFmtId="3" fontId="17" fillId="9" borderId="7" xfId="13" applyNumberFormat="1" applyFont="1" applyFill="1" applyBorder="1" applyAlignment="1">
      <alignment horizontal="center" vertical="center"/>
    </xf>
    <xf numFmtId="1" fontId="17" fillId="12" borderId="10" xfId="13" applyNumberFormat="1" applyFont="1" applyFill="1" applyBorder="1" applyAlignment="1">
      <alignment horizontal="center" vertical="center"/>
    </xf>
    <xf numFmtId="1" fontId="17" fillId="11" borderId="15" xfId="13" applyNumberFormat="1" applyFont="1" applyFill="1" applyBorder="1" applyAlignment="1">
      <alignment horizontal="center" vertical="center"/>
    </xf>
    <xf numFmtId="0" fontId="17" fillId="12" borderId="10" xfId="13" applyFont="1" applyFill="1" applyBorder="1" applyAlignment="1">
      <alignment horizontal="center" vertical="center"/>
    </xf>
    <xf numFmtId="0" fontId="17" fillId="12" borderId="15" xfId="13" applyFont="1" applyFill="1" applyBorder="1" applyAlignment="1">
      <alignment horizontal="center" vertical="center"/>
    </xf>
    <xf numFmtId="0" fontId="17" fillId="11" borderId="16" xfId="13" applyFont="1" applyFill="1" applyBorder="1" applyAlignment="1">
      <alignment horizontal="center" vertical="center"/>
    </xf>
    <xf numFmtId="0" fontId="17" fillId="11" borderId="51" xfId="13" applyFont="1" applyFill="1" applyBorder="1" applyAlignment="1">
      <alignment horizontal="center" vertical="center"/>
    </xf>
    <xf numFmtId="1" fontId="17" fillId="9" borderId="13" xfId="13" applyNumberFormat="1" applyFont="1" applyFill="1" applyBorder="1" applyAlignment="1">
      <alignment horizontal="center" vertical="center"/>
    </xf>
    <xf numFmtId="1" fontId="17" fillId="9" borderId="16" xfId="13" applyNumberFormat="1" applyFont="1" applyFill="1" applyBorder="1" applyAlignment="1">
      <alignment horizontal="center" vertical="center"/>
    </xf>
    <xf numFmtId="1" fontId="17" fillId="9" borderId="10" xfId="13" applyNumberFormat="1" applyFont="1" applyFill="1" applyBorder="1" applyAlignment="1">
      <alignment horizontal="center" vertical="center"/>
    </xf>
    <xf numFmtId="1" fontId="17" fillId="9" borderId="8" xfId="13" applyNumberFormat="1" applyFont="1" applyFill="1" applyBorder="1" applyAlignment="1">
      <alignment horizontal="center" vertical="center"/>
    </xf>
    <xf numFmtId="0" fontId="33" fillId="7" borderId="0" xfId="20" applyFont="1" applyFill="1" applyAlignment="1" applyProtection="1">
      <alignment horizontal="center" vertical="center"/>
    </xf>
    <xf numFmtId="0" fontId="17" fillId="8" borderId="13" xfId="13" applyFont="1" applyFill="1" applyBorder="1" applyAlignment="1">
      <alignment horizontal="center" vertical="center"/>
    </xf>
    <xf numFmtId="0" fontId="17" fillId="8" borderId="20" xfId="13" applyFont="1" applyFill="1" applyBorder="1" applyAlignment="1">
      <alignment horizontal="center" vertical="center"/>
    </xf>
    <xf numFmtId="0" fontId="25" fillId="9" borderId="10" xfId="20" applyFont="1" applyFill="1" applyBorder="1" applyAlignment="1" applyProtection="1">
      <alignment horizontal="center" vertical="center"/>
    </xf>
    <xf numFmtId="0" fontId="17" fillId="9" borderId="8" xfId="13" applyFont="1" applyFill="1" applyBorder="1" applyAlignment="1">
      <alignment horizontal="center" vertical="center"/>
    </xf>
    <xf numFmtId="0" fontId="25" fillId="9" borderId="11" xfId="20" applyFont="1" applyFill="1" applyBorder="1" applyAlignment="1" applyProtection="1">
      <alignment horizontal="center" vertical="center"/>
    </xf>
    <xf numFmtId="0" fontId="17" fillId="9" borderId="12" xfId="13" applyFont="1" applyFill="1" applyBorder="1" applyAlignment="1">
      <alignment horizontal="center" vertical="center"/>
    </xf>
    <xf numFmtId="1" fontId="17" fillId="9" borderId="6" xfId="13" applyNumberFormat="1" applyFont="1" applyFill="1" applyBorder="1" applyAlignment="1">
      <alignment horizontal="center" vertical="center"/>
    </xf>
    <xf numFmtId="1" fontId="18" fillId="8" borderId="6" xfId="13" applyNumberFormat="1" applyFont="1" applyFill="1" applyBorder="1" applyAlignment="1">
      <alignment horizontal="center" vertical="center"/>
    </xf>
    <xf numFmtId="0" fontId="17" fillId="10" borderId="17" xfId="13" applyFont="1" applyFill="1" applyBorder="1" applyAlignment="1">
      <alignment horizontal="center" vertical="center"/>
    </xf>
    <xf numFmtId="0" fontId="17" fillId="10" borderId="19" xfId="13" applyFont="1" applyFill="1" applyBorder="1" applyAlignment="1">
      <alignment horizontal="center" vertical="center"/>
    </xf>
    <xf numFmtId="0" fontId="17" fillId="10" borderId="9" xfId="13" applyFont="1" applyFill="1" applyBorder="1" applyAlignment="1">
      <alignment horizontal="center" vertical="center"/>
    </xf>
    <xf numFmtId="0" fontId="25" fillId="9" borderId="8" xfId="20" applyFont="1" applyFill="1" applyBorder="1" applyAlignment="1" applyProtection="1">
      <alignment horizontal="center" vertical="center"/>
    </xf>
    <xf numFmtId="0" fontId="17" fillId="10" borderId="13" xfId="13" applyFont="1" applyFill="1" applyBorder="1" applyAlignment="1">
      <alignment horizontal="center" vertical="center"/>
    </xf>
    <xf numFmtId="0" fontId="17" fillId="10" borderId="20" xfId="13" applyFont="1" applyFill="1" applyBorder="1" applyAlignment="1">
      <alignment horizontal="center" vertical="center"/>
    </xf>
    <xf numFmtId="0" fontId="17" fillId="10" borderId="11" xfId="13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8" fillId="0" borderId="16" xfId="21" applyFont="1" applyBorder="1" applyAlignment="1" applyProtection="1">
      <alignment horizontal="center"/>
    </xf>
    <xf numFmtId="0" fontId="8" fillId="0" borderId="12" xfId="21" applyFont="1" applyBorder="1" applyAlignment="1" applyProtection="1">
      <alignment horizontal="center"/>
    </xf>
    <xf numFmtId="0" fontId="17" fillId="8" borderId="6" xfId="22" applyFont="1" applyFill="1" applyBorder="1" applyAlignment="1" applyProtection="1">
      <alignment horizontal="left" vertical="center"/>
    </xf>
    <xf numFmtId="0" fontId="18" fillId="8" borderId="6" xfId="22" applyFont="1" applyFill="1" applyBorder="1" applyAlignment="1" applyProtection="1">
      <alignment horizontal="left" vertical="center"/>
    </xf>
    <xf numFmtId="0" fontId="17" fillId="8" borderId="16" xfId="22" applyFont="1" applyFill="1" applyBorder="1" applyAlignment="1" applyProtection="1">
      <alignment horizontal="center" vertical="center"/>
    </xf>
    <xf numFmtId="0" fontId="17" fillId="8" borderId="51" xfId="22" applyFont="1" applyFill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left" wrapText="1"/>
      <protection hidden="1"/>
    </xf>
    <xf numFmtId="0" fontId="17" fillId="2" borderId="0" xfId="0" applyFont="1" applyFill="1" applyAlignment="1">
      <alignment horizontal="center" vertical="center"/>
    </xf>
    <xf numFmtId="10" fontId="17" fillId="3" borderId="14" xfId="2" applyNumberFormat="1" applyFont="1" applyFill="1" applyBorder="1" applyAlignment="1">
      <alignment horizontal="center" vertical="center"/>
    </xf>
    <xf numFmtId="10" fontId="17" fillId="3" borderId="3" xfId="2" applyNumberFormat="1" applyFont="1" applyFill="1" applyBorder="1" applyAlignment="1">
      <alignment horizontal="center" vertical="center"/>
    </xf>
    <xf numFmtId="8" fontId="17" fillId="3" borderId="16" xfId="2" applyNumberFormat="1" applyFont="1" applyFill="1" applyBorder="1" applyAlignment="1">
      <alignment horizontal="center" vertical="center"/>
    </xf>
    <xf numFmtId="44" fontId="17" fillId="3" borderId="12" xfId="2" applyFont="1" applyFill="1" applyBorder="1" applyAlignment="1">
      <alignment horizontal="center" vertical="center"/>
    </xf>
  </cellXfs>
  <cellStyles count="48">
    <cellStyle name="Comma" xfId="5" builtinId="3"/>
    <cellStyle name="Currency" xfId="2" builtinId="4"/>
    <cellStyle name="Euro" xfId="1" xr:uid="{00000000-0005-0000-0000-000001000000}"/>
    <cellStyle name="Hyperlink" xfId="20" builtinId="8"/>
    <cellStyle name="Moeda 2" xfId="7" xr:uid="{00000000-0005-0000-0000-000004000000}"/>
    <cellStyle name="Moeda 2 2" xfId="30" xr:uid="{0F097DDC-40CB-49B5-863E-C1411E822DCB}"/>
    <cellStyle name="Moeda 3" xfId="9" xr:uid="{00000000-0005-0000-0000-000005000000}"/>
    <cellStyle name="Moeda 3 2" xfId="32" xr:uid="{27AF1046-A619-4BE1-ABB0-71869C71E400}"/>
    <cellStyle name="Moeda 4" xfId="12" xr:uid="{00000000-0005-0000-0000-000006000000}"/>
    <cellStyle name="Moeda 4 2" xfId="35" xr:uid="{A7A0832E-6A0A-442F-80D1-E6E3D6D49276}"/>
    <cellStyle name="Moeda 5" xfId="19" xr:uid="{00000000-0005-0000-0000-000007000000}"/>
    <cellStyle name="Moeda 5 2" xfId="41" xr:uid="{31CF87E5-7CB9-436C-AF23-CC7ACE2C9A97}"/>
    <cellStyle name="Moeda 6" xfId="25" xr:uid="{00000000-0005-0000-0000-000008000000}"/>
    <cellStyle name="Moeda 6 2" xfId="45" xr:uid="{E7243F54-5612-49AC-82D5-C3B7B6803325}"/>
    <cellStyle name="Moeda 7" xfId="27" xr:uid="{6DCE2330-74B6-4C31-816A-DD92666889B6}"/>
    <cellStyle name="Moeda 7 2" xfId="47" xr:uid="{544CC3FB-4BE7-4388-81F4-BAF65A0A4EAF}"/>
    <cellStyle name="Normal" xfId="0" builtinId="0"/>
    <cellStyle name="Normal 2" xfId="6" xr:uid="{00000000-0005-0000-0000-00000A000000}"/>
    <cellStyle name="Normal 2 2" xfId="16" xr:uid="{00000000-0005-0000-0000-00000B000000}"/>
    <cellStyle name="Normal 2 2 2" xfId="38" xr:uid="{6D2BE09B-7D24-4DB4-ADC1-09D555DD79F5}"/>
    <cellStyle name="Normal 2 3" xfId="29" xr:uid="{F769887F-8342-4ECB-AFFE-28602CB06EC8}"/>
    <cellStyle name="Normal 3" xfId="8" xr:uid="{00000000-0005-0000-0000-00000C000000}"/>
    <cellStyle name="Normal 3 2" xfId="13" xr:uid="{00000000-0005-0000-0000-00000D000000}"/>
    <cellStyle name="Normal 3 3" xfId="17" xr:uid="{00000000-0005-0000-0000-00000E000000}"/>
    <cellStyle name="Normal 3 3 2" xfId="39" xr:uid="{07BC0036-9397-4091-AF1A-F7D2737DF17B}"/>
    <cellStyle name="Normal 3 4" xfId="31" xr:uid="{3D5A26B3-889F-45A9-8FFA-15E63FD3C404}"/>
    <cellStyle name="Normal 4" xfId="11" xr:uid="{00000000-0005-0000-0000-00000F000000}"/>
    <cellStyle name="Normal 4 2" xfId="34" xr:uid="{659589C5-C7B7-40C7-8874-F9CFEBF76031}"/>
    <cellStyle name="Normal 5" xfId="18" xr:uid="{00000000-0005-0000-0000-000010000000}"/>
    <cellStyle name="Normal 5 2" xfId="40" xr:uid="{FCF68361-28BA-4FF8-B372-84DF558F02AA}"/>
    <cellStyle name="Normal 6" xfId="21" xr:uid="{00000000-0005-0000-0000-000011000000}"/>
    <cellStyle name="Normal 6 2" xfId="42" xr:uid="{3590849D-A391-4020-9CF7-408EAA8C29C1}"/>
    <cellStyle name="Normal 7" xfId="22" xr:uid="{00000000-0005-0000-0000-000012000000}"/>
    <cellStyle name="Normal 8" xfId="23" xr:uid="{00000000-0005-0000-0000-000013000000}"/>
    <cellStyle name="Normal 8 2" xfId="43" xr:uid="{E96D56CD-E88D-4267-BDE3-2970264BFBB7}"/>
    <cellStyle name="Normal 9" xfId="26" xr:uid="{3A009D24-7A4C-4EBE-A794-CE21466BD4A8}"/>
    <cellStyle name="Normal 9 2" xfId="46" xr:uid="{7B2E5CFB-1EE4-4825-BFE1-A36C7045775C}"/>
    <cellStyle name="Percent" xfId="3" builtinId="5"/>
    <cellStyle name="Percentagem 2" xfId="4" xr:uid="{00000000-0005-0000-0000-000015000000}"/>
    <cellStyle name="Percentagem 2 2" xfId="14" xr:uid="{00000000-0005-0000-0000-000016000000}"/>
    <cellStyle name="Percentagem 2 2 2" xfId="36" xr:uid="{AAFC1421-FD49-4B83-B721-338F79C6A8CA}"/>
    <cellStyle name="Percentagem 2 3" xfId="28" xr:uid="{B90A3931-0984-4437-AD48-9B2AF10B491A}"/>
    <cellStyle name="Percentagem 3" xfId="10" xr:uid="{00000000-0005-0000-0000-000017000000}"/>
    <cellStyle name="Percentagem 3 2" xfId="33" xr:uid="{C6A22745-4FC0-4495-BA9E-111AF1332EF1}"/>
    <cellStyle name="Percentagem 4" xfId="24" xr:uid="{00000000-0005-0000-0000-000018000000}"/>
    <cellStyle name="Percentagem 4 2" xfId="44" xr:uid="{2721872B-9E33-44F1-9B38-7BF0C31DB5F1}"/>
    <cellStyle name="Separador de milhares [0] 2" xfId="15" xr:uid="{00000000-0005-0000-0000-000019000000}"/>
    <cellStyle name="Separador de milhares [0] 2 2" xfId="37" xr:uid="{67048E60-20DC-4BD8-9CBD-738C6AE3CE95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26670</xdr:rowOff>
    </xdr:from>
    <xdr:to>
      <xdr:col>1</xdr:col>
      <xdr:colOff>876300</xdr:colOff>
      <xdr:row>70</xdr:row>
      <xdr:rowOff>114106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2C55E-EA3F-2276-0908-9D9E2E71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570"/>
          <a:ext cx="5153025" cy="735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11"/>
      <c r="N2" s="111"/>
    </row>
    <row r="3" spans="1:14">
      <c r="A3" s="111"/>
    </row>
    <row r="4" spans="1:14">
      <c r="A4" s="111"/>
    </row>
    <row r="5" spans="1:14">
      <c r="A5" s="1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zoomScaleNormal="100" workbookViewId="0">
      <selection activeCell="B12" sqref="B12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67"/>
      <c r="C2" s="112">
        <v>2024</v>
      </c>
      <c r="D2" s="112">
        <f t="shared" ref="D2:M2" si="0">+C2+1</f>
        <v>2025</v>
      </c>
      <c r="E2" s="112">
        <f t="shared" si="0"/>
        <v>2026</v>
      </c>
      <c r="F2" s="112">
        <f t="shared" si="0"/>
        <v>2027</v>
      </c>
      <c r="G2" s="112">
        <f t="shared" si="0"/>
        <v>2028</v>
      </c>
      <c r="H2" s="112">
        <f t="shared" si="0"/>
        <v>2029</v>
      </c>
      <c r="I2" s="112">
        <f t="shared" si="0"/>
        <v>2030</v>
      </c>
      <c r="J2" s="112">
        <f t="shared" si="0"/>
        <v>2031</v>
      </c>
      <c r="K2" s="112">
        <f t="shared" si="0"/>
        <v>2032</v>
      </c>
      <c r="L2" s="113">
        <f t="shared" si="0"/>
        <v>2033</v>
      </c>
      <c r="M2" s="113">
        <f t="shared" si="0"/>
        <v>2034</v>
      </c>
      <c r="N2" s="112">
        <f>+M2+1</f>
        <v>2035</v>
      </c>
      <c r="O2" s="112">
        <f>+N2+1</f>
        <v>2036</v>
      </c>
      <c r="P2" s="112">
        <f>+O2+1</f>
        <v>2037</v>
      </c>
      <c r="Q2" s="112">
        <f>+P2+1</f>
        <v>2038</v>
      </c>
      <c r="R2" s="29"/>
      <c r="S2" s="29"/>
      <c r="T2" s="29"/>
    </row>
    <row r="3" spans="1:20" s="3" customFormat="1" ht="15" customHeight="1">
      <c r="A3" s="7" t="s">
        <v>10</v>
      </c>
      <c r="B3" s="468"/>
      <c r="C3" s="30">
        <v>2.1999999999999999E-2</v>
      </c>
      <c r="D3" s="30">
        <v>2.1999999999999999E-2</v>
      </c>
      <c r="E3" s="30">
        <v>2.1000000000000001E-2</v>
      </c>
      <c r="F3" s="30">
        <f t="shared" ref="F3:J3" si="1">+E3</f>
        <v>2.1000000000000001E-2</v>
      </c>
      <c r="G3" s="30">
        <v>0.02</v>
      </c>
      <c r="H3" s="30">
        <f t="shared" si="1"/>
        <v>0.02</v>
      </c>
      <c r="I3" s="30">
        <v>1.9E-2</v>
      </c>
      <c r="J3" s="30">
        <f t="shared" si="1"/>
        <v>1.9E-2</v>
      </c>
      <c r="K3" s="30">
        <v>1.7999999999999999E-2</v>
      </c>
      <c r="L3" s="31">
        <f t="shared" ref="L3:Q3" si="2">+K3</f>
        <v>1.7999999999999999E-2</v>
      </c>
      <c r="M3" s="31">
        <v>1.7000000000000001E-2</v>
      </c>
      <c r="N3" s="31">
        <f t="shared" si="2"/>
        <v>1.7000000000000001E-2</v>
      </c>
      <c r="O3" s="31">
        <f t="shared" si="2"/>
        <v>1.7000000000000001E-2</v>
      </c>
      <c r="P3" s="31">
        <f t="shared" si="2"/>
        <v>1.7000000000000001E-2</v>
      </c>
      <c r="Q3" s="31">
        <f t="shared" si="2"/>
        <v>1.7000000000000001E-2</v>
      </c>
      <c r="R3" s="29"/>
      <c r="S3" s="29"/>
      <c r="T3" s="29"/>
    </row>
    <row r="4" spans="1:20" s="3" customFormat="1" ht="15" customHeight="1">
      <c r="A4" s="8" t="s">
        <v>19</v>
      </c>
      <c r="B4" s="469"/>
      <c r="C4" s="32">
        <v>1</v>
      </c>
      <c r="D4" s="32">
        <f t="shared" ref="D4:J4" si="3">+C4*(1+D3)</f>
        <v>1.022</v>
      </c>
      <c r="E4" s="33">
        <f t="shared" si="3"/>
        <v>1.0434619999999999</v>
      </c>
      <c r="F4" s="33">
        <f t="shared" si="3"/>
        <v>1.0653747019999997</v>
      </c>
      <c r="G4" s="33">
        <f t="shared" si="3"/>
        <v>1.0866821960399997</v>
      </c>
      <c r="H4" s="33">
        <f t="shared" si="3"/>
        <v>1.1084158399607997</v>
      </c>
      <c r="I4" s="33">
        <f t="shared" si="3"/>
        <v>1.1294757409200549</v>
      </c>
      <c r="J4" s="33">
        <f t="shared" si="3"/>
        <v>1.1509357799975357</v>
      </c>
      <c r="K4" s="33">
        <f t="shared" ref="K4:Q4" si="4">+J4*(1+K3)</f>
        <v>1.1716526240374914</v>
      </c>
      <c r="L4" s="34">
        <f t="shared" si="4"/>
        <v>1.1927423712701661</v>
      </c>
      <c r="M4" s="34">
        <f t="shared" si="4"/>
        <v>1.2130189915817589</v>
      </c>
      <c r="N4" s="34">
        <f t="shared" si="4"/>
        <v>1.2336403144386487</v>
      </c>
      <c r="O4" s="34">
        <f t="shared" si="4"/>
        <v>1.2546121997841058</v>
      </c>
      <c r="P4" s="34">
        <f t="shared" si="4"/>
        <v>1.2759406071804353</v>
      </c>
      <c r="Q4" s="34">
        <f t="shared" si="4"/>
        <v>1.2976315975025026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14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2024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14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60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55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15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14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0.23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14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79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80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81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82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15" t="s">
        <v>136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zoomScale="90" zoomScaleNormal="90" workbookViewId="0">
      <selection activeCell="D9" sqref="D9"/>
    </sheetView>
  </sheetViews>
  <sheetFormatPr defaultColWidth="9.109375" defaultRowHeight="14.4"/>
  <cols>
    <col min="1" max="1" width="49.88671875" style="97" bestFit="1" customWidth="1"/>
    <col min="2" max="8" width="17.6640625" style="247" customWidth="1"/>
    <col min="9" max="16384" width="9.109375" style="96"/>
  </cols>
  <sheetData>
    <row r="1" spans="1:10" s="95" customFormat="1" ht="15" customHeight="1">
      <c r="A1" s="262" t="s">
        <v>9</v>
      </c>
      <c r="B1" s="262">
        <v>2024</v>
      </c>
      <c r="C1" s="262">
        <f>+B1+1</f>
        <v>2025</v>
      </c>
      <c r="D1" s="262">
        <f>+C1+1</f>
        <v>2026</v>
      </c>
      <c r="E1" s="262">
        <f>+D1+1</f>
        <v>2027</v>
      </c>
      <c r="F1" s="262">
        <f>+E1+1</f>
        <v>2028</v>
      </c>
      <c r="G1" s="262">
        <f t="shared" ref="G1:H1" si="0">+F1+1</f>
        <v>2029</v>
      </c>
      <c r="H1" s="262">
        <f t="shared" si="0"/>
        <v>2030</v>
      </c>
    </row>
    <row r="2" spans="1:10" s="95" customFormat="1" ht="15" customHeight="1">
      <c r="A2" s="245"/>
      <c r="B2" s="332"/>
      <c r="C2" s="332"/>
      <c r="D2" s="332"/>
      <c r="E2" s="332"/>
      <c r="F2" s="332"/>
      <c r="G2" s="332"/>
      <c r="H2" s="332"/>
    </row>
    <row r="3" spans="1:10" s="95" customFormat="1" ht="15" customHeight="1">
      <c r="A3" s="245" t="s">
        <v>181</v>
      </c>
      <c r="B3" s="237">
        <v>10701563.939999999</v>
      </c>
      <c r="C3" s="237">
        <v>10560493</v>
      </c>
      <c r="D3" s="237">
        <v>12144567</v>
      </c>
      <c r="E3" s="237">
        <v>14087698</v>
      </c>
      <c r="F3" s="237">
        <v>15073836</v>
      </c>
      <c r="G3" s="237">
        <f t="shared" ref="G3:H3" si="1">F3*1.02</f>
        <v>15375312.720000001</v>
      </c>
      <c r="H3" s="237">
        <f t="shared" si="1"/>
        <v>15682818.974400001</v>
      </c>
    </row>
    <row r="4" spans="1:10" s="95" customFormat="1" ht="15" customHeight="1">
      <c r="A4" s="245" t="s">
        <v>180</v>
      </c>
      <c r="B4" s="237"/>
      <c r="C4" s="237"/>
      <c r="D4" s="237"/>
      <c r="E4" s="237"/>
      <c r="F4" s="237"/>
      <c r="G4" s="237"/>
      <c r="H4" s="237"/>
    </row>
    <row r="5" spans="1:10" s="95" customFormat="1" ht="15" customHeight="1">
      <c r="A5" s="245"/>
      <c r="B5" s="237"/>
      <c r="C5" s="237"/>
      <c r="D5" s="237"/>
      <c r="E5" s="237"/>
      <c r="F5" s="237"/>
      <c r="G5" s="237"/>
      <c r="H5" s="237"/>
    </row>
    <row r="6" spans="1:10" s="95" customFormat="1" ht="15" customHeight="1">
      <c r="A6" s="245"/>
      <c r="B6" s="237"/>
      <c r="C6" s="237"/>
      <c r="D6" s="237"/>
      <c r="E6" s="237"/>
      <c r="F6" s="237"/>
      <c r="G6" s="237"/>
      <c r="H6" s="237"/>
    </row>
    <row r="7" spans="1:10" s="95" customFormat="1" ht="15" customHeight="1">
      <c r="A7" s="245"/>
      <c r="B7" s="237"/>
      <c r="C7" s="237"/>
      <c r="D7" s="237"/>
      <c r="E7" s="237"/>
      <c r="F7" s="237"/>
      <c r="G7" s="237"/>
      <c r="H7" s="237"/>
    </row>
    <row r="8" spans="1:10" ht="24" customHeight="1">
      <c r="A8" s="261" t="s">
        <v>149</v>
      </c>
      <c r="B8" s="264">
        <f>SUM(B2:B7)</f>
        <v>10701563.939999999</v>
      </c>
      <c r="C8" s="264">
        <f t="shared" ref="C8:H8" si="2">SUM(C2:C7)</f>
        <v>10560493</v>
      </c>
      <c r="D8" s="264">
        <f t="shared" si="2"/>
        <v>12144567</v>
      </c>
      <c r="E8" s="264">
        <f t="shared" si="2"/>
        <v>14087698</v>
      </c>
      <c r="F8" s="264">
        <f t="shared" si="2"/>
        <v>15073836</v>
      </c>
      <c r="G8" s="264">
        <f t="shared" si="2"/>
        <v>15375312.720000001</v>
      </c>
      <c r="H8" s="264">
        <f t="shared" si="2"/>
        <v>15682818.974400001</v>
      </c>
    </row>
    <row r="9" spans="1:10">
      <c r="A9" s="220"/>
      <c r="B9" s="246"/>
      <c r="C9" s="397">
        <f t="shared" ref="C9:H9" si="3">C8/B8</f>
        <v>0.98681772675555313</v>
      </c>
      <c r="D9" s="397">
        <f t="shared" si="3"/>
        <v>1.1500000047346275</v>
      </c>
      <c r="E9" s="397">
        <f>E8/D8</f>
        <v>1.1600000230555769</v>
      </c>
      <c r="F9" s="397">
        <f t="shared" si="3"/>
        <v>1.0699999389538304</v>
      </c>
      <c r="G9" s="397">
        <f t="shared" si="3"/>
        <v>1.02</v>
      </c>
      <c r="H9" s="397">
        <f t="shared" si="3"/>
        <v>1.02</v>
      </c>
      <c r="J9" s="333"/>
    </row>
    <row r="11" spans="1:10">
      <c r="A11" s="470" t="s">
        <v>176</v>
      </c>
      <c r="B11" s="470"/>
      <c r="C11" s="470"/>
      <c r="D11" s="470"/>
      <c r="E11" s="470"/>
      <c r="F11" s="470"/>
    </row>
    <row r="12" spans="1:10">
      <c r="A12" s="220" t="s">
        <v>154</v>
      </c>
      <c r="B12" s="263">
        <v>1</v>
      </c>
      <c r="E12" s="246">
        <f>+$F$8*B12</f>
        <v>15073836</v>
      </c>
      <c r="F12" s="247">
        <v>448909.69916780002</v>
      </c>
    </row>
    <row r="13" spans="1:10">
      <c r="A13" s="220" t="s">
        <v>177</v>
      </c>
      <c r="B13" s="263">
        <v>0</v>
      </c>
      <c r="E13" s="246">
        <f t="shared" ref="E13:E16" si="4">+$F$8*B13</f>
        <v>0</v>
      </c>
      <c r="F13" s="247">
        <v>138126.06128240001</v>
      </c>
    </row>
    <row r="14" spans="1:10">
      <c r="A14" s="220" t="s">
        <v>178</v>
      </c>
      <c r="B14" s="263">
        <v>0</v>
      </c>
      <c r="E14" s="246">
        <f t="shared" si="4"/>
        <v>0</v>
      </c>
      <c r="F14" s="247">
        <v>34531.515320600003</v>
      </c>
    </row>
    <row r="15" spans="1:10">
      <c r="A15" s="220" t="s">
        <v>169</v>
      </c>
      <c r="B15" s="263">
        <v>0</v>
      </c>
      <c r="E15" s="246">
        <f t="shared" si="4"/>
        <v>0</v>
      </c>
      <c r="F15" s="247">
        <v>34531.515320600003</v>
      </c>
    </row>
    <row r="16" spans="1:10">
      <c r="A16" s="220" t="s">
        <v>179</v>
      </c>
      <c r="B16" s="263">
        <v>0</v>
      </c>
      <c r="E16" s="246">
        <f t="shared" si="4"/>
        <v>0</v>
      </c>
      <c r="F16" s="247">
        <v>34531.515320600003</v>
      </c>
    </row>
    <row r="17" spans="1:5">
      <c r="B17" s="263">
        <f>SUM(B12:B16)</f>
        <v>1</v>
      </c>
      <c r="E17" s="260">
        <f>SUM(E12:E16)</f>
        <v>15073836</v>
      </c>
    </row>
    <row r="19" spans="1:5" ht="15.6">
      <c r="A19" s="334"/>
    </row>
    <row r="20" spans="1:5" ht="15.6">
      <c r="A20" s="334"/>
      <c r="D20" s="247">
        <f>+D8*0.05</f>
        <v>607228.35</v>
      </c>
      <c r="E20" s="394">
        <f>+(F8-304916.94)/F8</f>
        <v>0.97977177541270855</v>
      </c>
    </row>
    <row r="21" spans="1:5" ht="15.6">
      <c r="A21" s="334"/>
    </row>
    <row r="22" spans="1:5" ht="15.6">
      <c r="A22" s="334"/>
    </row>
    <row r="23" spans="1:5" ht="15.6">
      <c r="A23" s="334"/>
    </row>
    <row r="24" spans="1:5" ht="15.6">
      <c r="A24" s="334"/>
    </row>
    <row r="25" spans="1:5" ht="15.6">
      <c r="A25" s="334"/>
    </row>
    <row r="26" spans="1:5" ht="15.6">
      <c r="A26" s="334"/>
    </row>
    <row r="27" spans="1:5" ht="15.6">
      <c r="A27" s="334"/>
    </row>
    <row r="28" spans="1:5" ht="15.6">
      <c r="A28" s="334"/>
    </row>
    <row r="29" spans="1:5">
      <c r="A29" s="335"/>
    </row>
    <row r="30" spans="1:5" ht="15.6">
      <c r="A30" s="336"/>
    </row>
    <row r="31" spans="1:5" ht="15.6">
      <c r="A31" s="336"/>
    </row>
    <row r="32" spans="1:5" ht="15.6">
      <c r="A32" s="336"/>
    </row>
    <row r="33" spans="1:1" ht="15.6">
      <c r="A33" s="336"/>
    </row>
    <row r="34" spans="1:1" ht="15.6">
      <c r="A34" s="336"/>
    </row>
  </sheetData>
  <mergeCells count="1">
    <mergeCell ref="A11:F11"/>
  </mergeCells>
  <phoneticPr fontId="9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L100"/>
  <sheetViews>
    <sheetView showGridLines="0" topLeftCell="A5" zoomScaleNormal="100" workbookViewId="0">
      <selection activeCell="G19" sqref="G19"/>
    </sheetView>
  </sheetViews>
  <sheetFormatPr defaultColWidth="9.109375" defaultRowHeight="10.199999999999999"/>
  <cols>
    <col min="1" max="1" width="41.88671875" style="2" bestFit="1" customWidth="1"/>
    <col min="2" max="2" width="11.77734375" style="2" bestFit="1" customWidth="1"/>
    <col min="3" max="3" width="14.6640625" style="2" bestFit="1" customWidth="1"/>
    <col min="4" max="4" width="14.88671875" style="2" bestFit="1" customWidth="1"/>
    <col min="5" max="12" width="14.44140625" style="2" bestFit="1" customWidth="1"/>
    <col min="13" max="16384" width="9.109375" style="2"/>
  </cols>
  <sheetData>
    <row r="1" spans="1:12" s="56" customFormat="1" ht="33" customHeight="1">
      <c r="A1" s="197" t="s">
        <v>162</v>
      </c>
      <c r="B1" s="197" t="s">
        <v>163</v>
      </c>
      <c r="C1" s="112">
        <v>2024</v>
      </c>
      <c r="D1" s="112">
        <f>+C1+1</f>
        <v>2025</v>
      </c>
      <c r="E1" s="112">
        <f t="shared" ref="E1:L1" si="0">+D1+1</f>
        <v>2026</v>
      </c>
      <c r="F1" s="112">
        <f t="shared" si="0"/>
        <v>2027</v>
      </c>
      <c r="G1" s="112">
        <f t="shared" si="0"/>
        <v>2028</v>
      </c>
      <c r="H1" s="112">
        <f t="shared" si="0"/>
        <v>2029</v>
      </c>
      <c r="I1" s="112">
        <f t="shared" si="0"/>
        <v>2030</v>
      </c>
      <c r="J1" s="112">
        <f t="shared" si="0"/>
        <v>2031</v>
      </c>
      <c r="K1" s="112">
        <f>+J1+1</f>
        <v>2032</v>
      </c>
      <c r="L1" s="112">
        <f t="shared" si="0"/>
        <v>2033</v>
      </c>
    </row>
    <row r="2" spans="1:12" s="55" customFormat="1" ht="15" customHeight="1">
      <c r="A2" s="420" t="s">
        <v>182</v>
      </c>
      <c r="B2" s="305">
        <v>0</v>
      </c>
      <c r="C2" s="237">
        <v>0</v>
      </c>
      <c r="D2" s="237">
        <f>+$B$2*12</f>
        <v>0</v>
      </c>
      <c r="E2" s="237">
        <f t="shared" ref="E2:L2" si="1">D2*E19</f>
        <v>0</v>
      </c>
      <c r="F2" s="237">
        <f t="shared" si="1"/>
        <v>0</v>
      </c>
      <c r="G2" s="237">
        <f t="shared" si="1"/>
        <v>0</v>
      </c>
      <c r="H2" s="237">
        <f t="shared" si="1"/>
        <v>0</v>
      </c>
      <c r="I2" s="237">
        <f t="shared" si="1"/>
        <v>0</v>
      </c>
      <c r="J2" s="237">
        <f t="shared" si="1"/>
        <v>0</v>
      </c>
      <c r="K2" s="237">
        <f t="shared" si="1"/>
        <v>0</v>
      </c>
      <c r="L2" s="237">
        <f t="shared" si="1"/>
        <v>0</v>
      </c>
    </row>
    <row r="3" spans="1:12" s="55" customFormat="1" ht="15" customHeight="1">
      <c r="A3" s="420" t="s">
        <v>208</v>
      </c>
      <c r="B3" s="305">
        <v>69500</v>
      </c>
      <c r="C3" s="237">
        <v>832693.66</v>
      </c>
      <c r="D3" s="237">
        <f>+$B$3*12</f>
        <v>834000</v>
      </c>
      <c r="E3" s="237">
        <f t="shared" ref="E3" si="2">D3*E19</f>
        <v>917400.00000000012</v>
      </c>
      <c r="F3" s="237">
        <f t="shared" ref="F3" si="3">E3*F19</f>
        <v>1009140.0000000002</v>
      </c>
      <c r="G3" s="237">
        <f t="shared" ref="G3" si="4">F3*G19</f>
        <v>1059597.0000000002</v>
      </c>
      <c r="H3" s="237">
        <f t="shared" ref="H3" si="5">G3*H19</f>
        <v>1091384.9100000004</v>
      </c>
      <c r="I3" s="237">
        <f t="shared" ref="I3" si="6">H3*I19</f>
        <v>1124126.4573000004</v>
      </c>
      <c r="J3" s="237">
        <f t="shared" ref="J3" si="7">I3*J19</f>
        <v>1157850.2510190003</v>
      </c>
      <c r="K3" s="237">
        <f t="shared" ref="K3" si="8">J3*K19</f>
        <v>1192585.7585495703</v>
      </c>
      <c r="L3" s="237">
        <f t="shared" ref="L3" si="9">K3*L19</f>
        <v>1228363.3313060575</v>
      </c>
    </row>
    <row r="4" spans="1:12" s="55" customFormat="1" ht="15" customHeight="1">
      <c r="A4" s="420" t="s">
        <v>209</v>
      </c>
      <c r="B4" s="305">
        <v>8850</v>
      </c>
      <c r="C4" s="237">
        <v>105235.32</v>
      </c>
      <c r="D4" s="237">
        <f>+B4*12</f>
        <v>106200</v>
      </c>
      <c r="E4" s="396">
        <f t="shared" ref="E4:E5" si="10">D4*E19</f>
        <v>116820.00000000001</v>
      </c>
      <c r="F4" s="396">
        <f t="shared" ref="F4:F5" si="11">E4*F19</f>
        <v>128502.00000000003</v>
      </c>
      <c r="G4" s="396">
        <f t="shared" ref="G4:G5" si="12">F4*G19</f>
        <v>134927.10000000003</v>
      </c>
      <c r="H4" s="396">
        <f t="shared" ref="H4:H5" si="13">G4*H19</f>
        <v>138974.91300000003</v>
      </c>
      <c r="I4" s="396">
        <f t="shared" ref="I4:I5" si="14">H4*I19</f>
        <v>143144.16039000003</v>
      </c>
      <c r="J4" s="396">
        <f t="shared" ref="J4:J5" si="15">I4*J19</f>
        <v>147438.48520170004</v>
      </c>
      <c r="K4" s="396">
        <f t="shared" ref="K4:K5" si="16">J4*K19</f>
        <v>151861.63975775105</v>
      </c>
      <c r="L4" s="396">
        <f t="shared" ref="L4:L5" si="17">K4*L19</f>
        <v>156417.48895048359</v>
      </c>
    </row>
    <row r="5" spans="1:12" s="55" customFormat="1" ht="15" customHeight="1">
      <c r="A5" s="420" t="s">
        <v>210</v>
      </c>
      <c r="B5" s="305">
        <v>8900</v>
      </c>
      <c r="C5" s="237">
        <v>106213.96</v>
      </c>
      <c r="D5" s="237">
        <f>+B5*12</f>
        <v>106800</v>
      </c>
      <c r="E5" s="396">
        <f t="shared" si="10"/>
        <v>114810</v>
      </c>
      <c r="F5" s="396">
        <f t="shared" si="11"/>
        <v>123420.75</v>
      </c>
      <c r="G5" s="396">
        <f t="shared" si="12"/>
        <v>128357.58</v>
      </c>
      <c r="H5" s="396">
        <f t="shared" si="13"/>
        <v>130924.7316</v>
      </c>
      <c r="I5" s="396">
        <f t="shared" si="14"/>
        <v>133543.22623200002</v>
      </c>
      <c r="J5" s="396">
        <f t="shared" si="15"/>
        <v>136214.09075664001</v>
      </c>
      <c r="K5" s="396">
        <f t="shared" si="16"/>
        <v>138938.37257177281</v>
      </c>
      <c r="L5" s="396">
        <f t="shared" si="17"/>
        <v>141717.14002320828</v>
      </c>
    </row>
    <row r="6" spans="1:12" s="55" customFormat="1" ht="15" customHeight="1">
      <c r="A6" s="420" t="s">
        <v>211</v>
      </c>
      <c r="B6" s="305">
        <v>7750</v>
      </c>
      <c r="C6" s="237">
        <v>93186.09</v>
      </c>
      <c r="D6" s="237">
        <f>+$B$6*12</f>
        <v>93000</v>
      </c>
      <c r="E6" s="237">
        <f t="shared" ref="E6" si="18">D6*E19</f>
        <v>102300.00000000001</v>
      </c>
      <c r="F6" s="237">
        <f t="shared" ref="F6:F7" si="19">E6*F19</f>
        <v>112530.00000000003</v>
      </c>
      <c r="G6" s="237">
        <f t="shared" ref="G6:G7" si="20">F6*G19</f>
        <v>118156.50000000003</v>
      </c>
      <c r="H6" s="237">
        <f t="shared" ref="H6:H7" si="21">G6*H19</f>
        <v>121701.19500000004</v>
      </c>
      <c r="I6" s="237">
        <f t="shared" ref="I6:I7" si="22">H6*I19</f>
        <v>125352.23085000004</v>
      </c>
      <c r="J6" s="237">
        <f t="shared" ref="J6:J7" si="23">I6*J19</f>
        <v>129112.79777550005</v>
      </c>
      <c r="K6" s="237">
        <f t="shared" ref="K6:K7" si="24">J6*K19</f>
        <v>132986.18170876504</v>
      </c>
      <c r="L6" s="237">
        <f t="shared" ref="L6:L7" si="25">K6*L19</f>
        <v>136975.76716002799</v>
      </c>
    </row>
    <row r="7" spans="1:12" s="55" customFormat="1" ht="15" customHeight="1">
      <c r="A7" s="420" t="s">
        <v>212</v>
      </c>
      <c r="B7" s="305">
        <v>46250</v>
      </c>
      <c r="C7" s="305">
        <v>553579.66</v>
      </c>
      <c r="D7" s="237">
        <f>+$B$7*12</f>
        <v>555000</v>
      </c>
      <c r="E7" s="237">
        <f>D7*E20</f>
        <v>596625</v>
      </c>
      <c r="F7" s="237">
        <f t="shared" si="19"/>
        <v>641371.875</v>
      </c>
      <c r="G7" s="237">
        <f t="shared" si="20"/>
        <v>667026.75</v>
      </c>
      <c r="H7" s="237">
        <f t="shared" si="21"/>
        <v>680367.28500000003</v>
      </c>
      <c r="I7" s="237">
        <f t="shared" si="22"/>
        <v>693974.6307000001</v>
      </c>
      <c r="J7" s="237">
        <f t="shared" si="23"/>
        <v>707854.12331400008</v>
      </c>
      <c r="K7" s="237">
        <f t="shared" si="24"/>
        <v>722011.20578028006</v>
      </c>
      <c r="L7" s="237">
        <f t="shared" si="25"/>
        <v>736451.42989588564</v>
      </c>
    </row>
    <row r="8" spans="1:12" s="55" customFormat="1" ht="15" customHeight="1">
      <c r="A8" s="304"/>
      <c r="B8" s="305"/>
      <c r="C8" s="237"/>
      <c r="D8" s="237">
        <f>+$B$8*12</f>
        <v>0</v>
      </c>
      <c r="E8" s="237">
        <f t="shared" ref="E8:L8" si="26">D8*E20</f>
        <v>0</v>
      </c>
      <c r="F8" s="237">
        <f t="shared" si="26"/>
        <v>0</v>
      </c>
      <c r="G8" s="237">
        <f t="shared" si="26"/>
        <v>0</v>
      </c>
      <c r="H8" s="237">
        <f t="shared" si="26"/>
        <v>0</v>
      </c>
      <c r="I8" s="237">
        <f t="shared" si="26"/>
        <v>0</v>
      </c>
      <c r="J8" s="237">
        <f t="shared" si="26"/>
        <v>0</v>
      </c>
      <c r="K8" s="237">
        <f t="shared" si="26"/>
        <v>0</v>
      </c>
      <c r="L8" s="237">
        <f t="shared" si="26"/>
        <v>0</v>
      </c>
    </row>
    <row r="9" spans="1:12" s="55" customFormat="1" ht="15" customHeight="1">
      <c r="A9" s="304"/>
      <c r="B9" s="305"/>
      <c r="C9" s="237"/>
      <c r="D9" s="237">
        <f>+$B$9*12</f>
        <v>0</v>
      </c>
      <c r="E9" s="237">
        <f t="shared" ref="E9:L9" si="27">D9*E19</f>
        <v>0</v>
      </c>
      <c r="F9" s="237">
        <f t="shared" si="27"/>
        <v>0</v>
      </c>
      <c r="G9" s="237">
        <f t="shared" si="27"/>
        <v>0</v>
      </c>
      <c r="H9" s="237">
        <f t="shared" si="27"/>
        <v>0</v>
      </c>
      <c r="I9" s="237">
        <f t="shared" si="27"/>
        <v>0</v>
      </c>
      <c r="J9" s="237">
        <f t="shared" si="27"/>
        <v>0</v>
      </c>
      <c r="K9" s="237">
        <f t="shared" si="27"/>
        <v>0</v>
      </c>
      <c r="L9" s="237">
        <f t="shared" si="27"/>
        <v>0</v>
      </c>
    </row>
    <row r="10" spans="1:12" s="55" customFormat="1" ht="15" customHeight="1">
      <c r="A10" s="304"/>
      <c r="B10" s="305"/>
      <c r="C10" s="237"/>
      <c r="D10" s="237">
        <f>+$B$10*12</f>
        <v>0</v>
      </c>
      <c r="E10" s="237">
        <f t="shared" ref="E10:L11" si="28">D10*E19</f>
        <v>0</v>
      </c>
      <c r="F10" s="237">
        <f t="shared" si="28"/>
        <v>0</v>
      </c>
      <c r="G10" s="237">
        <f t="shared" si="28"/>
        <v>0</v>
      </c>
      <c r="H10" s="237">
        <f t="shared" si="28"/>
        <v>0</v>
      </c>
      <c r="I10" s="237">
        <f t="shared" si="28"/>
        <v>0</v>
      </c>
      <c r="J10" s="237">
        <f t="shared" si="28"/>
        <v>0</v>
      </c>
      <c r="K10" s="237">
        <f t="shared" si="28"/>
        <v>0</v>
      </c>
      <c r="L10" s="237">
        <f t="shared" si="28"/>
        <v>0</v>
      </c>
    </row>
    <row r="11" spans="1:12" s="55" customFormat="1" ht="15" customHeight="1">
      <c r="A11" s="304"/>
      <c r="B11" s="305"/>
      <c r="C11" s="237"/>
      <c r="D11" s="237">
        <f>+$B$11*12</f>
        <v>0</v>
      </c>
      <c r="E11" s="237">
        <f t="shared" si="28"/>
        <v>0</v>
      </c>
      <c r="F11" s="237">
        <f t="shared" si="28"/>
        <v>0</v>
      </c>
      <c r="G11" s="237">
        <f t="shared" si="28"/>
        <v>0</v>
      </c>
      <c r="H11" s="237">
        <f t="shared" si="28"/>
        <v>0</v>
      </c>
      <c r="I11" s="237">
        <f t="shared" si="28"/>
        <v>0</v>
      </c>
      <c r="J11" s="237">
        <f t="shared" si="28"/>
        <v>0</v>
      </c>
      <c r="K11" s="237">
        <f t="shared" si="28"/>
        <v>0</v>
      </c>
      <c r="L11" s="237">
        <f t="shared" si="28"/>
        <v>0</v>
      </c>
    </row>
    <row r="12" spans="1:12" s="55" customFormat="1" ht="15" customHeight="1">
      <c r="A12" s="304"/>
      <c r="B12" s="305"/>
      <c r="C12" s="237"/>
      <c r="D12" s="237">
        <f>+$B$12*12</f>
        <v>0</v>
      </c>
      <c r="E12" s="237">
        <f>D12*E19</f>
        <v>0</v>
      </c>
      <c r="F12" s="237">
        <f t="shared" ref="F12:L12" si="29">E12*F19</f>
        <v>0</v>
      </c>
      <c r="G12" s="237">
        <f t="shared" si="29"/>
        <v>0</v>
      </c>
      <c r="H12" s="237">
        <f t="shared" si="29"/>
        <v>0</v>
      </c>
      <c r="I12" s="237">
        <f t="shared" si="29"/>
        <v>0</v>
      </c>
      <c r="J12" s="237">
        <f t="shared" si="29"/>
        <v>0</v>
      </c>
      <c r="K12" s="237">
        <f t="shared" si="29"/>
        <v>0</v>
      </c>
      <c r="L12" s="237">
        <f t="shared" si="29"/>
        <v>0</v>
      </c>
    </row>
    <row r="13" spans="1:12" s="55" customFormat="1" ht="15" customHeight="1">
      <c r="A13" s="304"/>
      <c r="B13" s="305"/>
      <c r="C13" s="237"/>
      <c r="D13" s="237">
        <f>+$B$13*12</f>
        <v>0</v>
      </c>
      <c r="E13" s="237">
        <f>D13*E19</f>
        <v>0</v>
      </c>
      <c r="F13" s="237">
        <f t="shared" ref="F13:L13" si="30">E13*F19</f>
        <v>0</v>
      </c>
      <c r="G13" s="237">
        <f t="shared" si="30"/>
        <v>0</v>
      </c>
      <c r="H13" s="237">
        <f t="shared" si="30"/>
        <v>0</v>
      </c>
      <c r="I13" s="237">
        <f t="shared" si="30"/>
        <v>0</v>
      </c>
      <c r="J13" s="237">
        <f t="shared" si="30"/>
        <v>0</v>
      </c>
      <c r="K13" s="237">
        <f t="shared" si="30"/>
        <v>0</v>
      </c>
      <c r="L13" s="237">
        <f t="shared" si="30"/>
        <v>0</v>
      </c>
    </row>
    <row r="14" spans="1:12" s="55" customFormat="1" ht="15" customHeight="1">
      <c r="A14" s="304"/>
      <c r="B14" s="305"/>
      <c r="C14" s="237"/>
      <c r="D14" s="237">
        <f>+$B$14*12</f>
        <v>0</v>
      </c>
      <c r="E14" s="237">
        <f>D14*E19</f>
        <v>0</v>
      </c>
      <c r="F14" s="237">
        <f t="shared" ref="F14:L14" si="31">E14*F19</f>
        <v>0</v>
      </c>
      <c r="G14" s="237">
        <f t="shared" si="31"/>
        <v>0</v>
      </c>
      <c r="H14" s="237">
        <f t="shared" si="31"/>
        <v>0</v>
      </c>
      <c r="I14" s="237">
        <f t="shared" si="31"/>
        <v>0</v>
      </c>
      <c r="J14" s="237">
        <f t="shared" si="31"/>
        <v>0</v>
      </c>
      <c r="K14" s="237">
        <f t="shared" si="31"/>
        <v>0</v>
      </c>
      <c r="L14" s="237">
        <f t="shared" si="31"/>
        <v>0</v>
      </c>
    </row>
    <row r="15" spans="1:12" s="55" customFormat="1" ht="15" customHeight="1">
      <c r="A15" s="304"/>
      <c r="B15" s="305"/>
      <c r="C15" s="237"/>
      <c r="D15" s="237">
        <f>+$B$15*12</f>
        <v>0</v>
      </c>
      <c r="E15" s="237">
        <f>D15*E19</f>
        <v>0</v>
      </c>
      <c r="F15" s="237">
        <f t="shared" ref="F15:L15" si="32">E15*F19</f>
        <v>0</v>
      </c>
      <c r="G15" s="237">
        <f t="shared" si="32"/>
        <v>0</v>
      </c>
      <c r="H15" s="237">
        <f t="shared" si="32"/>
        <v>0</v>
      </c>
      <c r="I15" s="237">
        <f t="shared" si="32"/>
        <v>0</v>
      </c>
      <c r="J15" s="237">
        <f t="shared" si="32"/>
        <v>0</v>
      </c>
      <c r="K15" s="237">
        <f t="shared" si="32"/>
        <v>0</v>
      </c>
      <c r="L15" s="237">
        <f t="shared" si="32"/>
        <v>0</v>
      </c>
    </row>
    <row r="16" spans="1:12" ht="20.100000000000001" customHeight="1">
      <c r="A16" s="238" t="s">
        <v>161</v>
      </c>
      <c r="B16" s="239"/>
      <c r="D16" s="239"/>
      <c r="E16" s="239"/>
      <c r="F16" s="239"/>
      <c r="G16" s="239"/>
      <c r="H16" s="239"/>
      <c r="I16" s="239"/>
      <c r="J16" s="239"/>
      <c r="K16" s="239"/>
      <c r="L16" s="239"/>
    </row>
    <row r="17" spans="1:12" ht="20.100000000000001" customHeight="1">
      <c r="A17" s="248"/>
      <c r="B17" s="248"/>
      <c r="C17" s="239"/>
      <c r="D17" s="239"/>
      <c r="E17" s="239"/>
      <c r="F17" s="239"/>
      <c r="G17" s="239"/>
      <c r="H17" s="239"/>
      <c r="I17" s="239"/>
      <c r="J17" s="239"/>
      <c r="K17" s="239"/>
      <c r="L17" s="239"/>
    </row>
    <row r="18" spans="1:12" ht="20.100000000000001" customHeight="1">
      <c r="A18" s="240"/>
      <c r="B18" s="240"/>
      <c r="C18" s="241">
        <f>SUM(C2:C17)</f>
        <v>1690908.69</v>
      </c>
      <c r="D18" s="241">
        <f t="shared" ref="D18:L18" si="33">SUM(D2:D17)</f>
        <v>1695000</v>
      </c>
      <c r="E18" s="241">
        <f t="shared" si="33"/>
        <v>1847955</v>
      </c>
      <c r="F18" s="241">
        <f t="shared" si="33"/>
        <v>2014964.6250000002</v>
      </c>
      <c r="G18" s="241">
        <f t="shared" si="33"/>
        <v>2108064.9300000006</v>
      </c>
      <c r="H18" s="241">
        <f t="shared" si="33"/>
        <v>2163353.0346000004</v>
      </c>
      <c r="I18" s="241">
        <f t="shared" si="33"/>
        <v>2220140.7054720004</v>
      </c>
      <c r="J18" s="241">
        <f t="shared" si="33"/>
        <v>2278469.7480668407</v>
      </c>
      <c r="K18" s="241">
        <f t="shared" si="33"/>
        <v>2338383.1583681395</v>
      </c>
      <c r="L18" s="241">
        <f t="shared" si="33"/>
        <v>2399925.1573356627</v>
      </c>
    </row>
    <row r="19" spans="1:12" ht="20.100000000000001" customHeight="1">
      <c r="A19" s="367" t="s">
        <v>172</v>
      </c>
      <c r="D19" s="2">
        <f>D18/C18</f>
        <v>1.0024195925091615</v>
      </c>
      <c r="E19" s="2">
        <v>1.1000000000000001</v>
      </c>
      <c r="F19" s="2">
        <v>1.1000000000000001</v>
      </c>
      <c r="G19" s="2">
        <v>1.05</v>
      </c>
      <c r="H19" s="2">
        <v>1.03</v>
      </c>
      <c r="I19" s="2">
        <v>1.03</v>
      </c>
      <c r="J19" s="2">
        <v>1.03</v>
      </c>
      <c r="K19" s="2">
        <v>1.03</v>
      </c>
      <c r="L19" s="2">
        <v>1.03</v>
      </c>
    </row>
    <row r="20" spans="1:12" ht="20.100000000000001" customHeight="1">
      <c r="A20" s="367" t="s">
        <v>171</v>
      </c>
      <c r="E20" s="2">
        <v>1.075</v>
      </c>
      <c r="F20" s="2">
        <v>1.075</v>
      </c>
      <c r="G20" s="2">
        <v>1.04</v>
      </c>
      <c r="H20" s="2">
        <v>1.02</v>
      </c>
      <c r="I20" s="2">
        <v>1.02</v>
      </c>
      <c r="J20" s="2">
        <v>1.02</v>
      </c>
      <c r="K20" s="2">
        <v>1.02</v>
      </c>
      <c r="L20" s="2">
        <v>1.02</v>
      </c>
    </row>
    <row r="21" spans="1:12" ht="20.100000000000001" customHeight="1">
      <c r="A21" s="367"/>
      <c r="C21" s="395"/>
      <c r="E21" s="2">
        <f>E18/D18</f>
        <v>1.0902389380530972</v>
      </c>
      <c r="F21" s="2">
        <f t="shared" ref="F21:L21" si="34">F18/E18</f>
        <v>1.0903753744003508</v>
      </c>
      <c r="G21" s="2">
        <f t="shared" si="34"/>
        <v>1.0462044364674643</v>
      </c>
      <c r="H21" s="2">
        <f t="shared" si="34"/>
        <v>1.0262269457705935</v>
      </c>
      <c r="I21" s="2">
        <f t="shared" si="34"/>
        <v>1.026249839930772</v>
      </c>
      <c r="J21" s="2">
        <f t="shared" si="34"/>
        <v>1.0262726783266827</v>
      </c>
      <c r="K21" s="2">
        <f t="shared" si="34"/>
        <v>1.0262954600789114</v>
      </c>
      <c r="L21" s="2">
        <f t="shared" si="34"/>
        <v>1.0263181843177791</v>
      </c>
    </row>
    <row r="22" spans="1:12" ht="20.100000000000001" customHeight="1"/>
    <row r="23" spans="1:12" ht="20.100000000000001" customHeight="1"/>
    <row r="24" spans="1:12" ht="20.100000000000001" customHeight="1">
      <c r="C24" s="457"/>
    </row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15" customHeight="1"/>
    <row r="98" ht="15" customHeight="1"/>
    <row r="99" ht="15" customHeight="1"/>
    <row r="100" ht="15" customHeight="1"/>
  </sheetData>
  <phoneticPr fontId="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  <ignoredErrors>
    <ignoredError sqref="D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H191"/>
  <sheetViews>
    <sheetView showGridLines="0" zoomScaleNormal="100" workbookViewId="0">
      <selection activeCell="B3" sqref="B3"/>
    </sheetView>
  </sheetViews>
  <sheetFormatPr defaultColWidth="9.109375" defaultRowHeight="10.199999999999999"/>
  <cols>
    <col min="1" max="1" width="40.5546875" style="1" bestFit="1" customWidth="1"/>
    <col min="2" max="6" width="14.88671875" style="1" bestFit="1" customWidth="1"/>
    <col min="7" max="8" width="11.33203125" style="1" bestFit="1" customWidth="1"/>
    <col min="9" max="16384" width="9.109375" style="1"/>
  </cols>
  <sheetData>
    <row r="1" spans="1:8" s="37" customFormat="1" ht="15" customHeight="1">
      <c r="A1" s="129"/>
      <c r="B1" s="130">
        <v>2024</v>
      </c>
      <c r="C1" s="130">
        <f>+B1+1</f>
        <v>2025</v>
      </c>
      <c r="D1" s="130">
        <f t="shared" ref="D1:F1" si="0">+C1+1</f>
        <v>2026</v>
      </c>
      <c r="E1" s="130">
        <f t="shared" si="0"/>
        <v>2027</v>
      </c>
      <c r="F1" s="380">
        <f t="shared" si="0"/>
        <v>2028</v>
      </c>
      <c r="G1" s="130">
        <f t="shared" ref="G1" si="1">+F1+1</f>
        <v>2029</v>
      </c>
      <c r="H1" s="375">
        <f t="shared" ref="H1" si="2">+G1+1</f>
        <v>2030</v>
      </c>
    </row>
    <row r="2" spans="1:8" s="37" customFormat="1" ht="15" customHeight="1">
      <c r="A2" s="131" t="s">
        <v>11</v>
      </c>
      <c r="B2" s="57">
        <f t="shared" ref="B2:F2" si="3">SUM(B3:B4)</f>
        <v>2068816.1962499998</v>
      </c>
      <c r="C2" s="57">
        <f t="shared" si="3"/>
        <v>2041544.4958584951</v>
      </c>
      <c r="D2" s="57">
        <f t="shared" si="3"/>
        <v>2347776.1799032222</v>
      </c>
      <c r="E2" s="57">
        <f t="shared" si="3"/>
        <v>2723420.4228170719</v>
      </c>
      <c r="F2" s="381">
        <f t="shared" si="3"/>
        <v>2907778.9211598826</v>
      </c>
      <c r="G2" s="57">
        <f t="shared" ref="G2:H2" si="4">SUM(G3:G4)</f>
        <v>2972340.8798830803</v>
      </c>
      <c r="H2" s="376">
        <f t="shared" si="4"/>
        <v>3031787.6974807419</v>
      </c>
    </row>
    <row r="3" spans="1:8" s="37" customFormat="1" ht="15" customHeight="1">
      <c r="A3" s="132" t="s">
        <v>1</v>
      </c>
      <c r="B3" s="58">
        <f>+'Previsão Receitas'!B8/360*Pressupostos!$B$11</f>
        <v>1783593.9899999998</v>
      </c>
      <c r="C3" s="58">
        <f>+'Previsão Receitas'!C8/360*Pressupostos!$B$11</f>
        <v>1760082.1666666665</v>
      </c>
      <c r="D3" s="58">
        <f>+'Previsão Receitas'!D8/360*Pressupostos!$B$11</f>
        <v>2024094.5</v>
      </c>
      <c r="E3" s="58">
        <f>+'Previsão Receitas'!E8/360*Pressupostos!$B$11</f>
        <v>2347949.6666666665</v>
      </c>
      <c r="F3" s="58">
        <f>+'Previsão Receitas'!F8/360*Pressupostos!$B$11</f>
        <v>2512306</v>
      </c>
      <c r="G3" s="58">
        <f>+'Previsão Receitas'!G8/360*Pressupostos!$B$11</f>
        <v>2562552.12</v>
      </c>
      <c r="H3" s="58">
        <f>+'Previsão Receitas'!H8/360*Pressupostos!$B$11</f>
        <v>2613803.1624000003</v>
      </c>
    </row>
    <row r="4" spans="1:8" s="37" customFormat="1" ht="15" customHeight="1">
      <c r="A4" s="132" t="s">
        <v>12</v>
      </c>
      <c r="B4" s="58">
        <f>B13/360*Pressupostos!$B$13</f>
        <v>285222.20625000005</v>
      </c>
      <c r="C4" s="58">
        <f>C13/360*Pressupostos!$B$13</f>
        <v>281462.32919182855</v>
      </c>
      <c r="D4" s="58">
        <f>D13/360*Pressupostos!$B$13</f>
        <v>323681.67990322207</v>
      </c>
      <c r="E4" s="58">
        <f>E13/360*Pressupostos!$B$13</f>
        <v>375470.75615040556</v>
      </c>
      <c r="F4" s="372">
        <f>F13/360*Pressupostos!$B$13</f>
        <v>395472.92115988251</v>
      </c>
      <c r="G4" s="58">
        <f>G13/360*Pressupostos!$B$13</f>
        <v>409788.75988308014</v>
      </c>
      <c r="H4" s="370">
        <f>H13/360*Pressupostos!$B$13</f>
        <v>417984.53508074174</v>
      </c>
    </row>
    <row r="5" spans="1:8" s="37" customFormat="1" ht="15" customHeight="1">
      <c r="A5" s="133" t="s">
        <v>13</v>
      </c>
      <c r="B5" s="59">
        <f>SUM(B6:B6)</f>
        <v>1045814.7562500001</v>
      </c>
      <c r="C5" s="59">
        <f>SUM(C6:C6)</f>
        <v>1032028.540370038</v>
      </c>
      <c r="D5" s="59">
        <f>SUM(D6:D6)</f>
        <v>1186832.8263118141</v>
      </c>
      <c r="E5" s="59">
        <f>SUM(E6:E6)</f>
        <v>1376726.1058848202</v>
      </c>
      <c r="F5" s="382">
        <f>SUM(F6:F6)</f>
        <v>1450067.3775862358</v>
      </c>
      <c r="G5" s="59">
        <f t="shared" ref="G5:H5" si="5">SUM(G6:G6)</f>
        <v>1502558.7862379604</v>
      </c>
      <c r="H5" s="377">
        <f t="shared" si="5"/>
        <v>1532609.9619627197</v>
      </c>
    </row>
    <row r="6" spans="1:8" s="37" customFormat="1" ht="15" customHeight="1">
      <c r="A6" s="132" t="s">
        <v>4</v>
      </c>
      <c r="B6" s="58">
        <f>(+'Fornecimento  Serviços Externos'!C2+B18)/360*Pressupostos!$B$12</f>
        <v>1045814.7562500001</v>
      </c>
      <c r="C6" s="58">
        <f>(+'Fornecimento  Serviços Externos'!D2+C18)/360*Pressupostos!$B$12</f>
        <v>1032028.540370038</v>
      </c>
      <c r="D6" s="58">
        <f>(+'Fornecimento  Serviços Externos'!E2+D18)/360*Pressupostos!$B$12</f>
        <v>1186832.8263118141</v>
      </c>
      <c r="E6" s="58">
        <f>(+'Fornecimento  Serviços Externos'!F2+E18)/360*Pressupostos!$B$12</f>
        <v>1376726.1058848202</v>
      </c>
      <c r="F6" s="372">
        <f>(+'Fornecimento  Serviços Externos'!G2+F18)/360*Pressupostos!$B$12</f>
        <v>1450067.3775862358</v>
      </c>
      <c r="G6" s="58">
        <f>(+'Fornecimento  Serviços Externos'!H2+G18)/360*Pressupostos!$B$12</f>
        <v>1502558.7862379604</v>
      </c>
      <c r="H6" s="369">
        <f>(+'Fornecimento  Serviços Externos'!I2+H18)/360*Pressupostos!$B$12</f>
        <v>1532609.9619627197</v>
      </c>
    </row>
    <row r="7" spans="1:8" s="37" customFormat="1" ht="15" customHeight="1">
      <c r="A7" s="134" t="s">
        <v>20</v>
      </c>
      <c r="B7" s="128">
        <f>B2-B5</f>
        <v>1023001.4399999997</v>
      </c>
      <c r="C7" s="128">
        <f>C2-C5</f>
        <v>1009515.9554884571</v>
      </c>
      <c r="D7" s="128">
        <f>D2-D5</f>
        <v>1160943.3535914081</v>
      </c>
      <c r="E7" s="128">
        <f>E2-E5</f>
        <v>1346694.3169322517</v>
      </c>
      <c r="F7" s="383">
        <f>F2-F5</f>
        <v>1457711.5435736468</v>
      </c>
      <c r="G7" s="128">
        <f t="shared" ref="G7:H7" si="6">G2-G5</f>
        <v>1469782.0936451198</v>
      </c>
      <c r="H7" s="378">
        <f t="shared" si="6"/>
        <v>1499177.7355180222</v>
      </c>
    </row>
    <row r="8" spans="1:8" s="37" customFormat="1" ht="15" customHeight="1" thickBot="1">
      <c r="A8" s="135" t="s">
        <v>21</v>
      </c>
      <c r="B8" s="136">
        <f>B7</f>
        <v>1023001.4399999997</v>
      </c>
      <c r="C8" s="136">
        <f t="shared" ref="C8:F8" si="7">C7-B7</f>
        <v>-13485.4845115426</v>
      </c>
      <c r="D8" s="136">
        <f t="shared" si="7"/>
        <v>151427.398102951</v>
      </c>
      <c r="E8" s="136">
        <f>E7-D7</f>
        <v>185750.96334084356</v>
      </c>
      <c r="F8" s="384">
        <f t="shared" si="7"/>
        <v>111017.22664139513</v>
      </c>
      <c r="G8" s="136">
        <f t="shared" ref="G8" si="8">G7-F7</f>
        <v>12070.550071473001</v>
      </c>
      <c r="H8" s="379">
        <f t="shared" ref="H8" si="9">H7-G7</f>
        <v>29395.641872902401</v>
      </c>
    </row>
    <row r="9" spans="1:8" s="37" customFormat="1" ht="15" customHeight="1" thickBot="1">
      <c r="A9" s="36"/>
      <c r="B9" s="36"/>
      <c r="C9" s="36"/>
      <c r="D9" s="36"/>
      <c r="E9" s="60"/>
      <c r="F9" s="36"/>
    </row>
    <row r="10" spans="1:8" s="37" customFormat="1" ht="15" customHeight="1" thickBot="1">
      <c r="A10" s="137" t="s">
        <v>14</v>
      </c>
      <c r="B10" s="36"/>
      <c r="C10" s="36"/>
      <c r="D10" s="36"/>
      <c r="E10" s="60"/>
      <c r="F10" s="60"/>
    </row>
    <row r="11" spans="1:8" s="37" customFormat="1" ht="15" customHeight="1" thickBot="1">
      <c r="A11" s="35"/>
      <c r="B11" s="36"/>
      <c r="C11" s="36"/>
      <c r="D11" s="36"/>
      <c r="E11" s="36"/>
      <c r="F11" s="36"/>
    </row>
    <row r="12" spans="1:8" s="37" customFormat="1" ht="15" customHeight="1">
      <c r="A12" s="138"/>
      <c r="B12" s="124">
        <v>2024</v>
      </c>
      <c r="C12" s="124">
        <f>+B12+1</f>
        <v>2025</v>
      </c>
      <c r="D12" s="124">
        <f t="shared" ref="D12:F12" si="10">+C12+1</f>
        <v>2026</v>
      </c>
      <c r="E12" s="124">
        <f t="shared" si="10"/>
        <v>2027</v>
      </c>
      <c r="F12" s="374">
        <f t="shared" si="10"/>
        <v>2028</v>
      </c>
      <c r="G12" s="124">
        <f t="shared" ref="G12" si="11">+F12+1</f>
        <v>2029</v>
      </c>
      <c r="H12" s="373">
        <f t="shared" ref="H12" si="12">+G12+1</f>
        <v>2030</v>
      </c>
    </row>
    <row r="13" spans="1:8" s="37" customFormat="1" ht="15" customHeight="1">
      <c r="A13" s="139" t="s">
        <v>8</v>
      </c>
      <c r="B13" s="58">
        <f>+B18</f>
        <v>6845332.9500000002</v>
      </c>
      <c r="C13" s="58">
        <f t="shared" ref="C13:H13" si="13">+C18</f>
        <v>6755095.9006038848</v>
      </c>
      <c r="D13" s="58">
        <f t="shared" si="13"/>
        <v>7768360.3176773293</v>
      </c>
      <c r="E13" s="58">
        <f t="shared" si="13"/>
        <v>9011298.147609733</v>
      </c>
      <c r="F13" s="372">
        <f t="shared" si="13"/>
        <v>9491350.1078371797</v>
      </c>
      <c r="G13" s="58">
        <f t="shared" si="13"/>
        <v>9834930.2371939234</v>
      </c>
      <c r="H13" s="369">
        <f t="shared" si="13"/>
        <v>10031628.841937801</v>
      </c>
    </row>
    <row r="14" spans="1:8" s="37" customFormat="1" ht="15" customHeight="1">
      <c r="A14" s="140" t="s">
        <v>15</v>
      </c>
      <c r="B14" s="58">
        <v>0</v>
      </c>
      <c r="C14" s="58">
        <v>0</v>
      </c>
      <c r="D14" s="58">
        <v>0</v>
      </c>
      <c r="E14" s="58">
        <v>0</v>
      </c>
      <c r="F14" s="372">
        <v>0</v>
      </c>
      <c r="G14" s="58">
        <v>0</v>
      </c>
      <c r="H14" s="370">
        <v>0</v>
      </c>
    </row>
    <row r="15" spans="1:8" s="37" customFormat="1" ht="15" customHeight="1">
      <c r="A15" s="140" t="s">
        <v>16</v>
      </c>
      <c r="B15" s="58">
        <v>0</v>
      </c>
      <c r="C15" s="58">
        <f t="shared" ref="C15:F15" si="14">B14</f>
        <v>0</v>
      </c>
      <c r="D15" s="58">
        <f t="shared" si="14"/>
        <v>0</v>
      </c>
      <c r="E15" s="58">
        <f t="shared" si="14"/>
        <v>0</v>
      </c>
      <c r="F15" s="372">
        <f t="shared" si="14"/>
        <v>0</v>
      </c>
      <c r="G15" s="58">
        <f t="shared" ref="G15" si="15">F14</f>
        <v>0</v>
      </c>
      <c r="H15" s="370">
        <f t="shared" ref="H15" si="16">G14</f>
        <v>0</v>
      </c>
    </row>
    <row r="16" spans="1:8" s="37" customFormat="1" ht="15" customHeight="1" thickBot="1">
      <c r="A16" s="141" t="s">
        <v>17</v>
      </c>
      <c r="B16" s="142">
        <f t="shared" ref="B16:E16" si="17">B13+B14-B15</f>
        <v>6845332.9500000002</v>
      </c>
      <c r="C16" s="142">
        <f t="shared" si="17"/>
        <v>6755095.9006038848</v>
      </c>
      <c r="D16" s="142">
        <f t="shared" si="17"/>
        <v>7768360.3176773293</v>
      </c>
      <c r="E16" s="142">
        <f t="shared" si="17"/>
        <v>9011298.147609733</v>
      </c>
      <c r="F16" s="368">
        <f>F13+F14-F15</f>
        <v>9491350.1078371797</v>
      </c>
      <c r="G16" s="142">
        <f t="shared" ref="G16:H16" si="18">G13+G14-G15</f>
        <v>9834930.2371939234</v>
      </c>
      <c r="H16" s="371">
        <f t="shared" si="18"/>
        <v>10031628.841937801</v>
      </c>
    </row>
    <row r="17" spans="1:8" s="37" customFormat="1" ht="15" customHeight="1" thickBot="1">
      <c r="A17" s="61"/>
      <c r="B17" s="36"/>
      <c r="C17" s="36"/>
      <c r="D17" s="36"/>
      <c r="E17" s="36"/>
      <c r="F17" s="36"/>
      <c r="G17" s="36"/>
      <c r="H17" s="36"/>
    </row>
    <row r="18" spans="1:8" s="37" customFormat="1" ht="15" customHeight="1" thickBot="1">
      <c r="A18" s="126" t="s">
        <v>8</v>
      </c>
      <c r="B18" s="127">
        <v>6845332.9500000002</v>
      </c>
      <c r="C18" s="127">
        <f>+'Previsão Receitas'!C8*$B$22</f>
        <v>6755095.9006038848</v>
      </c>
      <c r="D18" s="127">
        <f>+'Previsão Receitas'!D8*$B$22</f>
        <v>7768360.3176773293</v>
      </c>
      <c r="E18" s="127">
        <f>+'Previsão Receitas'!E8*$B$22</f>
        <v>9011298.147609733</v>
      </c>
      <c r="F18" s="127">
        <f>+'Previsão Receitas'!F8*($B$22-0.01)</f>
        <v>9491350.1078371797</v>
      </c>
      <c r="G18" s="127">
        <f>+'Previsão Receitas'!G8*$B$22</f>
        <v>9834930.2371939234</v>
      </c>
      <c r="H18" s="127">
        <f>+'Previsão Receitas'!H8*$B$22</f>
        <v>10031628.841937801</v>
      </c>
    </row>
    <row r="19" spans="1:8" s="65" customFormat="1" ht="14.4">
      <c r="A19" s="63"/>
      <c r="B19" s="64"/>
      <c r="C19" s="64"/>
      <c r="D19" s="64"/>
      <c r="E19" s="64"/>
      <c r="F19" s="64"/>
    </row>
    <row r="20" spans="1:8" ht="20.100000000000001" customHeight="1">
      <c r="A20" s="115" t="s">
        <v>136</v>
      </c>
      <c r="B20" s="103"/>
      <c r="C20" s="103"/>
      <c r="D20" s="103"/>
      <c r="E20" s="103"/>
      <c r="F20" s="103"/>
    </row>
    <row r="21" spans="1:8" ht="15" customHeight="1" thickBot="1"/>
    <row r="22" spans="1:8" ht="15" customHeight="1" thickBot="1">
      <c r="A22" s="6" t="s">
        <v>223</v>
      </c>
      <c r="B22" s="458">
        <f>B18/'Previsão Receitas'!B8</f>
        <v>0.63965724901326904</v>
      </c>
    </row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s="107" customFormat="1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9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showGridLines="0" zoomScaleNormal="100" workbookViewId="0">
      <selection activeCell="G4" sqref="G4"/>
    </sheetView>
  </sheetViews>
  <sheetFormatPr defaultColWidth="9.109375" defaultRowHeight="13.2"/>
  <cols>
    <col min="1" max="1" width="41.44140625" style="24" bestFit="1" customWidth="1"/>
    <col min="2" max="2" width="9.88671875" style="92" customWidth="1"/>
    <col min="3" max="6" width="14.21875" style="24" bestFit="1" customWidth="1"/>
    <col min="7" max="7" width="14.33203125" style="24" bestFit="1" customWidth="1"/>
    <col min="8" max="9" width="14.21875" style="24" bestFit="1" customWidth="1"/>
    <col min="10" max="10" width="11.33203125" style="24" bestFit="1" customWidth="1"/>
    <col min="11" max="11" width="9.109375" style="24"/>
    <col min="12" max="12" width="11.88671875" style="24" bestFit="1" customWidth="1"/>
    <col min="13" max="13" width="9.44140625" style="24" bestFit="1" customWidth="1"/>
    <col min="14" max="16384" width="9.109375" style="24"/>
  </cols>
  <sheetData>
    <row r="1" spans="1:15" s="68" customFormat="1" ht="15" customHeight="1" thickBot="1">
      <c r="A1" s="477" t="s">
        <v>137</v>
      </c>
      <c r="B1" s="143"/>
      <c r="C1" s="474" t="s">
        <v>135</v>
      </c>
      <c r="D1" s="475"/>
      <c r="E1" s="475"/>
      <c r="F1" s="476"/>
      <c r="G1" s="471" t="s">
        <v>146</v>
      </c>
    </row>
    <row r="2" spans="1:15" s="68" customFormat="1" ht="43.8" thickBot="1">
      <c r="A2" s="478"/>
      <c r="B2" s="198" t="s">
        <v>133</v>
      </c>
      <c r="C2" s="199" t="s">
        <v>144</v>
      </c>
      <c r="D2" s="202" t="s">
        <v>216</v>
      </c>
      <c r="E2" s="200" t="s">
        <v>145</v>
      </c>
      <c r="F2" s="201" t="s">
        <v>0</v>
      </c>
      <c r="G2" s="472"/>
    </row>
    <row r="3" spans="1:15" s="66" customFormat="1" ht="15" customHeight="1">
      <c r="A3" s="93" t="s">
        <v>168</v>
      </c>
      <c r="B3" s="94">
        <v>72</v>
      </c>
      <c r="C3" s="117">
        <v>1200</v>
      </c>
      <c r="D3" s="116">
        <v>39.800469999999997</v>
      </c>
      <c r="E3" s="424">
        <f>+C3*0.2165</f>
        <v>259.8</v>
      </c>
      <c r="F3" s="117">
        <f>+C3+E3+D3</f>
        <v>1499.6004699999999</v>
      </c>
      <c r="G3" s="104">
        <f>+F3*14*B3</f>
        <v>1511597.27376</v>
      </c>
      <c r="H3" s="425" t="s">
        <v>224</v>
      </c>
      <c r="I3" s="425"/>
      <c r="J3" s="427"/>
      <c r="K3" s="425"/>
      <c r="L3" s="425"/>
      <c r="M3" s="425"/>
      <c r="N3" s="425"/>
      <c r="O3" s="425"/>
    </row>
    <row r="4" spans="1:15" s="66" customFormat="1" ht="15" customHeight="1">
      <c r="A4" s="93" t="s">
        <v>183</v>
      </c>
      <c r="B4" s="94">
        <v>1</v>
      </c>
      <c r="C4" s="117">
        <v>1450</v>
      </c>
      <c r="D4" s="116">
        <v>0</v>
      </c>
      <c r="E4" s="116">
        <f t="shared" ref="E4" si="0">+C4*0.2375</f>
        <v>344.375</v>
      </c>
      <c r="F4" s="117">
        <f t="shared" ref="F4" si="1">+C4+E4+D4</f>
        <v>1794.375</v>
      </c>
      <c r="G4" s="104">
        <f>+F4*14*B4+0.25</f>
        <v>25121.5</v>
      </c>
      <c r="J4" s="422"/>
      <c r="L4" s="423"/>
      <c r="M4" s="423"/>
    </row>
    <row r="5" spans="1:15" s="66" customFormat="1" ht="15" customHeight="1">
      <c r="A5" s="93"/>
      <c r="B5" s="94"/>
      <c r="C5" s="117"/>
      <c r="D5" s="116"/>
      <c r="E5" s="116"/>
      <c r="F5" s="117"/>
      <c r="G5" s="104"/>
      <c r="J5" s="421"/>
    </row>
    <row r="6" spans="1:15" s="66" customFormat="1" ht="15" customHeight="1">
      <c r="A6" s="93"/>
      <c r="B6" s="94"/>
      <c r="C6" s="117"/>
      <c r="D6" s="116"/>
      <c r="E6" s="116"/>
      <c r="F6" s="117"/>
      <c r="G6" s="104"/>
      <c r="I6" s="421"/>
      <c r="J6" s="421"/>
    </row>
    <row r="7" spans="1:15" s="66" customFormat="1" ht="15" customHeight="1">
      <c r="A7" s="93"/>
      <c r="B7" s="94"/>
      <c r="C7" s="117"/>
      <c r="D7" s="116"/>
      <c r="E7" s="116"/>
      <c r="F7" s="117"/>
      <c r="G7" s="104"/>
      <c r="I7" s="421"/>
      <c r="J7" s="421"/>
    </row>
    <row r="8" spans="1:15" s="66" customFormat="1" ht="15" customHeight="1">
      <c r="A8" s="93"/>
      <c r="B8" s="94"/>
      <c r="C8" s="117"/>
      <c r="D8" s="116"/>
      <c r="E8" s="116"/>
      <c r="F8" s="117"/>
      <c r="G8" s="104"/>
      <c r="I8" s="421"/>
      <c r="J8" s="421"/>
      <c r="K8" s="459"/>
    </row>
    <row r="9" spans="1:15" s="66" customFormat="1" ht="15" customHeight="1">
      <c r="A9" s="93"/>
      <c r="B9" s="94"/>
      <c r="C9" s="117"/>
      <c r="D9" s="116"/>
      <c r="E9" s="116"/>
      <c r="F9" s="117"/>
      <c r="G9" s="104"/>
    </row>
    <row r="10" spans="1:15" s="66" customFormat="1" ht="15" customHeight="1" thickBot="1">
      <c r="A10" s="221"/>
      <c r="B10" s="222"/>
      <c r="C10" s="117"/>
      <c r="D10" s="224"/>
      <c r="E10" s="224"/>
      <c r="F10" s="223"/>
      <c r="G10" s="225"/>
      <c r="I10" s="421"/>
      <c r="K10" s="421"/>
    </row>
    <row r="11" spans="1:15" s="105" customFormat="1" ht="15" customHeight="1" thickBot="1">
      <c r="A11" s="144" t="s">
        <v>84</v>
      </c>
      <c r="B11" s="145">
        <f>SUM(B3:B10)</f>
        <v>73</v>
      </c>
      <c r="C11" s="146">
        <f>SUM(C3:C10)</f>
        <v>2650</v>
      </c>
      <c r="D11" s="146">
        <f>SUM(D3:D10)</f>
        <v>39.800469999999997</v>
      </c>
      <c r="E11" s="146">
        <f>SUM(E3:E10)</f>
        <v>604.17499999999995</v>
      </c>
      <c r="F11" s="146">
        <f>SUM(F3:F3)</f>
        <v>1499.6004699999999</v>
      </c>
      <c r="G11" s="147">
        <f>SUM(G3:G10)</f>
        <v>1536718.77376</v>
      </c>
    </row>
    <row r="12" spans="1:15" s="67" customFormat="1" ht="15" customHeight="1">
      <c r="B12" s="118"/>
    </row>
    <row r="13" spans="1:15" s="67" customFormat="1" ht="15" customHeight="1" thickBot="1">
      <c r="B13" s="118"/>
    </row>
    <row r="14" spans="1:15" s="67" customFormat="1" ht="15" customHeight="1">
      <c r="B14" s="118"/>
      <c r="C14" s="148">
        <v>2024</v>
      </c>
      <c r="D14" s="148">
        <f>+C14+1</f>
        <v>2025</v>
      </c>
      <c r="E14" s="148">
        <f t="shared" ref="E14:I14" si="2">+D14+1</f>
        <v>2026</v>
      </c>
      <c r="F14" s="148">
        <f t="shared" si="2"/>
        <v>2027</v>
      </c>
      <c r="G14" s="148">
        <f t="shared" si="2"/>
        <v>2028</v>
      </c>
      <c r="H14" s="148">
        <f t="shared" si="2"/>
        <v>2029</v>
      </c>
      <c r="I14" s="148">
        <f t="shared" si="2"/>
        <v>2030</v>
      </c>
    </row>
    <row r="15" spans="1:15" s="67" customFormat="1" ht="15" customHeight="1" thickBot="1">
      <c r="A15" s="473" t="s">
        <v>134</v>
      </c>
      <c r="B15" s="473"/>
      <c r="C15" s="119">
        <f>+G3</f>
        <v>1511597.27376</v>
      </c>
      <c r="D15" s="119">
        <f>C15*1.05</f>
        <v>1587177.137448</v>
      </c>
      <c r="E15" s="119">
        <f>+$G$11*1.1</f>
        <v>1690390.6511360002</v>
      </c>
      <c r="F15" s="119">
        <f>E15*1.1</f>
        <v>1859429.7162496003</v>
      </c>
      <c r="G15" s="119">
        <f>F15*1.075</f>
        <v>1998886.9449683202</v>
      </c>
      <c r="H15" s="119">
        <f t="shared" ref="H15:I15" si="3">G15*1.05</f>
        <v>2098831.2922167364</v>
      </c>
      <c r="I15" s="119">
        <f t="shared" si="3"/>
        <v>2203772.8568275734</v>
      </c>
    </row>
    <row r="16" spans="1:15" s="67" customFormat="1" ht="15" customHeight="1">
      <c r="B16" s="118"/>
      <c r="C16" s="120"/>
      <c r="D16" s="120"/>
    </row>
    <row r="17" spans="1:3" s="67" customFormat="1" ht="15" customHeight="1">
      <c r="B17" s="118"/>
      <c r="C17" s="426"/>
    </row>
    <row r="19" spans="1:3" ht="20.100000000000001" customHeight="1">
      <c r="A19" s="115" t="s">
        <v>136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2"/>
  <sheetViews>
    <sheetView showGridLines="0" topLeftCell="E8" zoomScaleNormal="100" workbookViewId="0">
      <selection activeCell="L15" sqref="L15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5" width="14.33203125" style="23" bestFit="1" customWidth="1"/>
    <col min="6" max="9" width="12.88671875" style="23" bestFit="1" customWidth="1"/>
    <col min="10" max="10" width="12.77734375" style="23" bestFit="1" customWidth="1"/>
    <col min="11" max="11" width="11.88671875" style="23" customWidth="1"/>
    <col min="12" max="12" width="7.109375" style="98" bestFit="1" customWidth="1"/>
    <col min="13" max="13" width="12.77734375" style="23" bestFit="1" customWidth="1"/>
    <col min="14" max="18" width="12.88671875" style="23" bestFit="1" customWidth="1"/>
    <col min="19" max="19" width="12.77734375" style="23" bestFit="1" customWidth="1"/>
    <col min="20" max="20" width="11.88671875" style="23" bestFit="1" customWidth="1"/>
    <col min="21" max="16384" width="9.109375" style="23"/>
  </cols>
  <sheetData>
    <row r="1" spans="1:20" s="121" customFormat="1" ht="15" customHeight="1">
      <c r="A1" s="490" t="s">
        <v>138</v>
      </c>
      <c r="B1" s="491"/>
      <c r="C1" s="491"/>
      <c r="D1" s="491"/>
      <c r="E1" s="491"/>
      <c r="F1" s="491"/>
      <c r="G1" s="491"/>
      <c r="H1" s="491"/>
      <c r="I1" s="491"/>
      <c r="J1" s="279"/>
      <c r="K1" s="279"/>
      <c r="L1" s="483" t="s">
        <v>139</v>
      </c>
      <c r="M1" s="484"/>
      <c r="N1" s="484"/>
      <c r="O1" s="484"/>
      <c r="P1" s="484"/>
      <c r="Q1" s="484"/>
      <c r="R1" s="484"/>
      <c r="S1" s="484"/>
      <c r="T1" s="484"/>
    </row>
    <row r="2" spans="1:20" s="121" customFormat="1" ht="15" customHeight="1">
      <c r="A2" s="492" t="s">
        <v>132</v>
      </c>
      <c r="B2" s="494" t="s">
        <v>131</v>
      </c>
      <c r="C2" s="492">
        <v>0</v>
      </c>
      <c r="D2" s="496">
        <v>2024</v>
      </c>
      <c r="E2" s="487">
        <f>+D2+1</f>
        <v>2025</v>
      </c>
      <c r="F2" s="487">
        <f>+E2+1</f>
        <v>2026</v>
      </c>
      <c r="G2" s="487">
        <f t="shared" ref="G2:J2" si="0">+F2+1</f>
        <v>2027</v>
      </c>
      <c r="H2" s="487">
        <f t="shared" si="0"/>
        <v>2028</v>
      </c>
      <c r="I2" s="485">
        <f t="shared" si="0"/>
        <v>2029</v>
      </c>
      <c r="J2" s="485">
        <f t="shared" si="0"/>
        <v>2030</v>
      </c>
      <c r="K2" s="485">
        <v>2026</v>
      </c>
      <c r="L2" s="479" t="s">
        <v>55</v>
      </c>
      <c r="M2" s="481">
        <v>2024</v>
      </c>
      <c r="N2" s="481">
        <f>+M2+1</f>
        <v>2025</v>
      </c>
      <c r="O2" s="481">
        <f t="shared" ref="O2:S2" si="1">+N2+1</f>
        <v>2026</v>
      </c>
      <c r="P2" s="481">
        <f t="shared" si="1"/>
        <v>2027</v>
      </c>
      <c r="Q2" s="481">
        <f t="shared" si="1"/>
        <v>2028</v>
      </c>
      <c r="R2" s="481">
        <f>+Q2+1</f>
        <v>2029</v>
      </c>
      <c r="S2" s="481">
        <f t="shared" si="1"/>
        <v>2030</v>
      </c>
      <c r="T2" s="481">
        <f>+S2+1</f>
        <v>2031</v>
      </c>
    </row>
    <row r="3" spans="1:20" s="121" customFormat="1" ht="15" customHeight="1">
      <c r="A3" s="493"/>
      <c r="B3" s="495"/>
      <c r="C3" s="501"/>
      <c r="D3" s="497"/>
      <c r="E3" s="488"/>
      <c r="F3" s="488"/>
      <c r="G3" s="488"/>
      <c r="H3" s="488"/>
      <c r="I3" s="486"/>
      <c r="J3" s="486"/>
      <c r="K3" s="486"/>
      <c r="L3" s="480"/>
      <c r="M3" s="482"/>
      <c r="N3" s="482"/>
      <c r="O3" s="482"/>
      <c r="P3" s="482"/>
      <c r="Q3" s="482"/>
      <c r="R3" s="482"/>
      <c r="S3" s="482"/>
      <c r="T3" s="482"/>
    </row>
    <row r="4" spans="1:20" s="121" customFormat="1" ht="15" customHeight="1">
      <c r="A4" s="502" t="s">
        <v>156</v>
      </c>
      <c r="B4" s="503"/>
      <c r="C4" s="503"/>
      <c r="D4" s="503"/>
      <c r="E4" s="503"/>
      <c r="F4" s="503"/>
      <c r="G4" s="503"/>
      <c r="H4" s="503"/>
      <c r="I4" s="503"/>
      <c r="J4" s="503"/>
      <c r="K4" s="504"/>
      <c r="L4" s="281"/>
      <c r="M4" s="282"/>
      <c r="N4" s="282"/>
      <c r="O4" s="282"/>
      <c r="P4" s="282"/>
      <c r="Q4" s="282"/>
      <c r="R4" s="282"/>
      <c r="S4" s="282"/>
      <c r="T4" s="282"/>
    </row>
    <row r="5" spans="1:20" s="121" customFormat="1" ht="15" customHeight="1">
      <c r="A5" s="386"/>
      <c r="B5" s="390" t="s">
        <v>175</v>
      </c>
      <c r="C5" s="391">
        <f>SUM(C6:C12)</f>
        <v>439738.42</v>
      </c>
      <c r="D5" s="391">
        <f t="shared" ref="D5:J5" si="2">SUM(D6:D12)</f>
        <v>434738.42</v>
      </c>
      <c r="E5" s="391">
        <f t="shared" si="2"/>
        <v>326671.53634713602</v>
      </c>
      <c r="F5" s="391">
        <f t="shared" si="2"/>
        <v>224399.95269427204</v>
      </c>
      <c r="G5" s="391">
        <f t="shared" si="2"/>
        <v>117128.36904140805</v>
      </c>
      <c r="H5" s="391">
        <f t="shared" si="2"/>
        <v>9856.7853885440563</v>
      </c>
      <c r="I5" s="391">
        <f t="shared" si="2"/>
        <v>-4.6114559445413761E-3</v>
      </c>
      <c r="J5" s="391">
        <f t="shared" si="2"/>
        <v>-4.6114559445413761E-3</v>
      </c>
      <c r="K5" s="391"/>
      <c r="L5" s="389"/>
      <c r="M5" s="388"/>
      <c r="N5" s="388"/>
      <c r="O5" s="388"/>
      <c r="P5" s="388"/>
      <c r="Q5" s="388"/>
      <c r="R5" s="388"/>
      <c r="S5" s="388"/>
      <c r="T5" s="388"/>
    </row>
    <row r="6" spans="1:20" s="121" customFormat="1" ht="15" customHeight="1">
      <c r="A6" s="227"/>
      <c r="B6" s="228" t="s">
        <v>174</v>
      </c>
      <c r="C6" s="226">
        <v>432693.12</v>
      </c>
      <c r="D6" s="226">
        <f>C6</f>
        <v>432693.12</v>
      </c>
      <c r="E6" s="226">
        <f>+D6-N6</f>
        <v>326671.53634713602</v>
      </c>
      <c r="F6" s="226">
        <f t="shared" ref="F6:J6" si="3">+E6-O6</f>
        <v>220649.95269427204</v>
      </c>
      <c r="G6" s="226">
        <f t="shared" si="3"/>
        <v>114628.36904140805</v>
      </c>
      <c r="H6" s="226">
        <f t="shared" si="3"/>
        <v>8606.7853885440563</v>
      </c>
      <c r="I6" s="226">
        <f t="shared" si="3"/>
        <v>-4.6114559445413761E-3</v>
      </c>
      <c r="J6" s="226">
        <f t="shared" si="3"/>
        <v>-4.6114559445413761E-3</v>
      </c>
      <c r="K6" s="232"/>
      <c r="L6" s="233">
        <v>0.2450272</v>
      </c>
      <c r="M6" s="122"/>
      <c r="N6" s="122">
        <f t="shared" ref="N6:Q6" si="4">+$C$6*$L$6</f>
        <v>106021.58365286399</v>
      </c>
      <c r="O6" s="122">
        <f t="shared" si="4"/>
        <v>106021.58365286399</v>
      </c>
      <c r="P6" s="122">
        <f t="shared" si="4"/>
        <v>106021.58365286399</v>
      </c>
      <c r="Q6" s="122">
        <f t="shared" si="4"/>
        <v>106021.58365286399</v>
      </c>
      <c r="R6" s="122">
        <v>8606.7900000000009</v>
      </c>
      <c r="S6" s="122"/>
      <c r="T6" s="122"/>
    </row>
    <row r="7" spans="1:20" s="121" customFormat="1" ht="15" customHeight="1">
      <c r="A7" s="227"/>
      <c r="B7" s="228" t="s">
        <v>225</v>
      </c>
      <c r="C7" s="226">
        <v>2045.3</v>
      </c>
      <c r="D7" s="226">
        <v>2045.3</v>
      </c>
      <c r="E7" s="226">
        <f>+C7-N7</f>
        <v>0</v>
      </c>
      <c r="F7" s="226">
        <f>+E7-O7</f>
        <v>0</v>
      </c>
      <c r="G7" s="226">
        <f t="shared" ref="G7:I7" si="5">+F7-P7</f>
        <v>0</v>
      </c>
      <c r="H7" s="226">
        <f t="shared" si="5"/>
        <v>0</v>
      </c>
      <c r="I7" s="226">
        <f t="shared" si="5"/>
        <v>0</v>
      </c>
      <c r="J7" s="226"/>
      <c r="K7" s="226"/>
      <c r="L7" s="233">
        <v>1</v>
      </c>
      <c r="M7" s="23"/>
      <c r="N7" s="122">
        <f>+$C$7*$L$7</f>
        <v>2045.3</v>
      </c>
      <c r="O7" s="122"/>
      <c r="P7" s="122"/>
      <c r="Q7" s="122"/>
      <c r="R7" s="122"/>
      <c r="S7" s="122"/>
      <c r="T7" s="122"/>
    </row>
    <row r="8" spans="1:20" s="121" customFormat="1" ht="15" customHeight="1">
      <c r="A8" s="227"/>
      <c r="B8" s="461" t="str">
        <f>'MAPA INVESTIMENTOS'!A7</f>
        <v>Aquisição de Hardware (Ecrans e Impressoras)</v>
      </c>
      <c r="C8" s="226">
        <v>5000</v>
      </c>
      <c r="D8" s="226"/>
      <c r="E8" s="226"/>
      <c r="F8" s="226">
        <f>+C8-O8</f>
        <v>3750</v>
      </c>
      <c r="G8" s="226">
        <f>+F8-P8</f>
        <v>2500</v>
      </c>
      <c r="H8" s="226">
        <f t="shared" ref="H8:I8" si="6">+G8-Q8</f>
        <v>1250</v>
      </c>
      <c r="I8" s="226">
        <f t="shared" si="6"/>
        <v>0</v>
      </c>
      <c r="J8" s="226"/>
      <c r="K8" s="232"/>
      <c r="L8" s="233">
        <v>0.25</v>
      </c>
      <c r="M8" s="428"/>
      <c r="N8" s="122"/>
      <c r="O8" s="122">
        <f>+$C$8*$L$8</f>
        <v>1250</v>
      </c>
      <c r="P8" s="122">
        <f t="shared" ref="P8:R8" si="7">+$C$8*$L$8</f>
        <v>1250</v>
      </c>
      <c r="Q8" s="122">
        <f t="shared" si="7"/>
        <v>1250</v>
      </c>
      <c r="R8" s="122">
        <f t="shared" si="7"/>
        <v>1250</v>
      </c>
      <c r="S8" s="122"/>
      <c r="T8" s="122"/>
    </row>
    <row r="9" spans="1:20" s="121" customFormat="1" ht="15" customHeight="1">
      <c r="A9" s="227"/>
      <c r="B9" s="228"/>
      <c r="C9" s="226"/>
      <c r="D9" s="226"/>
      <c r="E9" s="226">
        <f>+C9-N9</f>
        <v>0</v>
      </c>
      <c r="F9" s="226">
        <f>+E9-O9</f>
        <v>0</v>
      </c>
      <c r="G9" s="226">
        <f t="shared" ref="G9:I9" si="8">+F9-P9</f>
        <v>0</v>
      </c>
      <c r="H9" s="226">
        <f t="shared" si="8"/>
        <v>0</v>
      </c>
      <c r="I9" s="226">
        <f t="shared" si="8"/>
        <v>0</v>
      </c>
      <c r="J9" s="232"/>
      <c r="K9" s="232"/>
      <c r="L9" s="233">
        <v>0.2</v>
      </c>
      <c r="M9" s="122"/>
      <c r="N9" s="122">
        <f>+$C$9*$L$9</f>
        <v>0</v>
      </c>
      <c r="O9" s="122">
        <f t="shared" ref="O9:R9" si="9">+$C$9*$L$9</f>
        <v>0</v>
      </c>
      <c r="P9" s="122">
        <f t="shared" si="9"/>
        <v>0</v>
      </c>
      <c r="Q9" s="122">
        <f t="shared" si="9"/>
        <v>0</v>
      </c>
      <c r="R9" s="122">
        <f t="shared" si="9"/>
        <v>0</v>
      </c>
      <c r="S9" s="122"/>
      <c r="T9" s="122"/>
    </row>
    <row r="10" spans="1:20" s="121" customFormat="1" ht="15" customHeight="1">
      <c r="A10" s="227"/>
      <c r="B10" s="228"/>
      <c r="C10" s="226"/>
      <c r="D10" s="226"/>
      <c r="E10" s="226">
        <f>+C10-N10</f>
        <v>0</v>
      </c>
      <c r="F10" s="226">
        <f>+E10-O10</f>
        <v>0</v>
      </c>
      <c r="G10" s="226">
        <f t="shared" ref="G10:I10" si="10">+F10-P10</f>
        <v>0</v>
      </c>
      <c r="H10" s="226">
        <f t="shared" si="10"/>
        <v>0</v>
      </c>
      <c r="I10" s="226">
        <f t="shared" si="10"/>
        <v>0</v>
      </c>
      <c r="J10" s="232"/>
      <c r="K10" s="232"/>
      <c r="L10" s="233">
        <v>0.2</v>
      </c>
      <c r="M10" s="122"/>
      <c r="N10" s="122">
        <f>+$C$10*$L$10</f>
        <v>0</v>
      </c>
      <c r="O10" s="122">
        <f t="shared" ref="O10:R10" si="11">+$C$10*$L$10</f>
        <v>0</v>
      </c>
      <c r="P10" s="122">
        <f t="shared" si="11"/>
        <v>0</v>
      </c>
      <c r="Q10" s="122">
        <f t="shared" si="11"/>
        <v>0</v>
      </c>
      <c r="R10" s="122">
        <f t="shared" si="11"/>
        <v>0</v>
      </c>
      <c r="S10" s="122"/>
      <c r="T10" s="122"/>
    </row>
    <row r="11" spans="1:20" s="121" customFormat="1" ht="15" customHeight="1">
      <c r="A11" s="227"/>
      <c r="B11" s="228"/>
      <c r="C11" s="228"/>
      <c r="D11" s="226"/>
      <c r="E11" s="226"/>
      <c r="F11" s="226"/>
      <c r="G11" s="226"/>
      <c r="H11" s="226"/>
      <c r="I11" s="232"/>
      <c r="J11" s="232"/>
      <c r="K11" s="232"/>
      <c r="L11" s="233"/>
      <c r="M11" s="460"/>
      <c r="N11" s="122"/>
      <c r="O11" s="122"/>
      <c r="P11" s="122"/>
      <c r="Q11" s="122"/>
      <c r="R11" s="122"/>
      <c r="S11" s="122"/>
      <c r="T11" s="122"/>
    </row>
    <row r="12" spans="1:20" s="121" customFormat="1" ht="15" customHeight="1">
      <c r="A12" s="227"/>
      <c r="B12" s="228"/>
      <c r="C12" s="228"/>
      <c r="D12" s="226"/>
      <c r="E12" s="226"/>
      <c r="F12" s="226"/>
      <c r="G12" s="226"/>
      <c r="H12" s="226"/>
      <c r="I12" s="232"/>
      <c r="J12" s="226"/>
      <c r="K12" s="226"/>
      <c r="L12" s="233"/>
      <c r="M12" s="122"/>
      <c r="N12" s="122"/>
      <c r="O12" s="122"/>
      <c r="P12" s="122"/>
      <c r="Q12" s="122"/>
      <c r="R12" s="122"/>
      <c r="S12" s="122"/>
      <c r="T12" s="122"/>
    </row>
    <row r="13" spans="1:20" s="121" customFormat="1" ht="14.25" customHeight="1">
      <c r="A13" s="498" t="s">
        <v>157</v>
      </c>
      <c r="B13" s="499"/>
      <c r="C13" s="499"/>
      <c r="D13" s="499"/>
      <c r="E13" s="499"/>
      <c r="F13" s="499"/>
      <c r="G13" s="499"/>
      <c r="H13" s="499"/>
      <c r="I13" s="500"/>
      <c r="J13" s="283"/>
      <c r="K13" s="283"/>
      <c r="L13" s="284"/>
      <c r="M13" s="285"/>
      <c r="N13" s="285"/>
      <c r="O13" s="285"/>
      <c r="P13" s="285"/>
      <c r="Q13" s="285"/>
      <c r="R13" s="285"/>
      <c r="S13" s="285"/>
      <c r="T13" s="285"/>
    </row>
    <row r="14" spans="1:20" s="121" customFormat="1" ht="14.25" customHeight="1">
      <c r="A14" s="386"/>
      <c r="B14" s="390" t="s">
        <v>149</v>
      </c>
      <c r="C14" s="391">
        <f>SUM(C15:C19)</f>
        <v>61500</v>
      </c>
      <c r="D14" s="391">
        <f t="shared" ref="D14:J14" si="12">SUM(D15:D19)</f>
        <v>0</v>
      </c>
      <c r="E14" s="391">
        <f t="shared" si="12"/>
        <v>0</v>
      </c>
      <c r="F14" s="391">
        <f t="shared" si="12"/>
        <v>30750</v>
      </c>
      <c r="G14" s="391">
        <f t="shared" si="12"/>
        <v>52500.000001025001</v>
      </c>
      <c r="H14" s="391">
        <f t="shared" si="12"/>
        <v>32000.000003075005</v>
      </c>
      <c r="I14" s="391">
        <f t="shared" si="12"/>
        <v>11500.000005125006</v>
      </c>
      <c r="J14" s="391">
        <f t="shared" si="12"/>
        <v>0</v>
      </c>
      <c r="K14" s="391"/>
      <c r="L14" s="387"/>
      <c r="M14" s="388"/>
      <c r="N14" s="388"/>
      <c r="O14" s="388"/>
      <c r="P14" s="388"/>
      <c r="Q14" s="388"/>
      <c r="R14" s="388"/>
      <c r="S14" s="388"/>
      <c r="T14" s="388"/>
    </row>
    <row r="15" spans="1:20" s="121" customFormat="1" ht="15" customHeight="1">
      <c r="A15" s="227"/>
      <c r="B15" s="461" t="str">
        <f>'MAPA INVESTIMENTOS'!A2</f>
        <v>Aquisição de Software (MÊS "Digital Factory")</v>
      </c>
      <c r="C15" s="226">
        <v>15000</v>
      </c>
      <c r="D15" s="226"/>
      <c r="E15" s="226"/>
      <c r="F15" s="226">
        <v>7500</v>
      </c>
      <c r="G15" s="226">
        <f>+F15-O15+7500</f>
        <v>12500.00000025</v>
      </c>
      <c r="H15" s="226">
        <f t="shared" ref="H15:I18" si="13">+G15-P15</f>
        <v>7500.0000007500003</v>
      </c>
      <c r="I15" s="226">
        <f t="shared" si="13"/>
        <v>2500.0000012500004</v>
      </c>
      <c r="J15" s="226">
        <v>0</v>
      </c>
      <c r="K15" s="226"/>
      <c r="L15" s="233">
        <v>0.33333333329999998</v>
      </c>
      <c r="M15" s="122"/>
      <c r="N15" s="122">
        <f>+$E$15*$L$15</f>
        <v>0</v>
      </c>
      <c r="O15" s="122">
        <f>F15*L15</f>
        <v>2499.9999997499999</v>
      </c>
      <c r="P15" s="122">
        <f t="shared" ref="P15:Q15" si="14">+$C$15*$L$15</f>
        <v>4999.9999994999998</v>
      </c>
      <c r="Q15" s="122">
        <f t="shared" si="14"/>
        <v>4999.9999994999998</v>
      </c>
      <c r="R15" s="122">
        <f>+$C$15*$L$15-2500</f>
        <v>2499.9999994999998</v>
      </c>
      <c r="S15" s="122">
        <v>0</v>
      </c>
      <c r="T15" s="122">
        <f>+$E$15*$L$15</f>
        <v>0</v>
      </c>
    </row>
    <row r="16" spans="1:20" s="121" customFormat="1" ht="15" customHeight="1">
      <c r="A16" s="227"/>
      <c r="B16" s="461" t="str">
        <f>'MAPA INVESTIMENTOS'!A3</f>
        <v>Licenças e Ferramentas (SaaS e APIs)</v>
      </c>
      <c r="C16" s="226">
        <v>4000</v>
      </c>
      <c r="D16" s="226"/>
      <c r="E16" s="226"/>
      <c r="F16" s="226">
        <v>2000</v>
      </c>
      <c r="G16" s="226">
        <f>+F16-O16+2000</f>
        <v>3333.3333333999999</v>
      </c>
      <c r="H16" s="226">
        <f t="shared" si="13"/>
        <v>2000.0000001999999</v>
      </c>
      <c r="I16" s="226">
        <f t="shared" si="13"/>
        <v>666.66666699999996</v>
      </c>
      <c r="J16" s="226"/>
      <c r="K16" s="226"/>
      <c r="L16" s="233">
        <v>0.33333333329999998</v>
      </c>
      <c r="M16" s="122"/>
      <c r="N16" s="122"/>
      <c r="O16" s="122">
        <f>F16*L16</f>
        <v>666.66666659999999</v>
      </c>
      <c r="P16" s="122">
        <f t="shared" ref="P16:Q16" si="15">+$C$16*$L$16</f>
        <v>1333.3333332</v>
      </c>
      <c r="Q16" s="122">
        <f t="shared" si="15"/>
        <v>1333.3333332</v>
      </c>
      <c r="R16" s="122">
        <f>+$C$16*$L$16-666.67</f>
        <v>666.66333320000001</v>
      </c>
      <c r="S16" s="122">
        <f>+$E$16*$L$16</f>
        <v>0</v>
      </c>
      <c r="T16" s="122"/>
    </row>
    <row r="17" spans="1:20" s="121" customFormat="1" ht="15" customHeight="1">
      <c r="A17" s="227"/>
      <c r="B17" s="461" t="str">
        <f>'MAPA INVESTIMENTOS'!A4</f>
        <v>Consultoria (Desenvolvimento e IA)</v>
      </c>
      <c r="C17" s="226">
        <v>40000</v>
      </c>
      <c r="D17" s="226"/>
      <c r="E17" s="226"/>
      <c r="F17" s="226">
        <v>20000</v>
      </c>
      <c r="G17" s="226">
        <f>+F17-O17+20000</f>
        <v>33333.333334000003</v>
      </c>
      <c r="H17" s="226">
        <f t="shared" si="13"/>
        <v>20000.000002000004</v>
      </c>
      <c r="I17" s="226">
        <f t="shared" si="13"/>
        <v>6666.666670000006</v>
      </c>
      <c r="J17" s="226">
        <v>0</v>
      </c>
      <c r="K17" s="226"/>
      <c r="L17" s="233">
        <v>0.33333333329999998</v>
      </c>
      <c r="M17" s="122"/>
      <c r="N17" s="122">
        <f>+$E$15*$L$15</f>
        <v>0</v>
      </c>
      <c r="O17" s="122">
        <f>F17*L17</f>
        <v>6666.6666659999992</v>
      </c>
      <c r="P17" s="122">
        <f>+$C$17*$L$17</f>
        <v>13333.333331999998</v>
      </c>
      <c r="Q17" s="122">
        <f>+$C$17*$L$17</f>
        <v>13333.333331999998</v>
      </c>
      <c r="R17" s="122">
        <f>+$C$17*$L$17-6666.67</f>
        <v>6666.6633319999983</v>
      </c>
      <c r="S17" s="122">
        <v>0</v>
      </c>
      <c r="T17" s="122">
        <f>+$E$15*$L$15</f>
        <v>0</v>
      </c>
    </row>
    <row r="18" spans="1:20" s="121" customFormat="1" ht="15" customHeight="1">
      <c r="A18" s="227"/>
      <c r="B18" s="461" t="str">
        <f>'MAPA INVESTIMENTOS'!A5</f>
        <v>Validação de Despesas</v>
      </c>
      <c r="C18" s="226">
        <v>2500</v>
      </c>
      <c r="D18" s="226"/>
      <c r="E18" s="226"/>
      <c r="F18" s="226">
        <v>1250</v>
      </c>
      <c r="G18" s="226">
        <f>+F18-O18+2500</f>
        <v>3333.3333333750002</v>
      </c>
      <c r="H18" s="226">
        <f t="shared" si="13"/>
        <v>2500.000000125</v>
      </c>
      <c r="I18" s="226">
        <f t="shared" si="13"/>
        <v>1666.6666668750001</v>
      </c>
      <c r="J18" s="226">
        <v>0</v>
      </c>
      <c r="K18" s="226"/>
      <c r="L18" s="233">
        <v>0.33333333329999998</v>
      </c>
      <c r="M18" s="122"/>
      <c r="N18" s="122">
        <f>+$E$15*$L$15</f>
        <v>0</v>
      </c>
      <c r="O18" s="122">
        <f>F18*L18</f>
        <v>416.66666662499995</v>
      </c>
      <c r="P18" s="122">
        <f>+$C$18*$L$18</f>
        <v>833.3333332499999</v>
      </c>
      <c r="Q18" s="122">
        <f>+$C$18*$L$18</f>
        <v>833.3333332499999</v>
      </c>
      <c r="R18" s="122">
        <f>+$C$18*$L$18-416.67</f>
        <v>416.66333324999988</v>
      </c>
      <c r="S18" s="122">
        <v>0</v>
      </c>
      <c r="T18" s="122">
        <f>+$E$15*$L$15</f>
        <v>0</v>
      </c>
    </row>
    <row r="19" spans="1:20" s="121" customFormat="1" ht="15" customHeight="1">
      <c r="A19" s="227"/>
      <c r="B19" s="228"/>
      <c r="C19" s="226"/>
      <c r="D19" s="226"/>
      <c r="E19" s="226"/>
      <c r="F19" s="226"/>
      <c r="G19" s="226"/>
      <c r="H19" s="226"/>
      <c r="I19" s="226"/>
      <c r="J19" s="226"/>
      <c r="K19" s="226"/>
      <c r="L19" s="233">
        <v>0.33333333329999998</v>
      </c>
      <c r="M19" s="122"/>
      <c r="N19" s="122"/>
      <c r="O19" s="122"/>
      <c r="P19" s="122"/>
      <c r="Q19" s="122"/>
      <c r="R19" s="122"/>
      <c r="S19" s="122"/>
      <c r="T19" s="234"/>
    </row>
    <row r="20" spans="1:20" s="121" customFormat="1" ht="15" customHeight="1">
      <c r="A20" s="229"/>
      <c r="B20" s="230"/>
      <c r="C20" s="230"/>
      <c r="D20" s="231">
        <f>SUM(D15:D19)</f>
        <v>0</v>
      </c>
      <c r="E20" s="231">
        <f t="shared" ref="E20:I20" si="16">SUM(E15:E19)</f>
        <v>0</v>
      </c>
      <c r="F20" s="231">
        <f t="shared" si="16"/>
        <v>30750</v>
      </c>
      <c r="G20" s="231">
        <f t="shared" si="16"/>
        <v>52500.000001025001</v>
      </c>
      <c r="H20" s="231">
        <f t="shared" si="16"/>
        <v>32000.000003075005</v>
      </c>
      <c r="I20" s="231">
        <f t="shared" si="16"/>
        <v>11500.000005125006</v>
      </c>
      <c r="J20" s="280"/>
      <c r="K20" s="280"/>
      <c r="L20" s="235"/>
      <c r="M20" s="236">
        <f>SUM(M6:M16)</f>
        <v>0</v>
      </c>
      <c r="N20" s="236">
        <f t="shared" ref="N20:T20" si="17">SUM(N6:N16)</f>
        <v>108066.88365286399</v>
      </c>
      <c r="O20" s="236">
        <f t="shared" si="17"/>
        <v>110438.25031921398</v>
      </c>
      <c r="P20" s="236">
        <f t="shared" si="17"/>
        <v>113604.91698556399</v>
      </c>
      <c r="Q20" s="236">
        <f t="shared" si="17"/>
        <v>113604.91698556399</v>
      </c>
      <c r="R20" s="236">
        <f t="shared" si="17"/>
        <v>13023.453332700001</v>
      </c>
      <c r="S20" s="236">
        <f t="shared" si="17"/>
        <v>0</v>
      </c>
      <c r="T20" s="236">
        <f t="shared" si="17"/>
        <v>0</v>
      </c>
    </row>
    <row r="21" spans="1:20" s="121" customFormat="1" ht="15" customHeight="1">
      <c r="L21" s="123"/>
    </row>
    <row r="22" spans="1:20" s="121" customFormat="1" ht="15" customHeight="1">
      <c r="L22" s="123"/>
    </row>
    <row r="24" spans="1:20" ht="20.100000000000001" customHeight="1">
      <c r="A24" s="489" t="s">
        <v>136</v>
      </c>
      <c r="B24" s="489"/>
      <c r="C24" s="115"/>
    </row>
    <row r="29" spans="1:20">
      <c r="B29" s="267" t="s">
        <v>213</v>
      </c>
      <c r="C29" s="272">
        <v>12500</v>
      </c>
      <c r="D29" s="272">
        <v>12500</v>
      </c>
      <c r="E29" s="23">
        <v>167370.81</v>
      </c>
    </row>
    <row r="30" spans="1:20">
      <c r="B30" s="267" t="s">
        <v>214</v>
      </c>
      <c r="C30" s="272">
        <v>4855</v>
      </c>
      <c r="D30" s="272">
        <v>4855</v>
      </c>
    </row>
    <row r="31" spans="1:20">
      <c r="B31" s="267" t="s">
        <v>184</v>
      </c>
      <c r="C31" s="272">
        <v>4000</v>
      </c>
      <c r="D31" s="272">
        <v>4000</v>
      </c>
    </row>
    <row r="32" spans="1:20">
      <c r="B32" s="267" t="s">
        <v>215</v>
      </c>
      <c r="C32" s="272">
        <v>15000</v>
      </c>
      <c r="D32" s="272">
        <v>15000</v>
      </c>
    </row>
  </sheetData>
  <mergeCells count="25">
    <mergeCell ref="G2:G3"/>
    <mergeCell ref="H2:H3"/>
    <mergeCell ref="I2:I3"/>
    <mergeCell ref="A24:B24"/>
    <mergeCell ref="A1:I1"/>
    <mergeCell ref="A2:A3"/>
    <mergeCell ref="B2:B3"/>
    <mergeCell ref="D2:D3"/>
    <mergeCell ref="E2:E3"/>
    <mergeCell ref="F2:F3"/>
    <mergeCell ref="A13:I13"/>
    <mergeCell ref="C2:C3"/>
    <mergeCell ref="A4:K4"/>
    <mergeCell ref="J2:J3"/>
    <mergeCell ref="L2:L3"/>
    <mergeCell ref="S2:S3"/>
    <mergeCell ref="T2:T3"/>
    <mergeCell ref="L1:T1"/>
    <mergeCell ref="K2:K3"/>
    <mergeCell ref="R2:R3"/>
    <mergeCell ref="M2:M3"/>
    <mergeCell ref="O2:O3"/>
    <mergeCell ref="P2:P3"/>
    <mergeCell ref="Q2:Q3"/>
    <mergeCell ref="N2:N3"/>
  </mergeCells>
  <hyperlinks>
    <hyperlink ref="A24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topLeftCell="A6" zoomScale="90" zoomScaleNormal="90" workbookViewId="0">
      <selection activeCell="B25" sqref="B25"/>
    </sheetView>
  </sheetViews>
  <sheetFormatPr defaultColWidth="9.109375" defaultRowHeight="10.199999999999999"/>
  <cols>
    <col min="1" max="1" width="30.6640625" style="1" bestFit="1" customWidth="1"/>
    <col min="2" max="2" width="17.44140625" style="1" bestFit="1" customWidth="1"/>
    <col min="3" max="7" width="15.5546875" style="1" bestFit="1" customWidth="1"/>
    <col min="8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505" t="s">
        <v>159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7"/>
    </row>
    <row r="2" spans="1:12" ht="13.5" customHeight="1">
      <c r="A2" s="508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10"/>
    </row>
    <row r="3" spans="1:12" s="37" customFormat="1" ht="21" customHeight="1">
      <c r="A3" s="288" t="s">
        <v>22</v>
      </c>
      <c r="B3" s="289"/>
      <c r="C3" s="289">
        <v>2025</v>
      </c>
      <c r="D3" s="289">
        <f>+C3+1</f>
        <v>2026</v>
      </c>
      <c r="E3" s="289">
        <f t="shared" ref="E3:L3" si="0">+D3+1</f>
        <v>2027</v>
      </c>
      <c r="F3" s="289">
        <f t="shared" si="0"/>
        <v>2028</v>
      </c>
      <c r="G3" s="289">
        <f t="shared" si="0"/>
        <v>2029</v>
      </c>
      <c r="H3" s="289">
        <f t="shared" si="0"/>
        <v>2030</v>
      </c>
      <c r="I3" s="289">
        <f t="shared" si="0"/>
        <v>2031</v>
      </c>
      <c r="J3" s="289">
        <f t="shared" si="0"/>
        <v>2032</v>
      </c>
      <c r="K3" s="289">
        <f t="shared" si="0"/>
        <v>2033</v>
      </c>
      <c r="L3" s="289">
        <f t="shared" si="0"/>
        <v>2034</v>
      </c>
    </row>
    <row r="4" spans="1:12" s="37" customFormat="1" ht="15" customHeight="1">
      <c r="A4" s="290"/>
      <c r="B4" s="290"/>
      <c r="C4" s="291"/>
      <c r="D4" s="291"/>
      <c r="E4" s="291"/>
      <c r="F4" s="291"/>
      <c r="G4" s="296"/>
      <c r="H4" s="291"/>
      <c r="I4" s="291"/>
      <c r="J4" s="291"/>
      <c r="K4" s="291"/>
      <c r="L4" s="301"/>
    </row>
    <row r="5" spans="1:12" s="37" customFormat="1" ht="15" customHeight="1">
      <c r="A5" s="18" t="s">
        <v>34</v>
      </c>
      <c r="B5" s="149">
        <f>+'MAPA INVESTIMENTOS'!B20+'MAPA INVESTIMENTOS'!C20</f>
        <v>0</v>
      </c>
      <c r="C5" s="22">
        <f>+B5</f>
        <v>0</v>
      </c>
      <c r="D5" s="22">
        <f>+C5</f>
        <v>0</v>
      </c>
      <c r="E5" s="22">
        <f>+B5</f>
        <v>0</v>
      </c>
      <c r="F5" s="22">
        <f t="shared" ref="F5:G5" si="1">+E8</f>
        <v>0</v>
      </c>
      <c r="G5" s="297">
        <f t="shared" si="1"/>
        <v>0</v>
      </c>
      <c r="H5" s="22">
        <f t="shared" ref="H5" si="2">+G8</f>
        <v>0</v>
      </c>
      <c r="I5" s="22">
        <f t="shared" ref="I5" si="3">+H8</f>
        <v>0</v>
      </c>
      <c r="J5" s="22">
        <f t="shared" ref="J5" si="4">+I8</f>
        <v>0</v>
      </c>
      <c r="K5" s="22">
        <f t="shared" ref="K5" si="5">+J8</f>
        <v>0</v>
      </c>
      <c r="L5" s="302">
        <f t="shared" ref="L5" si="6">+K8</f>
        <v>0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97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302">
        <f t="shared" si="8"/>
        <v>0</v>
      </c>
    </row>
    <row r="7" spans="1:12" s="37" customFormat="1" ht="15" customHeight="1">
      <c r="A7" s="292" t="s">
        <v>36</v>
      </c>
      <c r="B7" s="20"/>
      <c r="C7" s="109">
        <v>0</v>
      </c>
      <c r="D7" s="109">
        <v>0</v>
      </c>
      <c r="E7" s="109">
        <f>+$B$5/8</f>
        <v>0</v>
      </c>
      <c r="F7" s="109">
        <f t="shared" ref="F7:L7" si="9">+$B$5/8</f>
        <v>0</v>
      </c>
      <c r="G7" s="298">
        <f t="shared" si="9"/>
        <v>0</v>
      </c>
      <c r="H7" s="109">
        <f t="shared" si="9"/>
        <v>0</v>
      </c>
      <c r="I7" s="109">
        <f t="shared" si="9"/>
        <v>0</v>
      </c>
      <c r="J7" s="109">
        <f t="shared" si="9"/>
        <v>0</v>
      </c>
      <c r="K7" s="109">
        <f t="shared" si="9"/>
        <v>0</v>
      </c>
      <c r="L7" s="300">
        <f t="shared" si="9"/>
        <v>0</v>
      </c>
    </row>
    <row r="8" spans="1:12" s="37" customFormat="1" ht="15" customHeight="1">
      <c r="A8" s="293" t="s">
        <v>37</v>
      </c>
      <c r="B8" s="294"/>
      <c r="C8" s="295">
        <f t="shared" ref="C8:D8" si="10">+C5-C7</f>
        <v>0</v>
      </c>
      <c r="D8" s="295">
        <f t="shared" si="10"/>
        <v>0</v>
      </c>
      <c r="E8" s="295">
        <f t="shared" ref="E8:G8" si="11">+E5-E7</f>
        <v>0</v>
      </c>
      <c r="F8" s="295">
        <f t="shared" si="11"/>
        <v>0</v>
      </c>
      <c r="G8" s="299">
        <f t="shared" si="11"/>
        <v>0</v>
      </c>
      <c r="H8" s="295">
        <f t="shared" ref="H8:L8" si="12">+H5-H7</f>
        <v>0</v>
      </c>
      <c r="I8" s="295">
        <f t="shared" si="12"/>
        <v>0</v>
      </c>
      <c r="J8" s="295">
        <f t="shared" si="12"/>
        <v>0</v>
      </c>
      <c r="K8" s="295">
        <f t="shared" si="12"/>
        <v>0</v>
      </c>
      <c r="L8" s="303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50" t="s">
        <v>38</v>
      </c>
      <c r="B10" s="108">
        <v>0</v>
      </c>
    </row>
    <row r="11" spans="1:12" s="37" customFormat="1" ht="15" customHeight="1" thickBot="1"/>
    <row r="12" spans="1:12" s="37" customFormat="1" ht="15" customHeight="1" thickBot="1">
      <c r="A12" s="286" t="s">
        <v>160</v>
      </c>
      <c r="B12" s="287">
        <v>8</v>
      </c>
    </row>
    <row r="13" spans="1:12" s="37" customFormat="1" ht="15" customHeight="1"/>
    <row r="14" spans="1:12" s="37" customFormat="1" ht="15" customHeight="1">
      <c r="A14" s="505" t="s">
        <v>170</v>
      </c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7"/>
    </row>
    <row r="15" spans="1:12" s="37" customFormat="1" ht="15" customHeight="1">
      <c r="A15" s="508"/>
      <c r="B15" s="509"/>
      <c r="C15" s="509"/>
      <c r="D15" s="509"/>
      <c r="E15" s="509"/>
      <c r="F15" s="509"/>
      <c r="G15" s="509"/>
      <c r="H15" s="509"/>
      <c r="I15" s="509"/>
      <c r="J15" s="509"/>
      <c r="K15" s="509"/>
      <c r="L15" s="510"/>
    </row>
    <row r="16" spans="1:12" s="37" customFormat="1" ht="15" customHeight="1">
      <c r="A16" s="288" t="s">
        <v>22</v>
      </c>
      <c r="B16" s="289"/>
      <c r="C16" s="289">
        <v>2024</v>
      </c>
      <c r="D16" s="289">
        <f>+C16+1</f>
        <v>2025</v>
      </c>
      <c r="E16" s="289">
        <f t="shared" ref="E16" si="13">+D16+1</f>
        <v>2026</v>
      </c>
      <c r="F16" s="289">
        <f t="shared" ref="F16" si="14">+E16+1</f>
        <v>2027</v>
      </c>
      <c r="G16" s="289">
        <f t="shared" ref="G16" si="15">+F16+1</f>
        <v>2028</v>
      </c>
      <c r="H16" s="289">
        <f t="shared" ref="H16" si="16">+G16+1</f>
        <v>2029</v>
      </c>
      <c r="I16" s="289">
        <f t="shared" ref="I16" si="17">+H16+1</f>
        <v>2030</v>
      </c>
      <c r="J16" s="289">
        <f t="shared" ref="J16" si="18">+I16+1</f>
        <v>2031</v>
      </c>
      <c r="K16" s="289">
        <f t="shared" ref="K16" si="19">+J16+1</f>
        <v>2032</v>
      </c>
      <c r="L16" s="289">
        <f t="shared" ref="L16" si="20">+K16+1</f>
        <v>2033</v>
      </c>
    </row>
    <row r="17" spans="1:12" s="37" customFormat="1" ht="15" customHeight="1">
      <c r="A17" s="290"/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1"/>
    </row>
    <row r="18" spans="1:12" s="37" customFormat="1" ht="15" customHeight="1">
      <c r="A18" s="18" t="s">
        <v>34</v>
      </c>
      <c r="B18" s="149">
        <f>136771.42+1455995.87</f>
        <v>1592767.29</v>
      </c>
      <c r="C18" s="22">
        <f>+B18</f>
        <v>1592767.29</v>
      </c>
      <c r="D18" s="22">
        <f>+C21</f>
        <v>1592767.29</v>
      </c>
      <c r="E18" s="22">
        <f t="shared" ref="E18:K18" si="21">+D21</f>
        <v>1433490.561</v>
      </c>
      <c r="F18" s="22">
        <f t="shared" si="21"/>
        <v>1274213.8319999999</v>
      </c>
      <c r="G18" s="22">
        <f t="shared" si="21"/>
        <v>1114937.1029999999</v>
      </c>
      <c r="H18" s="22">
        <f t="shared" si="21"/>
        <v>955660.37399999984</v>
      </c>
      <c r="I18" s="22">
        <f t="shared" si="21"/>
        <v>796383.64499999979</v>
      </c>
      <c r="J18" s="22">
        <f t="shared" si="21"/>
        <v>637106.91599999974</v>
      </c>
      <c r="K18" s="22">
        <f t="shared" si="21"/>
        <v>438011.00474999973</v>
      </c>
      <c r="L18" s="22"/>
    </row>
    <row r="19" spans="1:12" s="37" customFormat="1" ht="15" customHeight="1">
      <c r="A19" s="18" t="s">
        <v>35</v>
      </c>
      <c r="B19" s="17"/>
      <c r="C19" s="22">
        <v>126488.01</v>
      </c>
      <c r="D19" s="22">
        <f t="shared" ref="D19:L19" si="22">+D18*$B$23</f>
        <v>126488.02156805999</v>
      </c>
      <c r="E19" s="22">
        <f t="shared" si="22"/>
        <v>113839.219411254</v>
      </c>
      <c r="F19" s="22">
        <f t="shared" si="22"/>
        <v>101190.417254448</v>
      </c>
      <c r="G19" s="22">
        <f t="shared" si="22"/>
        <v>88541.615097641989</v>
      </c>
      <c r="H19" s="22">
        <f t="shared" si="22"/>
        <v>75892.812940835982</v>
      </c>
      <c r="I19" s="22">
        <f t="shared" si="22"/>
        <v>63244.010784029982</v>
      </c>
      <c r="J19" s="22">
        <f t="shared" si="22"/>
        <v>50595.208627223976</v>
      </c>
      <c r="K19" s="22">
        <f t="shared" si="22"/>
        <v>34784.205931216478</v>
      </c>
      <c r="L19" s="22">
        <f t="shared" si="22"/>
        <v>0</v>
      </c>
    </row>
    <row r="20" spans="1:12" s="37" customFormat="1" ht="15" customHeight="1">
      <c r="A20" s="292" t="s">
        <v>36</v>
      </c>
      <c r="B20" s="20"/>
      <c r="C20" s="109"/>
      <c r="D20" s="109">
        <f t="shared" ref="D20:I20" si="23">+$B$18/$B$25</f>
        <v>159276.72899999999</v>
      </c>
      <c r="E20" s="109">
        <f t="shared" si="23"/>
        <v>159276.72899999999</v>
      </c>
      <c r="F20" s="109">
        <f t="shared" si="23"/>
        <v>159276.72899999999</v>
      </c>
      <c r="G20" s="109">
        <f t="shared" si="23"/>
        <v>159276.72899999999</v>
      </c>
      <c r="H20" s="109">
        <f t="shared" si="23"/>
        <v>159276.72899999999</v>
      </c>
      <c r="I20" s="109">
        <f t="shared" si="23"/>
        <v>159276.72899999999</v>
      </c>
      <c r="J20" s="109">
        <f t="shared" ref="J20:K20" si="24">+$B$18/8</f>
        <v>199095.91125</v>
      </c>
      <c r="K20" s="109">
        <f t="shared" si="24"/>
        <v>199095.91125</v>
      </c>
      <c r="L20" s="109">
        <f>+$B$18/$B$25</f>
        <v>159276.72899999999</v>
      </c>
    </row>
    <row r="21" spans="1:12" s="37" customFormat="1" ht="15" customHeight="1">
      <c r="A21" s="293" t="s">
        <v>37</v>
      </c>
      <c r="B21" s="294"/>
      <c r="C21" s="295">
        <f>+C18-C20</f>
        <v>1592767.29</v>
      </c>
      <c r="D21" s="295">
        <f t="shared" ref="D21:L21" si="25">+D18-D20</f>
        <v>1433490.561</v>
      </c>
      <c r="E21" s="295">
        <f t="shared" si="25"/>
        <v>1274213.8319999999</v>
      </c>
      <c r="F21" s="295">
        <f t="shared" si="25"/>
        <v>1114937.1029999999</v>
      </c>
      <c r="G21" s="295">
        <f t="shared" si="25"/>
        <v>955660.37399999984</v>
      </c>
      <c r="H21" s="295">
        <f t="shared" si="25"/>
        <v>796383.64499999979</v>
      </c>
      <c r="I21" s="295">
        <f t="shared" si="25"/>
        <v>637106.91599999974</v>
      </c>
      <c r="J21" s="295">
        <f t="shared" si="25"/>
        <v>438011.00474999973</v>
      </c>
      <c r="K21" s="295">
        <f t="shared" si="25"/>
        <v>238915.09349999973</v>
      </c>
      <c r="L21" s="295">
        <f t="shared" si="25"/>
        <v>-159276.72899999999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50" t="s">
        <v>38</v>
      </c>
      <c r="B23" s="108">
        <v>7.9413999999999998E-2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86" t="s">
        <v>160</v>
      </c>
      <c r="B25" s="287">
        <v>10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E5" sqref="E5"/>
    </sheetView>
  </sheetViews>
  <sheetFormatPr defaultColWidth="9.109375" defaultRowHeight="10.199999999999999"/>
  <cols>
    <col min="1" max="1" width="21.88671875" style="1" bestFit="1" customWidth="1"/>
    <col min="2" max="2" width="7.88671875" style="1" bestFit="1" customWidth="1"/>
    <col min="3" max="4" width="8.88671875" style="1" bestFit="1" customWidth="1"/>
    <col min="5" max="5" width="6.88671875" style="1" bestFit="1" customWidth="1"/>
    <col min="6" max="6" width="8.88671875" style="1" bestFit="1" customWidth="1"/>
    <col min="7" max="8" width="9" style="1" bestFit="1" customWidth="1"/>
    <col min="9" max="16384" width="9.109375" style="1"/>
  </cols>
  <sheetData>
    <row r="2" spans="1:8" ht="10.8" thickBot="1"/>
    <row r="3" spans="1:8" ht="20.25" customHeight="1">
      <c r="A3" s="153" t="s">
        <v>22</v>
      </c>
      <c r="B3" s="124">
        <v>2025</v>
      </c>
      <c r="C3" s="124">
        <f>+B3+1</f>
        <v>2026</v>
      </c>
      <c r="D3" s="124">
        <f t="shared" ref="D3:F3" si="0">+C3+1</f>
        <v>2027</v>
      </c>
      <c r="E3" s="124">
        <f t="shared" si="0"/>
        <v>2028</v>
      </c>
      <c r="F3" s="125">
        <f t="shared" si="0"/>
        <v>2029</v>
      </c>
      <c r="G3" s="125">
        <f t="shared" ref="G3" si="1">+F3+1</f>
        <v>2030</v>
      </c>
      <c r="H3" s="125">
        <f t="shared" ref="H3" si="2">+G3+1</f>
        <v>2031</v>
      </c>
    </row>
    <row r="4" spans="1:8" ht="15" customHeight="1">
      <c r="A4" s="154" t="s">
        <v>85</v>
      </c>
      <c r="B4" s="69">
        <f>-'DR SNC'!F30</f>
        <v>4250</v>
      </c>
      <c r="C4" s="69">
        <f>-'DR SNC'!G30</f>
        <v>4250</v>
      </c>
      <c r="D4" s="69">
        <f>-'DR SNC'!H30</f>
        <v>4250</v>
      </c>
      <c r="E4" s="69">
        <f>-'DR SNC'!I30</f>
        <v>4250</v>
      </c>
      <c r="F4" s="155">
        <f>-'DR SNC'!J30</f>
        <v>4250</v>
      </c>
      <c r="G4" s="155">
        <f>-'DR SNC'!K30</f>
        <v>0</v>
      </c>
      <c r="H4" s="155">
        <f>-'DR SNC'!L30</f>
        <v>0</v>
      </c>
    </row>
    <row r="5" spans="1:8" ht="15" customHeight="1">
      <c r="A5" s="154" t="s">
        <v>86</v>
      </c>
      <c r="B5" s="69">
        <f>-'DR SNC'!F31</f>
        <v>-2903.8719579972662</v>
      </c>
      <c r="C5" s="69">
        <f>-'DR SNC'!G31</f>
        <v>58694.780226238261</v>
      </c>
      <c r="D5" s="69">
        <f>-'DR SNC'!H31</f>
        <v>120574.58679795534</v>
      </c>
      <c r="E5" s="69">
        <f>-'DR SNC'!I31</f>
        <v>164432.57566351455</v>
      </c>
      <c r="F5" s="155">
        <f>-'DR SNC'!J31</f>
        <v>146589.26885278482</v>
      </c>
      <c r="G5" s="155">
        <f>-'DR SNC'!K31</f>
        <v>0</v>
      </c>
      <c r="H5" s="155">
        <f>-'DR SNC'!L31</f>
        <v>0</v>
      </c>
    </row>
    <row r="6" spans="1:8" s="6" customFormat="1" ht="15" customHeight="1" thickBot="1">
      <c r="A6" s="156" t="s">
        <v>33</v>
      </c>
      <c r="B6" s="157">
        <f>SUM(B4:B5)</f>
        <v>1346.1280420027338</v>
      </c>
      <c r="C6" s="157">
        <f>SUM(C4:C5)</f>
        <v>62944.780226238261</v>
      </c>
      <c r="D6" s="157">
        <f>SUM(D4:D5)</f>
        <v>124824.58679795534</v>
      </c>
      <c r="E6" s="157">
        <f>SUM(E4:E5)</f>
        <v>168682.57566351455</v>
      </c>
      <c r="F6" s="158">
        <f>SUM(F4:F5)</f>
        <v>150839.26885278482</v>
      </c>
      <c r="G6" s="158">
        <f t="shared" ref="G6:H6" si="3">SUM(G4:G5)</f>
        <v>0</v>
      </c>
      <c r="H6" s="158">
        <f t="shared" si="3"/>
        <v>0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15" t="s">
        <v>136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7" style="1" bestFit="1" customWidth="1"/>
    <col min="9" max="16384" width="9.109375" style="1"/>
  </cols>
  <sheetData>
    <row r="1" spans="1:8" s="37" customFormat="1" ht="23.25" customHeight="1">
      <c r="A1" s="159" t="s">
        <v>22</v>
      </c>
      <c r="B1" s="112">
        <v>2025</v>
      </c>
      <c r="C1" s="112">
        <f>+B1+1</f>
        <v>2026</v>
      </c>
      <c r="D1" s="112">
        <f t="shared" ref="D1:F1" si="0">+C1+1</f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70">
        <f>+'DR SNC'!F7</f>
        <v>10560493</v>
      </c>
      <c r="C3" s="70">
        <f>+'DR SNC'!G7</f>
        <v>12144567</v>
      </c>
      <c r="D3" s="70">
        <f>+'DR SNC'!H7</f>
        <v>14087698</v>
      </c>
      <c r="E3" s="70">
        <f>+'DR SNC'!I7</f>
        <v>15073836</v>
      </c>
      <c r="F3" s="70">
        <f>+'DR SNC'!J7</f>
        <v>15375312.720000001</v>
      </c>
      <c r="G3" s="70">
        <f>+'DR SNC'!K7</f>
        <v>0</v>
      </c>
      <c r="H3" s="70">
        <f>+'DR SNC'!L7</f>
        <v>0</v>
      </c>
    </row>
    <row r="4" spans="1:8" s="37" customFormat="1" ht="18.899999999999999" customHeight="1">
      <c r="A4" s="160" t="s">
        <v>25</v>
      </c>
      <c r="B4" s="161">
        <f>SUM(B3:B3)</f>
        <v>10560493</v>
      </c>
      <c r="C4" s="161">
        <f>SUM(C3:C3)</f>
        <v>12144567</v>
      </c>
      <c r="D4" s="161">
        <f>SUM(D3:D3)</f>
        <v>14087698</v>
      </c>
      <c r="E4" s="161">
        <f>SUM(E3:E3)</f>
        <v>15073836</v>
      </c>
      <c r="F4" s="161">
        <f>SUM(F3:F3)</f>
        <v>15375312.720000001</v>
      </c>
      <c r="G4" s="161">
        <f t="shared" ref="G4:H4" si="3">SUM(G3:G3)</f>
        <v>0</v>
      </c>
      <c r="H4" s="161">
        <f t="shared" si="3"/>
        <v>0</v>
      </c>
    </row>
    <row r="5" spans="1:8" s="37" customFormat="1" ht="14.1" customHeight="1">
      <c r="A5" s="19" t="s">
        <v>26</v>
      </c>
      <c r="B5" s="71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70">
        <f>+'Capital Circulante'!B18</f>
        <v>6845332.9500000002</v>
      </c>
      <c r="C6" s="70">
        <f>+'Capital Circulante'!C18</f>
        <v>6755095.9006038848</v>
      </c>
      <c r="D6" s="70">
        <f>+'Capital Circulante'!D18</f>
        <v>7768360.3176773293</v>
      </c>
      <c r="E6" s="70">
        <f>+'Capital Circulante'!E18</f>
        <v>9011298.147609733</v>
      </c>
      <c r="F6" s="70">
        <f>+'Capital Circulante'!F18</f>
        <v>9491350.1078371797</v>
      </c>
      <c r="G6" s="70">
        <f>+'Capital Circulante'!G18</f>
        <v>9834930.2371939234</v>
      </c>
      <c r="H6" s="70">
        <f>+'Capital Circulante'!H18</f>
        <v>10031628.841937801</v>
      </c>
    </row>
    <row r="7" spans="1:8" s="37" customFormat="1" ht="14.1" customHeight="1">
      <c r="A7" s="18" t="s">
        <v>28</v>
      </c>
      <c r="B7" s="70">
        <f>+'63_G. Pess.'!C15</f>
        <v>1511597.27376</v>
      </c>
      <c r="C7" s="70">
        <f>+'63_G. Pess.'!D15</f>
        <v>1587177.137448</v>
      </c>
      <c r="D7" s="70">
        <f>+'63_G. Pess.'!E15</f>
        <v>1690390.6511360002</v>
      </c>
      <c r="E7" s="70">
        <f>+'63_G. Pess.'!F15</f>
        <v>1859429.7162496003</v>
      </c>
      <c r="F7" s="70">
        <f>+'63_G. Pess.'!G15</f>
        <v>1998886.9449683202</v>
      </c>
      <c r="G7" s="70">
        <f>+'63_G. Pess.'!H15</f>
        <v>2098831.2922167364</v>
      </c>
      <c r="H7" s="70">
        <f>+'63_G. Pess.'!I15</f>
        <v>2203772.8568275734</v>
      </c>
    </row>
    <row r="8" spans="1:8" s="37" customFormat="1" ht="14.1" customHeight="1">
      <c r="A8" s="18" t="s">
        <v>29</v>
      </c>
      <c r="B8" s="70">
        <f>+'Fornecimento  Serviços Externos'!C18</f>
        <v>1690908.69</v>
      </c>
      <c r="C8" s="70">
        <f>+'Fornecimento  Serviços Externos'!D18</f>
        <v>1695000</v>
      </c>
      <c r="D8" s="70">
        <f>+'Fornecimento  Serviços Externos'!E18</f>
        <v>1847955</v>
      </c>
      <c r="E8" s="70">
        <f>+'Fornecimento  Serviços Externos'!F18</f>
        <v>2014964.6250000002</v>
      </c>
      <c r="F8" s="70">
        <f>+'Fornecimento  Serviços Externos'!G18</f>
        <v>2108064.9300000006</v>
      </c>
      <c r="G8" s="70">
        <f>+'Fornecimento  Serviços Externos'!H18</f>
        <v>2163353.0346000004</v>
      </c>
      <c r="H8" s="70">
        <f>+'Fornecimento  Serviços Externos'!I18</f>
        <v>2220140.7054720004</v>
      </c>
    </row>
    <row r="9" spans="1:8" s="73" customFormat="1" ht="24.75" customHeight="1">
      <c r="A9" s="243" t="s">
        <v>148</v>
      </c>
      <c r="B9" s="244">
        <f>+'Serviço da Divida Emp. Bancario'!C6+'Serviço da Divida Emp. Bancario'!C7</f>
        <v>0</v>
      </c>
      <c r="C9" s="244">
        <f>+'Serviço da Divida Emp. Bancario'!D6+'Serviço da Divida Emp. Bancario'!D7</f>
        <v>0</v>
      </c>
      <c r="D9" s="244">
        <f>+'Serviço da Divida Emp. Bancario'!E6+'Serviço da Divida Emp. Bancario'!E7</f>
        <v>0</v>
      </c>
      <c r="E9" s="244">
        <f>+'Serviço da Divida Emp. Bancario'!F6+'Serviço da Divida Emp. Bancario'!F7</f>
        <v>0</v>
      </c>
      <c r="F9" s="244">
        <f>+'Serviço da Divida Emp. Bancario'!G6+'Serviço da Divida Emp. Bancario'!G7</f>
        <v>0</v>
      </c>
      <c r="G9" s="244">
        <f>+'Serviço da Divida Emp. Bancario'!H6+'Serviço da Divida Emp. Bancario'!H7</f>
        <v>0</v>
      </c>
      <c r="H9" s="244">
        <f>+'Serviço da Divida Emp. Bancario'!I6+'Serviço da Divida Emp. Bancario'!I7</f>
        <v>0</v>
      </c>
    </row>
    <row r="10" spans="1:8" s="37" customFormat="1" ht="19.5" customHeight="1">
      <c r="A10" s="18" t="s">
        <v>30</v>
      </c>
      <c r="B10" s="69">
        <f>+'Mov dos Impostos S Rendi'!B6</f>
        <v>1346.1280420027338</v>
      </c>
      <c r="C10" s="69">
        <f>+'Mov dos Impostos S Rendi'!C6</f>
        <v>62944.780226238261</v>
      </c>
      <c r="D10" s="69">
        <f>+'Mov dos Impostos S Rendi'!D6</f>
        <v>124824.58679795534</v>
      </c>
      <c r="E10" s="69">
        <f>+'Mov dos Impostos S Rendi'!E6</f>
        <v>168682.57566351455</v>
      </c>
      <c r="F10" s="69">
        <f>+'Mov dos Impostos S Rendi'!F6</f>
        <v>150839.26885278482</v>
      </c>
      <c r="G10" s="69">
        <f>+'Mov dos Impostos S Rendi'!G6</f>
        <v>0</v>
      </c>
      <c r="H10" s="69">
        <f>+'Mov dos Impostos S Rendi'!H6</f>
        <v>0</v>
      </c>
    </row>
    <row r="11" spans="1:8" s="37" customFormat="1" ht="18.899999999999999" customHeight="1">
      <c r="A11" s="160" t="s">
        <v>31</v>
      </c>
      <c r="B11" s="162">
        <f>SUM(B6:B10)</f>
        <v>10049185.041802004</v>
      </c>
      <c r="C11" s="162">
        <f>SUM(C6:C10)</f>
        <v>10100217.818278123</v>
      </c>
      <c r="D11" s="162">
        <f>SUM(D6:D10)</f>
        <v>11431530.555611284</v>
      </c>
      <c r="E11" s="162">
        <f>SUM(E6:E10)</f>
        <v>13054375.064522848</v>
      </c>
      <c r="F11" s="162">
        <f>SUM(F6:F10)</f>
        <v>13749141.251658287</v>
      </c>
      <c r="G11" s="162">
        <f t="shared" ref="G11:H11" si="4">SUM(G6:G10)</f>
        <v>14097114.564010661</v>
      </c>
      <c r="H11" s="162">
        <f t="shared" si="4"/>
        <v>14455542.404237375</v>
      </c>
    </row>
    <row r="12" spans="1:8" s="37" customFormat="1" ht="18.899999999999999" customHeight="1">
      <c r="A12" s="163" t="s">
        <v>32</v>
      </c>
      <c r="B12" s="195">
        <f>+B4-B11</f>
        <v>511307.95819799602</v>
      </c>
      <c r="C12" s="195">
        <f>+C4-C11</f>
        <v>2044349.1817218773</v>
      </c>
      <c r="D12" s="195">
        <f>+D4-D11</f>
        <v>2656167.4443887156</v>
      </c>
      <c r="E12" s="195">
        <f>+E4-E11</f>
        <v>2019460.9354771525</v>
      </c>
      <c r="F12" s="195">
        <f>+F4-F11</f>
        <v>1626171.4683417138</v>
      </c>
      <c r="G12" s="195">
        <f t="shared" ref="G12:H12" si="5">+G4-G11</f>
        <v>-14097114.564010661</v>
      </c>
      <c r="H12" s="195">
        <f t="shared" si="5"/>
        <v>-14455542.404237375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15" t="s">
        <v>136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8"/>
  <sheetViews>
    <sheetView showGridLines="0" zoomScaleNormal="100" workbookViewId="0">
      <selection activeCell="B4" sqref="B4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64"/>
      <c r="B1" s="112">
        <v>2025</v>
      </c>
      <c r="C1" s="112">
        <f t="shared" ref="C1:F1" si="0">+B1+1</f>
        <v>2026</v>
      </c>
      <c r="D1" s="112">
        <f t="shared" si="0"/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5" customHeight="1">
      <c r="A2" s="151" t="s">
        <v>59</v>
      </c>
      <c r="B2" s="166"/>
      <c r="C2" s="166"/>
      <c r="D2" s="166"/>
      <c r="E2" s="166"/>
      <c r="F2" s="166"/>
      <c r="G2" s="166"/>
      <c r="H2" s="166"/>
    </row>
    <row r="3" spans="1:8" s="37" customFormat="1" ht="15" customHeight="1">
      <c r="A3" s="74" t="s">
        <v>6</v>
      </c>
      <c r="B3" s="79"/>
      <c r="C3" s="79">
        <f>Amortizações!F20</f>
        <v>30750</v>
      </c>
      <c r="D3" s="79">
        <f>Amortizações!G20</f>
        <v>52500.000001025001</v>
      </c>
      <c r="E3" s="79">
        <f>Amortizações!H20</f>
        <v>32000.000003075005</v>
      </c>
      <c r="F3" s="79">
        <f>Amortizações!I20</f>
        <v>11500.000005125006</v>
      </c>
      <c r="G3" s="79">
        <f>Amortizações!J20</f>
        <v>0</v>
      </c>
      <c r="H3" s="79">
        <f>Amortizações!K20</f>
        <v>0</v>
      </c>
    </row>
    <row r="4" spans="1:8" s="37" customFormat="1" ht="15" customHeight="1">
      <c r="A4" s="74" t="s">
        <v>41</v>
      </c>
      <c r="B4" s="75">
        <f>IF('Capital Circulante'!B8&gt;0,'Capital Circulante'!B8,0)</f>
        <v>1023001.4399999997</v>
      </c>
      <c r="C4" s="75">
        <f>IF('Capital Circulante'!C8&gt;0,'Capital Circulante'!C8,0)</f>
        <v>0</v>
      </c>
      <c r="D4" s="75">
        <f>IF('Capital Circulante'!D8&gt;0,'Capital Circulante'!D8,0)</f>
        <v>151427.398102951</v>
      </c>
      <c r="E4" s="75">
        <f>IF('Capital Circulante'!E8&gt;0,'Capital Circulante'!E8,0)</f>
        <v>185750.96334084356</v>
      </c>
      <c r="F4" s="75">
        <f>IF('Capital Circulante'!F8&gt;0,'Capital Circulante'!F8,0)</f>
        <v>111017.22664139513</v>
      </c>
      <c r="G4" s="75">
        <f>IF('Capital Circulante'!G8&gt;0,'Capital Circulante'!G8,0)</f>
        <v>12070.550071473001</v>
      </c>
      <c r="H4" s="75">
        <f>IF('Capital Circulante'!H8&gt;0,'Capital Circulante'!H8,0)</f>
        <v>29395.641872902401</v>
      </c>
    </row>
    <row r="5" spans="1:8" s="37" customFormat="1" ht="15" customHeight="1">
      <c r="A5" s="74" t="s">
        <v>60</v>
      </c>
      <c r="B5" s="79">
        <f>+'Serviço da Divida Emp. Bancario'!C7+'Serviço da Divida Emp. Bancario'!C20</f>
        <v>0</v>
      </c>
      <c r="C5" s="79">
        <f>+'Serviço da Divida Emp. Bancario'!D7+'Serviço da Divida Emp. Bancario'!D20</f>
        <v>159276.72899999999</v>
      </c>
      <c r="D5" s="79">
        <f>+'Serviço da Divida Emp. Bancario'!E7+'Serviço da Divida Emp. Bancario'!E20</f>
        <v>159276.72899999999</v>
      </c>
      <c r="E5" s="79">
        <f>+'Serviço da Divida Emp. Bancario'!F7+'Serviço da Divida Emp. Bancario'!F20</f>
        <v>159276.72899999999</v>
      </c>
      <c r="F5" s="79">
        <f>+'Serviço da Divida Emp. Bancario'!G7+'Serviço da Divida Emp. Bancario'!G20</f>
        <v>159276.72899999999</v>
      </c>
      <c r="G5" s="79">
        <f>+'Serviço da Divida Emp. Bancario'!H7+'Serviço da Divida Emp. Bancario'!H20</f>
        <v>159276.72899999999</v>
      </c>
      <c r="H5" s="79">
        <f>+'Serviço da Divida Emp. Bancario'!I7+'Serviço da Divida Emp. Bancario'!I20</f>
        <v>159276.72899999999</v>
      </c>
    </row>
    <row r="6" spans="1:8" s="73" customFormat="1" ht="15" customHeight="1">
      <c r="A6" s="77" t="s">
        <v>61</v>
      </c>
      <c r="B6" s="75">
        <f>+'Mov dos Impostos S Rendi'!B6</f>
        <v>1346.1280420027338</v>
      </c>
      <c r="C6" s="75">
        <f>+'Mov dos Impostos S Rendi'!C6</f>
        <v>62944.780226238261</v>
      </c>
      <c r="D6" s="75">
        <f>+'Mov dos Impostos S Rendi'!D6</f>
        <v>124824.58679795534</v>
      </c>
      <c r="E6" s="75">
        <f>+'Mov dos Impostos S Rendi'!E6</f>
        <v>168682.57566351455</v>
      </c>
      <c r="F6" s="75">
        <f>+'Mov dos Impostos S Rendi'!F6</f>
        <v>150839.26885278482</v>
      </c>
      <c r="G6" s="75">
        <f>+'Mov dos Impostos S Rendi'!G6</f>
        <v>0</v>
      </c>
      <c r="H6" s="75">
        <f>+'Mov dos Impostos S Rendi'!H6</f>
        <v>0</v>
      </c>
    </row>
    <row r="7" spans="1:8" s="37" customFormat="1" ht="15" customHeight="1">
      <c r="A7" s="76" t="s">
        <v>83</v>
      </c>
      <c r="B7" s="79">
        <f>+'Serviço da Divida Emp. Bancario'!C19</f>
        <v>126488.01</v>
      </c>
      <c r="C7" s="79">
        <f>+'Serviço da Divida Emp. Bancario'!D19</f>
        <v>126488.02156805999</v>
      </c>
      <c r="D7" s="79">
        <f>+'Serviço da Divida Emp. Bancario'!E19</f>
        <v>113839.219411254</v>
      </c>
      <c r="E7" s="79">
        <f>+'Serviço da Divida Emp. Bancario'!F19</f>
        <v>101190.417254448</v>
      </c>
      <c r="F7" s="79">
        <f>+'Serviço da Divida Emp. Bancario'!G19</f>
        <v>88541.615097641989</v>
      </c>
      <c r="G7" s="79">
        <f>+'Serviço da Divida Emp. Bancario'!H19</f>
        <v>75892.812940835982</v>
      </c>
      <c r="H7" s="79">
        <f>+'Serviço da Divida Emp. Bancario'!I19</f>
        <v>63244.010784029982</v>
      </c>
    </row>
    <row r="8" spans="1:8" s="37" customFormat="1" ht="15" customHeight="1">
      <c r="A8" s="165" t="s">
        <v>0</v>
      </c>
      <c r="B8" s="80">
        <f>SUM(B3:B7)</f>
        <v>1150835.5780420024</v>
      </c>
      <c r="C8" s="80">
        <f>SUM(C3:C7)</f>
        <v>379459.53079429822</v>
      </c>
      <c r="D8" s="80">
        <f>SUM(D3:D7)</f>
        <v>601867.93331318535</v>
      </c>
      <c r="E8" s="80">
        <f>SUM(E3:E7)</f>
        <v>646900.68526188098</v>
      </c>
      <c r="F8" s="80">
        <f>SUM(F3:F7)</f>
        <v>521174.83959694696</v>
      </c>
      <c r="G8" s="80">
        <f t="shared" ref="G8:H8" si="3">SUM(G3:G7)</f>
        <v>247240.09201230897</v>
      </c>
      <c r="H8" s="80">
        <f t="shared" si="3"/>
        <v>251916.38165693238</v>
      </c>
    </row>
    <row r="9" spans="1:8" s="37" customFormat="1" ht="15" customHeight="1">
      <c r="A9" s="151" t="s">
        <v>62</v>
      </c>
      <c r="B9" s="166"/>
      <c r="C9" s="166"/>
      <c r="D9" s="166"/>
      <c r="E9" s="166"/>
      <c r="F9" s="166"/>
      <c r="G9" s="166"/>
      <c r="H9" s="166"/>
    </row>
    <row r="10" spans="1:8" s="37" customFormat="1" ht="15" customHeight="1">
      <c r="A10" s="74" t="s">
        <v>63</v>
      </c>
      <c r="B10" s="75">
        <v>0</v>
      </c>
      <c r="C10" s="75"/>
      <c r="D10" s="75"/>
      <c r="E10" s="75"/>
      <c r="F10" s="75"/>
      <c r="G10" s="75"/>
      <c r="H10" s="75"/>
    </row>
    <row r="11" spans="1:8" s="37" customFormat="1" ht="15" customHeight="1">
      <c r="A11" s="74" t="s">
        <v>147</v>
      </c>
      <c r="B11" s="79">
        <v>0</v>
      </c>
      <c r="C11" s="79">
        <f>+'MAPA INVESTIMENTOS'!B18</f>
        <v>14592.875</v>
      </c>
      <c r="D11" s="79">
        <f>+'MAPA INVESTIMENTOS'!C18</f>
        <v>14592.875</v>
      </c>
      <c r="E11" s="75"/>
      <c r="F11" s="75"/>
      <c r="G11" s="75"/>
      <c r="H11" s="75"/>
    </row>
    <row r="12" spans="1:8" s="37" customFormat="1" ht="15" customHeight="1">
      <c r="A12" s="74" t="s">
        <v>5</v>
      </c>
      <c r="B12" s="75">
        <f>+'DR SNC'!F19</f>
        <v>257726.93194811512</v>
      </c>
      <c r="C12" s="75">
        <f>+'DR SNC'!G19</f>
        <v>553425.22534555139</v>
      </c>
      <c r="D12" s="75">
        <f>+'DR SNC'!H19</f>
        <v>838608.8354347006</v>
      </c>
      <c r="E12" s="75">
        <f>+'DR SNC'!I19</f>
        <v>1034807.599304367</v>
      </c>
      <c r="F12" s="75">
        <f>+'DR SNC'!J19</f>
        <v>836609.20582455536</v>
      </c>
      <c r="G12" s="75">
        <f>+'DR SNC'!K19</f>
        <v>0</v>
      </c>
      <c r="H12" s="75">
        <f>+'DR SNC'!L19</f>
        <v>0</v>
      </c>
    </row>
    <row r="13" spans="1:8" s="37" customFormat="1" ht="15" customHeight="1">
      <c r="A13" s="74" t="s">
        <v>66</v>
      </c>
      <c r="B13" s="75">
        <f>IF('Capital Circulante'!B8&lt;0,-'Capital Circulante'!B8,0)</f>
        <v>0</v>
      </c>
      <c r="C13" s="75">
        <f>IF('Capital Circulante'!C8&lt;0,-'Capital Circulante'!C8,0)</f>
        <v>13485.4845115426</v>
      </c>
      <c r="D13" s="75">
        <f>IF('Capital Circulante'!D8&lt;0,-'Capital Circulante'!D8,0)</f>
        <v>0</v>
      </c>
      <c r="E13" s="75">
        <f>IF('Capital Circulante'!E8&lt;0,-'Capital Circulante'!E8,0)</f>
        <v>0</v>
      </c>
      <c r="F13" s="75">
        <f>IF('Capital Circulante'!F8&lt;0,-'Capital Circulante'!F8,0)</f>
        <v>0</v>
      </c>
      <c r="G13" s="75">
        <f>IF('Capital Circulante'!G8&lt;0,-'Capital Circulante'!G8,0)</f>
        <v>0</v>
      </c>
      <c r="H13" s="75">
        <f>IF('Capital Circulante'!H8&lt;0,-'Capital Circulante'!H8,0)</f>
        <v>0</v>
      </c>
    </row>
    <row r="14" spans="1:8" s="37" customFormat="1" ht="15" customHeight="1">
      <c r="A14" s="74" t="s">
        <v>158</v>
      </c>
      <c r="B14" s="79"/>
      <c r="C14" s="79">
        <f>+'Serviço da Divida Emp. Bancario'!C5</f>
        <v>0</v>
      </c>
      <c r="D14" s="75">
        <f>[1]MapaServiçoDívida!G5</f>
        <v>0</v>
      </c>
      <c r="E14" s="75">
        <f>[1]MapaServiçoDívida!H5</f>
        <v>0</v>
      </c>
      <c r="F14" s="75">
        <f>[1]MapaServiçoDívida!I5</f>
        <v>0</v>
      </c>
      <c r="G14" s="75">
        <v>0</v>
      </c>
      <c r="H14" s="75">
        <v>0</v>
      </c>
    </row>
    <row r="15" spans="1:8" s="37" customFormat="1" ht="15" customHeight="1">
      <c r="A15" s="165" t="s">
        <v>0</v>
      </c>
      <c r="B15" s="80">
        <f>SUM(B10:B14)</f>
        <v>257726.93194811512</v>
      </c>
      <c r="C15" s="80">
        <f>SUM(C10:C14)</f>
        <v>581503.58485709399</v>
      </c>
      <c r="D15" s="80">
        <f>SUM(D10:D14)</f>
        <v>853201.7104347006</v>
      </c>
      <c r="E15" s="80">
        <f>SUM(E10:E14)</f>
        <v>1034807.599304367</v>
      </c>
      <c r="F15" s="80">
        <f>SUM(F10:F14)</f>
        <v>836609.20582455536</v>
      </c>
      <c r="G15" s="80">
        <f t="shared" ref="G15:H15" si="4">SUM(G10:G14)</f>
        <v>0</v>
      </c>
      <c r="H15" s="80">
        <f t="shared" si="4"/>
        <v>0</v>
      </c>
    </row>
    <row r="16" spans="1:8" s="37" customFormat="1" ht="15" customHeight="1">
      <c r="A16" s="165" t="s">
        <v>7</v>
      </c>
      <c r="B16" s="78">
        <f>B15-B8</f>
        <v>-893108.64609388728</v>
      </c>
      <c r="C16" s="78">
        <f>C15-C8</f>
        <v>202044.05406279577</v>
      </c>
      <c r="D16" s="78">
        <f>D15-D8</f>
        <v>251333.77712151525</v>
      </c>
      <c r="E16" s="78">
        <f>E15-E8</f>
        <v>387906.91404248599</v>
      </c>
      <c r="F16" s="78">
        <f>F15-F8</f>
        <v>315434.36622760841</v>
      </c>
      <c r="G16" s="78">
        <f t="shared" ref="G16:H16" si="5">G15-G8</f>
        <v>-247240.09201230897</v>
      </c>
      <c r="H16" s="78">
        <f t="shared" si="5"/>
        <v>-251916.38165693238</v>
      </c>
    </row>
    <row r="17" spans="1:8" s="37" customFormat="1" ht="15" customHeight="1">
      <c r="A17" s="165" t="s">
        <v>64</v>
      </c>
      <c r="B17" s="80">
        <f>+'Balanço SNC'!D21</f>
        <v>20361.27</v>
      </c>
      <c r="C17" s="80">
        <f>B18</f>
        <v>-872747.37609388726</v>
      </c>
      <c r="D17" s="80">
        <f>C18</f>
        <v>-670703.32203109143</v>
      </c>
      <c r="E17" s="80">
        <f>D18</f>
        <v>-419369.54490957619</v>
      </c>
      <c r="F17" s="80">
        <f>E18</f>
        <v>-31462.630867090193</v>
      </c>
      <c r="G17" s="80">
        <f t="shared" ref="G17:H17" si="6">F18</f>
        <v>283971.73536051821</v>
      </c>
      <c r="H17" s="80">
        <f t="shared" si="6"/>
        <v>36731.64334820924</v>
      </c>
    </row>
    <row r="18" spans="1:8" s="37" customFormat="1" ht="15" customHeight="1">
      <c r="A18" s="163" t="s">
        <v>65</v>
      </c>
      <c r="B18" s="167">
        <f>B17+B16</f>
        <v>-872747.37609388726</v>
      </c>
      <c r="C18" s="167">
        <f>C17+C16</f>
        <v>-670703.32203109143</v>
      </c>
      <c r="D18" s="167">
        <f>D17+D16</f>
        <v>-419369.54490957619</v>
      </c>
      <c r="E18" s="167">
        <f>E17+E16</f>
        <v>-31462.630867090193</v>
      </c>
      <c r="F18" s="167">
        <f>F17+F16</f>
        <v>283971.73536051821</v>
      </c>
      <c r="G18" s="167">
        <f t="shared" ref="G18:H18" si="7">G17+G16</f>
        <v>36731.64334820924</v>
      </c>
      <c r="H18" s="167">
        <f t="shared" si="7"/>
        <v>-215184.73830872314</v>
      </c>
    </row>
    <row r="19" spans="1:8" s="37" customFormat="1" ht="15" customHeight="1">
      <c r="A19" s="36"/>
      <c r="B19" s="36"/>
      <c r="C19" s="36"/>
      <c r="D19" s="36"/>
      <c r="E19" s="36"/>
      <c r="F19" s="36"/>
    </row>
    <row r="20" spans="1:8" ht="20.100000000000001" customHeight="1">
      <c r="A20" s="115" t="s">
        <v>136</v>
      </c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hyperlinks>
    <hyperlink ref="A20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3"/>
  <sheetViews>
    <sheetView showGridLines="0" tabSelected="1" topLeftCell="A35" zoomScaleNormal="100" zoomScaleSheetLayoutView="100" workbookViewId="0">
      <selection activeCell="B43" sqref="B43"/>
    </sheetView>
  </sheetViews>
  <sheetFormatPr defaultRowHeight="12.75" customHeight="1"/>
  <cols>
    <col min="1" max="1" width="62.33203125" style="89" bestFit="1" customWidth="1"/>
    <col min="2" max="3" width="15" style="89" bestFit="1" customWidth="1"/>
    <col min="4" max="4" width="13.6640625" style="89" customWidth="1"/>
    <col min="5" max="5" width="13.5546875" style="89" bestFit="1" customWidth="1"/>
    <col min="6" max="8" width="13.5546875" style="89" hidden="1" customWidth="1"/>
    <col min="9" max="10" width="13.5546875" style="89" bestFit="1" customWidth="1"/>
    <col min="11" max="12" width="12.88671875" style="89" bestFit="1" customWidth="1"/>
    <col min="13" max="13" width="12.6640625" style="89" bestFit="1" customWidth="1"/>
    <col min="14" max="242" width="9.109375" style="89"/>
    <col min="243" max="243" width="8.6640625" style="89" customWidth="1"/>
    <col min="244" max="244" width="62.88671875" style="89" customWidth="1"/>
    <col min="245" max="245" width="7.6640625" style="89" customWidth="1"/>
    <col min="246" max="247" width="12.6640625" style="89" customWidth="1"/>
    <col min="248" max="498" width="9.109375" style="89"/>
    <col min="499" max="499" width="8.6640625" style="89" customWidth="1"/>
    <col min="500" max="500" width="62.88671875" style="89" customWidth="1"/>
    <col min="501" max="501" width="7.6640625" style="89" customWidth="1"/>
    <col min="502" max="503" width="12.6640625" style="89" customWidth="1"/>
    <col min="504" max="754" width="9.109375" style="89"/>
    <col min="755" max="755" width="8.6640625" style="89" customWidth="1"/>
    <col min="756" max="756" width="62.88671875" style="89" customWidth="1"/>
    <col min="757" max="757" width="7.6640625" style="89" customWidth="1"/>
    <col min="758" max="759" width="12.6640625" style="89" customWidth="1"/>
    <col min="760" max="1010" width="9.109375" style="89"/>
    <col min="1011" max="1011" width="8.6640625" style="89" customWidth="1"/>
    <col min="1012" max="1012" width="62.88671875" style="89" customWidth="1"/>
    <col min="1013" max="1013" width="7.6640625" style="89" customWidth="1"/>
    <col min="1014" max="1015" width="12.6640625" style="89" customWidth="1"/>
    <col min="1016" max="1266" width="9.109375" style="89"/>
    <col min="1267" max="1267" width="8.6640625" style="89" customWidth="1"/>
    <col min="1268" max="1268" width="62.88671875" style="89" customWidth="1"/>
    <col min="1269" max="1269" width="7.6640625" style="89" customWidth="1"/>
    <col min="1270" max="1271" width="12.6640625" style="89" customWidth="1"/>
    <col min="1272" max="1522" width="9.109375" style="89"/>
    <col min="1523" max="1523" width="8.6640625" style="89" customWidth="1"/>
    <col min="1524" max="1524" width="62.88671875" style="89" customWidth="1"/>
    <col min="1525" max="1525" width="7.6640625" style="89" customWidth="1"/>
    <col min="1526" max="1527" width="12.6640625" style="89" customWidth="1"/>
    <col min="1528" max="1778" width="9.109375" style="89"/>
    <col min="1779" max="1779" width="8.6640625" style="89" customWidth="1"/>
    <col min="1780" max="1780" width="62.88671875" style="89" customWidth="1"/>
    <col min="1781" max="1781" width="7.6640625" style="89" customWidth="1"/>
    <col min="1782" max="1783" width="12.6640625" style="89" customWidth="1"/>
    <col min="1784" max="2034" width="9.109375" style="89"/>
    <col min="2035" max="2035" width="8.6640625" style="89" customWidth="1"/>
    <col min="2036" max="2036" width="62.88671875" style="89" customWidth="1"/>
    <col min="2037" max="2037" width="7.6640625" style="89" customWidth="1"/>
    <col min="2038" max="2039" width="12.6640625" style="89" customWidth="1"/>
    <col min="2040" max="2290" width="9.109375" style="89"/>
    <col min="2291" max="2291" width="8.6640625" style="89" customWidth="1"/>
    <col min="2292" max="2292" width="62.88671875" style="89" customWidth="1"/>
    <col min="2293" max="2293" width="7.6640625" style="89" customWidth="1"/>
    <col min="2294" max="2295" width="12.6640625" style="89" customWidth="1"/>
    <col min="2296" max="2546" width="9.109375" style="89"/>
    <col min="2547" max="2547" width="8.6640625" style="89" customWidth="1"/>
    <col min="2548" max="2548" width="62.88671875" style="89" customWidth="1"/>
    <col min="2549" max="2549" width="7.6640625" style="89" customWidth="1"/>
    <col min="2550" max="2551" width="12.6640625" style="89" customWidth="1"/>
    <col min="2552" max="2802" width="9.109375" style="89"/>
    <col min="2803" max="2803" width="8.6640625" style="89" customWidth="1"/>
    <col min="2804" max="2804" width="62.88671875" style="89" customWidth="1"/>
    <col min="2805" max="2805" width="7.6640625" style="89" customWidth="1"/>
    <col min="2806" max="2807" width="12.6640625" style="89" customWidth="1"/>
    <col min="2808" max="3058" width="9.109375" style="89"/>
    <col min="3059" max="3059" width="8.6640625" style="89" customWidth="1"/>
    <col min="3060" max="3060" width="62.88671875" style="89" customWidth="1"/>
    <col min="3061" max="3061" width="7.6640625" style="89" customWidth="1"/>
    <col min="3062" max="3063" width="12.6640625" style="89" customWidth="1"/>
    <col min="3064" max="3314" width="9.109375" style="89"/>
    <col min="3315" max="3315" width="8.6640625" style="89" customWidth="1"/>
    <col min="3316" max="3316" width="62.88671875" style="89" customWidth="1"/>
    <col min="3317" max="3317" width="7.6640625" style="89" customWidth="1"/>
    <col min="3318" max="3319" width="12.6640625" style="89" customWidth="1"/>
    <col min="3320" max="3570" width="9.109375" style="89"/>
    <col min="3571" max="3571" width="8.6640625" style="89" customWidth="1"/>
    <col min="3572" max="3572" width="62.88671875" style="89" customWidth="1"/>
    <col min="3573" max="3573" width="7.6640625" style="89" customWidth="1"/>
    <col min="3574" max="3575" width="12.6640625" style="89" customWidth="1"/>
    <col min="3576" max="3826" width="9.109375" style="89"/>
    <col min="3827" max="3827" width="8.6640625" style="89" customWidth="1"/>
    <col min="3828" max="3828" width="62.88671875" style="89" customWidth="1"/>
    <col min="3829" max="3829" width="7.6640625" style="89" customWidth="1"/>
    <col min="3830" max="3831" width="12.6640625" style="89" customWidth="1"/>
    <col min="3832" max="4082" width="9.109375" style="89"/>
    <col min="4083" max="4083" width="8.6640625" style="89" customWidth="1"/>
    <col min="4084" max="4084" width="62.88671875" style="89" customWidth="1"/>
    <col min="4085" max="4085" width="7.6640625" style="89" customWidth="1"/>
    <col min="4086" max="4087" width="12.6640625" style="89" customWidth="1"/>
    <col min="4088" max="4338" width="9.109375" style="89"/>
    <col min="4339" max="4339" width="8.6640625" style="89" customWidth="1"/>
    <col min="4340" max="4340" width="62.88671875" style="89" customWidth="1"/>
    <col min="4341" max="4341" width="7.6640625" style="89" customWidth="1"/>
    <col min="4342" max="4343" width="12.6640625" style="89" customWidth="1"/>
    <col min="4344" max="4594" width="9.109375" style="89"/>
    <col min="4595" max="4595" width="8.6640625" style="89" customWidth="1"/>
    <col min="4596" max="4596" width="62.88671875" style="89" customWidth="1"/>
    <col min="4597" max="4597" width="7.6640625" style="89" customWidth="1"/>
    <col min="4598" max="4599" width="12.6640625" style="89" customWidth="1"/>
    <col min="4600" max="4850" width="9.109375" style="89"/>
    <col min="4851" max="4851" width="8.6640625" style="89" customWidth="1"/>
    <col min="4852" max="4852" width="62.88671875" style="89" customWidth="1"/>
    <col min="4853" max="4853" width="7.6640625" style="89" customWidth="1"/>
    <col min="4854" max="4855" width="12.6640625" style="89" customWidth="1"/>
    <col min="4856" max="5106" width="9.109375" style="89"/>
    <col min="5107" max="5107" width="8.6640625" style="89" customWidth="1"/>
    <col min="5108" max="5108" width="62.88671875" style="89" customWidth="1"/>
    <col min="5109" max="5109" width="7.6640625" style="89" customWidth="1"/>
    <col min="5110" max="5111" width="12.6640625" style="89" customWidth="1"/>
    <col min="5112" max="5362" width="9.109375" style="89"/>
    <col min="5363" max="5363" width="8.6640625" style="89" customWidth="1"/>
    <col min="5364" max="5364" width="62.88671875" style="89" customWidth="1"/>
    <col min="5365" max="5365" width="7.6640625" style="89" customWidth="1"/>
    <col min="5366" max="5367" width="12.6640625" style="89" customWidth="1"/>
    <col min="5368" max="5618" width="9.109375" style="89"/>
    <col min="5619" max="5619" width="8.6640625" style="89" customWidth="1"/>
    <col min="5620" max="5620" width="62.88671875" style="89" customWidth="1"/>
    <col min="5621" max="5621" width="7.6640625" style="89" customWidth="1"/>
    <col min="5622" max="5623" width="12.6640625" style="89" customWidth="1"/>
    <col min="5624" max="5874" width="9.109375" style="89"/>
    <col min="5875" max="5875" width="8.6640625" style="89" customWidth="1"/>
    <col min="5876" max="5876" width="62.88671875" style="89" customWidth="1"/>
    <col min="5877" max="5877" width="7.6640625" style="89" customWidth="1"/>
    <col min="5878" max="5879" width="12.6640625" style="89" customWidth="1"/>
    <col min="5880" max="6130" width="9.109375" style="89"/>
    <col min="6131" max="6131" width="8.6640625" style="89" customWidth="1"/>
    <col min="6132" max="6132" width="62.88671875" style="89" customWidth="1"/>
    <col min="6133" max="6133" width="7.6640625" style="89" customWidth="1"/>
    <col min="6134" max="6135" width="12.6640625" style="89" customWidth="1"/>
    <col min="6136" max="6386" width="9.109375" style="89"/>
    <col min="6387" max="6387" width="8.6640625" style="89" customWidth="1"/>
    <col min="6388" max="6388" width="62.88671875" style="89" customWidth="1"/>
    <col min="6389" max="6389" width="7.6640625" style="89" customWidth="1"/>
    <col min="6390" max="6391" width="12.6640625" style="89" customWidth="1"/>
    <col min="6392" max="6642" width="9.109375" style="89"/>
    <col min="6643" max="6643" width="8.6640625" style="89" customWidth="1"/>
    <col min="6644" max="6644" width="62.88671875" style="89" customWidth="1"/>
    <col min="6645" max="6645" width="7.6640625" style="89" customWidth="1"/>
    <col min="6646" max="6647" width="12.6640625" style="89" customWidth="1"/>
    <col min="6648" max="6898" width="9.109375" style="89"/>
    <col min="6899" max="6899" width="8.6640625" style="89" customWidth="1"/>
    <col min="6900" max="6900" width="62.88671875" style="89" customWidth="1"/>
    <col min="6901" max="6901" width="7.6640625" style="89" customWidth="1"/>
    <col min="6902" max="6903" width="12.6640625" style="89" customWidth="1"/>
    <col min="6904" max="7154" width="9.109375" style="89"/>
    <col min="7155" max="7155" width="8.6640625" style="89" customWidth="1"/>
    <col min="7156" max="7156" width="62.88671875" style="89" customWidth="1"/>
    <col min="7157" max="7157" width="7.6640625" style="89" customWidth="1"/>
    <col min="7158" max="7159" width="12.6640625" style="89" customWidth="1"/>
    <col min="7160" max="7410" width="9.109375" style="89"/>
    <col min="7411" max="7411" width="8.6640625" style="89" customWidth="1"/>
    <col min="7412" max="7412" width="62.88671875" style="89" customWidth="1"/>
    <col min="7413" max="7413" width="7.6640625" style="89" customWidth="1"/>
    <col min="7414" max="7415" width="12.6640625" style="89" customWidth="1"/>
    <col min="7416" max="7666" width="9.109375" style="89"/>
    <col min="7667" max="7667" width="8.6640625" style="89" customWidth="1"/>
    <col min="7668" max="7668" width="62.88671875" style="89" customWidth="1"/>
    <col min="7669" max="7669" width="7.6640625" style="89" customWidth="1"/>
    <col min="7670" max="7671" width="12.6640625" style="89" customWidth="1"/>
    <col min="7672" max="7922" width="9.109375" style="89"/>
    <col min="7923" max="7923" width="8.6640625" style="89" customWidth="1"/>
    <col min="7924" max="7924" width="62.88671875" style="89" customWidth="1"/>
    <col min="7925" max="7925" width="7.6640625" style="89" customWidth="1"/>
    <col min="7926" max="7927" width="12.6640625" style="89" customWidth="1"/>
    <col min="7928" max="8178" width="9.109375" style="89"/>
    <col min="8179" max="8179" width="8.6640625" style="89" customWidth="1"/>
    <col min="8180" max="8180" width="62.88671875" style="89" customWidth="1"/>
    <col min="8181" max="8181" width="7.6640625" style="89" customWidth="1"/>
    <col min="8182" max="8183" width="12.6640625" style="89" customWidth="1"/>
    <col min="8184" max="8434" width="9.109375" style="89"/>
    <col min="8435" max="8435" width="8.6640625" style="89" customWidth="1"/>
    <col min="8436" max="8436" width="62.88671875" style="89" customWidth="1"/>
    <col min="8437" max="8437" width="7.6640625" style="89" customWidth="1"/>
    <col min="8438" max="8439" width="12.6640625" style="89" customWidth="1"/>
    <col min="8440" max="8690" width="9.109375" style="89"/>
    <col min="8691" max="8691" width="8.6640625" style="89" customWidth="1"/>
    <col min="8692" max="8692" width="62.88671875" style="89" customWidth="1"/>
    <col min="8693" max="8693" width="7.6640625" style="89" customWidth="1"/>
    <col min="8694" max="8695" width="12.6640625" style="89" customWidth="1"/>
    <col min="8696" max="8946" width="9.109375" style="89"/>
    <col min="8947" max="8947" width="8.6640625" style="89" customWidth="1"/>
    <col min="8948" max="8948" width="62.88671875" style="89" customWidth="1"/>
    <col min="8949" max="8949" width="7.6640625" style="89" customWidth="1"/>
    <col min="8950" max="8951" width="12.6640625" style="89" customWidth="1"/>
    <col min="8952" max="9202" width="9.109375" style="89"/>
    <col min="9203" max="9203" width="8.6640625" style="89" customWidth="1"/>
    <col min="9204" max="9204" width="62.88671875" style="89" customWidth="1"/>
    <col min="9205" max="9205" width="7.6640625" style="89" customWidth="1"/>
    <col min="9206" max="9207" width="12.6640625" style="89" customWidth="1"/>
    <col min="9208" max="9458" width="9.109375" style="89"/>
    <col min="9459" max="9459" width="8.6640625" style="89" customWidth="1"/>
    <col min="9460" max="9460" width="62.88671875" style="89" customWidth="1"/>
    <col min="9461" max="9461" width="7.6640625" style="89" customWidth="1"/>
    <col min="9462" max="9463" width="12.6640625" style="89" customWidth="1"/>
    <col min="9464" max="9714" width="9.109375" style="89"/>
    <col min="9715" max="9715" width="8.6640625" style="89" customWidth="1"/>
    <col min="9716" max="9716" width="62.88671875" style="89" customWidth="1"/>
    <col min="9717" max="9717" width="7.6640625" style="89" customWidth="1"/>
    <col min="9718" max="9719" width="12.6640625" style="89" customWidth="1"/>
    <col min="9720" max="9970" width="9.109375" style="89"/>
    <col min="9971" max="9971" width="8.6640625" style="89" customWidth="1"/>
    <col min="9972" max="9972" width="62.88671875" style="89" customWidth="1"/>
    <col min="9973" max="9973" width="7.6640625" style="89" customWidth="1"/>
    <col min="9974" max="9975" width="12.6640625" style="89" customWidth="1"/>
    <col min="9976" max="10226" width="9.109375" style="89"/>
    <col min="10227" max="10227" width="8.6640625" style="89" customWidth="1"/>
    <col min="10228" max="10228" width="62.88671875" style="89" customWidth="1"/>
    <col min="10229" max="10229" width="7.6640625" style="89" customWidth="1"/>
    <col min="10230" max="10231" width="12.6640625" style="89" customWidth="1"/>
    <col min="10232" max="10482" width="9.109375" style="89"/>
    <col min="10483" max="10483" width="8.6640625" style="89" customWidth="1"/>
    <col min="10484" max="10484" width="62.88671875" style="89" customWidth="1"/>
    <col min="10485" max="10485" width="7.6640625" style="89" customWidth="1"/>
    <col min="10486" max="10487" width="12.6640625" style="89" customWidth="1"/>
    <col min="10488" max="10738" width="9.109375" style="89"/>
    <col min="10739" max="10739" width="8.6640625" style="89" customWidth="1"/>
    <col min="10740" max="10740" width="62.88671875" style="89" customWidth="1"/>
    <col min="10741" max="10741" width="7.6640625" style="89" customWidth="1"/>
    <col min="10742" max="10743" width="12.6640625" style="89" customWidth="1"/>
    <col min="10744" max="10994" width="9.109375" style="89"/>
    <col min="10995" max="10995" width="8.6640625" style="89" customWidth="1"/>
    <col min="10996" max="10996" width="62.88671875" style="89" customWidth="1"/>
    <col min="10997" max="10997" width="7.6640625" style="89" customWidth="1"/>
    <col min="10998" max="10999" width="12.6640625" style="89" customWidth="1"/>
    <col min="11000" max="11250" width="9.109375" style="89"/>
    <col min="11251" max="11251" width="8.6640625" style="89" customWidth="1"/>
    <col min="11252" max="11252" width="62.88671875" style="89" customWidth="1"/>
    <col min="11253" max="11253" width="7.6640625" style="89" customWidth="1"/>
    <col min="11254" max="11255" width="12.6640625" style="89" customWidth="1"/>
    <col min="11256" max="11506" width="9.109375" style="89"/>
    <col min="11507" max="11507" width="8.6640625" style="89" customWidth="1"/>
    <col min="11508" max="11508" width="62.88671875" style="89" customWidth="1"/>
    <col min="11509" max="11509" width="7.6640625" style="89" customWidth="1"/>
    <col min="11510" max="11511" width="12.6640625" style="89" customWidth="1"/>
    <col min="11512" max="11762" width="9.109375" style="89"/>
    <col min="11763" max="11763" width="8.6640625" style="89" customWidth="1"/>
    <col min="11764" max="11764" width="62.88671875" style="89" customWidth="1"/>
    <col min="11765" max="11765" width="7.6640625" style="89" customWidth="1"/>
    <col min="11766" max="11767" width="12.6640625" style="89" customWidth="1"/>
    <col min="11768" max="12018" width="9.109375" style="89"/>
    <col min="12019" max="12019" width="8.6640625" style="89" customWidth="1"/>
    <col min="12020" max="12020" width="62.88671875" style="89" customWidth="1"/>
    <col min="12021" max="12021" width="7.6640625" style="89" customWidth="1"/>
    <col min="12022" max="12023" width="12.6640625" style="89" customWidth="1"/>
    <col min="12024" max="12274" width="9.109375" style="89"/>
    <col min="12275" max="12275" width="8.6640625" style="89" customWidth="1"/>
    <col min="12276" max="12276" width="62.88671875" style="89" customWidth="1"/>
    <col min="12277" max="12277" width="7.6640625" style="89" customWidth="1"/>
    <col min="12278" max="12279" width="12.6640625" style="89" customWidth="1"/>
    <col min="12280" max="12530" width="9.109375" style="89"/>
    <col min="12531" max="12531" width="8.6640625" style="89" customWidth="1"/>
    <col min="12532" max="12532" width="62.88671875" style="89" customWidth="1"/>
    <col min="12533" max="12533" width="7.6640625" style="89" customWidth="1"/>
    <col min="12534" max="12535" width="12.6640625" style="89" customWidth="1"/>
    <col min="12536" max="12786" width="9.109375" style="89"/>
    <col min="12787" max="12787" width="8.6640625" style="89" customWidth="1"/>
    <col min="12788" max="12788" width="62.88671875" style="89" customWidth="1"/>
    <col min="12789" max="12789" width="7.6640625" style="89" customWidth="1"/>
    <col min="12790" max="12791" width="12.6640625" style="89" customWidth="1"/>
    <col min="12792" max="13042" width="9.109375" style="89"/>
    <col min="13043" max="13043" width="8.6640625" style="89" customWidth="1"/>
    <col min="13044" max="13044" width="62.88671875" style="89" customWidth="1"/>
    <col min="13045" max="13045" width="7.6640625" style="89" customWidth="1"/>
    <col min="13046" max="13047" width="12.6640625" style="89" customWidth="1"/>
    <col min="13048" max="13298" width="9.109375" style="89"/>
    <col min="13299" max="13299" width="8.6640625" style="89" customWidth="1"/>
    <col min="13300" max="13300" width="62.88671875" style="89" customWidth="1"/>
    <col min="13301" max="13301" width="7.6640625" style="89" customWidth="1"/>
    <col min="13302" max="13303" width="12.6640625" style="89" customWidth="1"/>
    <col min="13304" max="13554" width="9.109375" style="89"/>
    <col min="13555" max="13555" width="8.6640625" style="89" customWidth="1"/>
    <col min="13556" max="13556" width="62.88671875" style="89" customWidth="1"/>
    <col min="13557" max="13557" width="7.6640625" style="89" customWidth="1"/>
    <col min="13558" max="13559" width="12.6640625" style="89" customWidth="1"/>
    <col min="13560" max="13810" width="9.109375" style="89"/>
    <col min="13811" max="13811" width="8.6640625" style="89" customWidth="1"/>
    <col min="13812" max="13812" width="62.88671875" style="89" customWidth="1"/>
    <col min="13813" max="13813" width="7.6640625" style="89" customWidth="1"/>
    <col min="13814" max="13815" width="12.6640625" style="89" customWidth="1"/>
    <col min="13816" max="14066" width="9.109375" style="89"/>
    <col min="14067" max="14067" width="8.6640625" style="89" customWidth="1"/>
    <col min="14068" max="14068" width="62.88671875" style="89" customWidth="1"/>
    <col min="14069" max="14069" width="7.6640625" style="89" customWidth="1"/>
    <col min="14070" max="14071" width="12.6640625" style="89" customWidth="1"/>
    <col min="14072" max="14322" width="9.109375" style="89"/>
    <col min="14323" max="14323" width="8.6640625" style="89" customWidth="1"/>
    <col min="14324" max="14324" width="62.88671875" style="89" customWidth="1"/>
    <col min="14325" max="14325" width="7.6640625" style="89" customWidth="1"/>
    <col min="14326" max="14327" width="12.6640625" style="89" customWidth="1"/>
    <col min="14328" max="14578" width="9.109375" style="89"/>
    <col min="14579" max="14579" width="8.6640625" style="89" customWidth="1"/>
    <col min="14580" max="14580" width="62.88671875" style="89" customWidth="1"/>
    <col min="14581" max="14581" width="7.6640625" style="89" customWidth="1"/>
    <col min="14582" max="14583" width="12.6640625" style="89" customWidth="1"/>
    <col min="14584" max="14834" width="9.109375" style="89"/>
    <col min="14835" max="14835" width="8.6640625" style="89" customWidth="1"/>
    <col min="14836" max="14836" width="62.88671875" style="89" customWidth="1"/>
    <col min="14837" max="14837" width="7.6640625" style="89" customWidth="1"/>
    <col min="14838" max="14839" width="12.6640625" style="89" customWidth="1"/>
    <col min="14840" max="15090" width="9.109375" style="89"/>
    <col min="15091" max="15091" width="8.6640625" style="89" customWidth="1"/>
    <col min="15092" max="15092" width="62.88671875" style="89" customWidth="1"/>
    <col min="15093" max="15093" width="7.6640625" style="89" customWidth="1"/>
    <col min="15094" max="15095" width="12.6640625" style="89" customWidth="1"/>
    <col min="15096" max="15346" width="9.109375" style="89"/>
    <col min="15347" max="15347" width="8.6640625" style="89" customWidth="1"/>
    <col min="15348" max="15348" width="62.88671875" style="89" customWidth="1"/>
    <col min="15349" max="15349" width="7.6640625" style="89" customWidth="1"/>
    <col min="15350" max="15351" width="12.6640625" style="89" customWidth="1"/>
    <col min="15352" max="15602" width="9.109375" style="89"/>
    <col min="15603" max="15603" width="8.6640625" style="89" customWidth="1"/>
    <col min="15604" max="15604" width="62.88671875" style="89" customWidth="1"/>
    <col min="15605" max="15605" width="7.6640625" style="89" customWidth="1"/>
    <col min="15606" max="15607" width="12.6640625" style="89" customWidth="1"/>
    <col min="15608" max="15858" width="9.109375" style="89"/>
    <col min="15859" max="15859" width="8.6640625" style="89" customWidth="1"/>
    <col min="15860" max="15860" width="62.88671875" style="89" customWidth="1"/>
    <col min="15861" max="15861" width="7.6640625" style="89" customWidth="1"/>
    <col min="15862" max="15863" width="12.6640625" style="89" customWidth="1"/>
    <col min="15864" max="16114" width="9.109375" style="89"/>
    <col min="16115" max="16115" width="8.6640625" style="89" customWidth="1"/>
    <col min="16116" max="16116" width="62.88671875" style="89" customWidth="1"/>
    <col min="16117" max="16117" width="7.6640625" style="89" customWidth="1"/>
    <col min="16118" max="16119" width="12.6640625" style="89" customWidth="1"/>
    <col min="16120" max="16384" width="9.109375" style="89"/>
  </cols>
  <sheetData>
    <row r="1" spans="1:13" ht="12.75" customHeight="1">
      <c r="E1" s="102"/>
      <c r="F1" s="102"/>
      <c r="G1" s="102"/>
      <c r="H1" s="102"/>
      <c r="I1" s="102"/>
    </row>
    <row r="2" spans="1:13" ht="12.75" customHeight="1" thickBot="1"/>
    <row r="3" spans="1:13" ht="18" customHeight="1">
      <c r="A3" s="182" t="s">
        <v>140</v>
      </c>
      <c r="B3" s="183"/>
      <c r="C3" s="318">
        <v>2022</v>
      </c>
      <c r="D3" s="318">
        <v>2023</v>
      </c>
      <c r="E3" s="318">
        <v>2024</v>
      </c>
      <c r="F3" s="184">
        <v>2025</v>
      </c>
      <c r="G3" s="184">
        <v>2026</v>
      </c>
      <c r="H3" s="184">
        <v>2027</v>
      </c>
      <c r="I3" s="445">
        <v>2028</v>
      </c>
      <c r="J3" s="184">
        <v>2029</v>
      </c>
      <c r="K3" s="184">
        <v>2030</v>
      </c>
      <c r="L3" s="308">
        <v>2031</v>
      </c>
    </row>
    <row r="4" spans="1:13" ht="14.4">
      <c r="A4" s="168"/>
      <c r="B4" s="168"/>
      <c r="C4" s="337"/>
      <c r="D4" s="337"/>
      <c r="E4" s="416"/>
      <c r="F4" s="169"/>
      <c r="G4" s="169"/>
      <c r="H4" s="169"/>
      <c r="I4" s="446"/>
      <c r="J4" s="169"/>
      <c r="K4" s="169"/>
      <c r="L4" s="309"/>
    </row>
    <row r="5" spans="1:13" ht="12.75" customHeight="1">
      <c r="A5" s="170" t="s">
        <v>88</v>
      </c>
      <c r="B5" s="170"/>
      <c r="C5" s="338"/>
      <c r="D5" s="338"/>
      <c r="E5" s="417"/>
      <c r="F5" s="169"/>
      <c r="G5" s="169"/>
      <c r="H5" s="169"/>
      <c r="I5" s="446"/>
      <c r="J5" s="169"/>
      <c r="K5" s="169"/>
      <c r="L5" s="309"/>
    </row>
    <row r="6" spans="1:13" ht="12.75" customHeight="1">
      <c r="A6" s="170"/>
      <c r="B6" s="170"/>
      <c r="C6" s="338"/>
      <c r="D6" s="338"/>
      <c r="E6" s="417"/>
      <c r="F6" s="393"/>
      <c r="G6" s="393"/>
      <c r="H6" s="393"/>
      <c r="I6" s="447"/>
      <c r="J6" s="393"/>
      <c r="K6" s="393"/>
      <c r="L6" s="418"/>
    </row>
    <row r="7" spans="1:13" ht="12.75" customHeight="1">
      <c r="A7" s="171" t="s">
        <v>93</v>
      </c>
      <c r="B7" s="171"/>
      <c r="C7" s="339"/>
      <c r="D7" s="339"/>
      <c r="E7" s="429">
        <f>+'Previsão Receitas'!B8</f>
        <v>10701563.939999999</v>
      </c>
      <c r="F7" s="429">
        <f>+'Previsão Receitas'!C8</f>
        <v>10560493</v>
      </c>
      <c r="G7" s="429">
        <f>+'Previsão Receitas'!D8</f>
        <v>12144567</v>
      </c>
      <c r="H7" s="429">
        <f>+'Previsão Receitas'!E8</f>
        <v>14087698</v>
      </c>
      <c r="I7" s="448">
        <f>+'Previsão Receitas'!F8</f>
        <v>15073836</v>
      </c>
      <c r="J7" s="429">
        <f>+'Previsão Receitas'!G8</f>
        <v>15375312.720000001</v>
      </c>
      <c r="K7" s="317"/>
      <c r="L7" s="419"/>
    </row>
    <row r="8" spans="1:13" ht="12.75" customHeight="1">
      <c r="A8" s="171" t="s">
        <v>94</v>
      </c>
      <c r="B8" s="171"/>
      <c r="C8" s="339"/>
      <c r="D8" s="339"/>
      <c r="E8" s="430"/>
      <c r="F8" s="430"/>
      <c r="G8" s="430">
        <f>+'MAPA INVESTIMENTOS'!B19</f>
        <v>43778.625</v>
      </c>
      <c r="H8" s="430">
        <f>+'MAPA INVESTIMENTOS'!C19</f>
        <v>43778.625</v>
      </c>
      <c r="I8" s="449"/>
      <c r="J8" s="430"/>
      <c r="K8" s="317"/>
      <c r="L8" s="419"/>
    </row>
    <row r="9" spans="1:13" ht="12.75" customHeight="1">
      <c r="A9" s="171" t="s">
        <v>92</v>
      </c>
      <c r="B9" s="171"/>
      <c r="C9" s="340"/>
      <c r="D9" s="340"/>
      <c r="E9" s="431"/>
      <c r="F9" s="431"/>
      <c r="G9" s="431"/>
      <c r="H9" s="431"/>
      <c r="I9" s="450"/>
      <c r="J9" s="431"/>
      <c r="K9" s="169"/>
      <c r="L9" s="309"/>
    </row>
    <row r="10" spans="1:13" ht="12.75" customHeight="1">
      <c r="A10" s="171" t="s">
        <v>95</v>
      </c>
      <c r="B10" s="171"/>
      <c r="C10" s="340"/>
      <c r="D10" s="341"/>
      <c r="E10" s="429">
        <v>3604.78</v>
      </c>
      <c r="F10" s="172"/>
      <c r="G10" s="172"/>
      <c r="H10" s="172"/>
      <c r="I10" s="451"/>
      <c r="J10" s="172"/>
      <c r="K10" s="172"/>
      <c r="L10" s="310"/>
    </row>
    <row r="11" spans="1:13" ht="12.75" customHeight="1">
      <c r="A11" s="171" t="s">
        <v>96</v>
      </c>
      <c r="B11" s="171"/>
      <c r="C11" s="341"/>
      <c r="D11" s="341"/>
      <c r="E11" s="203">
        <f>-'Capital Circulante'!B18</f>
        <v>-6845332.9500000002</v>
      </c>
      <c r="F11" s="203">
        <f>-'Capital Circulante'!C18</f>
        <v>-6755095.9006038848</v>
      </c>
      <c r="G11" s="203">
        <f>-'Capital Circulante'!D18</f>
        <v>-7768360.3176773293</v>
      </c>
      <c r="H11" s="203">
        <f>-'Capital Circulante'!E18</f>
        <v>-9011298.147609733</v>
      </c>
      <c r="I11" s="452">
        <f>-'Capital Circulante'!F18</f>
        <v>-9491350.1078371797</v>
      </c>
      <c r="J11" s="203">
        <f>-'Capital Circulante'!G18</f>
        <v>-9834930.2371939234</v>
      </c>
      <c r="K11" s="203"/>
      <c r="L11" s="311"/>
    </row>
    <row r="12" spans="1:13" ht="12.75" customHeight="1">
      <c r="A12" s="171" t="s">
        <v>97</v>
      </c>
      <c r="B12" s="171"/>
      <c r="C12" s="341"/>
      <c r="D12" s="341"/>
      <c r="E12" s="203">
        <f>-'Fornecimento  Serviços Externos'!C18</f>
        <v>-1690908.69</v>
      </c>
      <c r="F12" s="203">
        <f>-'Fornecimento  Serviços Externos'!D18</f>
        <v>-1695000</v>
      </c>
      <c r="G12" s="203">
        <f>-'Fornecimento  Serviços Externos'!E18</f>
        <v>-1847955</v>
      </c>
      <c r="H12" s="203">
        <f>-'Fornecimento  Serviços Externos'!F18</f>
        <v>-2014964.6250000002</v>
      </c>
      <c r="I12" s="452">
        <f>-'Fornecimento  Serviços Externos'!G18</f>
        <v>-2108064.9300000006</v>
      </c>
      <c r="J12" s="203">
        <f>-'Fornecimento  Serviços Externos'!H18</f>
        <v>-2163353.0346000004</v>
      </c>
      <c r="K12" s="203"/>
      <c r="L12" s="311"/>
    </row>
    <row r="13" spans="1:13" ht="12.75" customHeight="1">
      <c r="A13" s="171" t="s">
        <v>98</v>
      </c>
      <c r="B13" s="171"/>
      <c r="C13" s="341"/>
      <c r="D13" s="341"/>
      <c r="E13" s="203">
        <f>-'63_G. Pess.'!C15</f>
        <v>-1511597.27376</v>
      </c>
      <c r="F13" s="203">
        <f>-'63_G. Pess.'!D15</f>
        <v>-1587177.137448</v>
      </c>
      <c r="G13" s="203">
        <f>-'63_G. Pess.'!E15</f>
        <v>-1690390.6511360002</v>
      </c>
      <c r="H13" s="203">
        <f>-'63_G. Pess.'!F15</f>
        <v>-1859429.7162496003</v>
      </c>
      <c r="I13" s="452">
        <f>-'63_G. Pess.'!G15</f>
        <v>-1998886.9449683202</v>
      </c>
      <c r="J13" s="203">
        <f>-'63_G. Pess.'!H15</f>
        <v>-2098831.2922167364</v>
      </c>
      <c r="K13" s="203"/>
      <c r="L13" s="311"/>
    </row>
    <row r="14" spans="1:13" ht="12.75" customHeight="1">
      <c r="A14" s="171" t="s">
        <v>217</v>
      </c>
      <c r="B14" s="171"/>
      <c r="C14" s="340"/>
      <c r="D14" s="340"/>
      <c r="E14" s="203">
        <v>-21484.75</v>
      </c>
      <c r="F14" s="169"/>
      <c r="G14" s="169"/>
      <c r="H14" s="169"/>
      <c r="I14" s="446"/>
      <c r="J14" s="169"/>
      <c r="K14" s="169"/>
      <c r="L14" s="309"/>
    </row>
    <row r="15" spans="1:13" ht="12.75" customHeight="1">
      <c r="A15" s="171" t="s">
        <v>218</v>
      </c>
      <c r="B15" s="171"/>
      <c r="C15" s="340"/>
      <c r="D15" s="340"/>
      <c r="E15" s="203"/>
      <c r="F15" s="169"/>
      <c r="G15" s="169"/>
      <c r="H15" s="169"/>
      <c r="I15" s="446"/>
      <c r="J15" s="169"/>
      <c r="K15" s="169"/>
      <c r="L15" s="309"/>
    </row>
    <row r="16" spans="1:13" ht="12.75" customHeight="1">
      <c r="A16" s="171" t="s">
        <v>99</v>
      </c>
      <c r="B16" s="171"/>
      <c r="C16" s="340"/>
      <c r="D16" s="342"/>
      <c r="E16" s="432">
        <v>263393.26</v>
      </c>
      <c r="F16" s="432">
        <v>228974.44</v>
      </c>
      <c r="G16" s="432">
        <f>F16*1.05</f>
        <v>240423.16200000001</v>
      </c>
      <c r="H16" s="432">
        <f>G16*1.05</f>
        <v>252444.32010000001</v>
      </c>
      <c r="I16" s="464">
        <f>H16*1.05</f>
        <v>265066.53610500001</v>
      </c>
      <c r="J16" s="432">
        <f>I16*1.05</f>
        <v>278319.86291025003</v>
      </c>
      <c r="K16" s="169"/>
      <c r="L16" s="309"/>
      <c r="M16" s="406" t="s">
        <v>231</v>
      </c>
    </row>
    <row r="17" spans="1:13" ht="12.75" customHeight="1">
      <c r="A17" s="171" t="s">
        <v>100</v>
      </c>
      <c r="B17" s="171"/>
      <c r="C17" s="341"/>
      <c r="D17" s="341"/>
      <c r="E17" s="203">
        <v>-556934.01</v>
      </c>
      <c r="F17" s="203">
        <v>-494467.47</v>
      </c>
      <c r="G17" s="462">
        <f>F17/F7*G7</f>
        <v>-568637.59284111916</v>
      </c>
      <c r="H17" s="462">
        <f>G17/G7*H7</f>
        <v>-659619.62080596597</v>
      </c>
      <c r="I17" s="463">
        <f>H17/H7*I7</f>
        <v>-705792.95399513247</v>
      </c>
      <c r="J17" s="462">
        <f>I17/I7*J7</f>
        <v>-719908.81307503511</v>
      </c>
      <c r="K17" s="174"/>
      <c r="L17" s="312"/>
      <c r="M17" s="406" t="s">
        <v>230</v>
      </c>
    </row>
    <row r="18" spans="1:13" ht="12.75" customHeight="1">
      <c r="A18" s="175"/>
      <c r="B18" s="175"/>
      <c r="C18" s="343"/>
      <c r="D18" s="343"/>
      <c r="E18" s="203"/>
      <c r="F18" s="169"/>
      <c r="G18" s="169"/>
      <c r="H18" s="169"/>
      <c r="I18" s="446"/>
      <c r="J18" s="169"/>
      <c r="K18" s="169"/>
      <c r="L18" s="309"/>
    </row>
    <row r="19" spans="1:13" ht="23.25" customHeight="1">
      <c r="A19" s="176" t="s">
        <v>141</v>
      </c>
      <c r="B19" s="176"/>
      <c r="C19" s="344">
        <f t="shared" ref="C19" si="0">SUM(C7:C18)</f>
        <v>0</v>
      </c>
      <c r="D19" s="344"/>
      <c r="E19" s="177">
        <f t="shared" ref="E19" si="1">SUM(E7:E18)</f>
        <v>342304.30623999867</v>
      </c>
      <c r="F19" s="177">
        <f t="shared" ref="F19:J19" si="2">SUM(F7:F18)</f>
        <v>257726.93194811512</v>
      </c>
      <c r="G19" s="177">
        <f t="shared" si="2"/>
        <v>553425.22534555139</v>
      </c>
      <c r="H19" s="177">
        <f t="shared" si="2"/>
        <v>838608.8354347006</v>
      </c>
      <c r="I19" s="453">
        <f t="shared" si="2"/>
        <v>1034807.599304367</v>
      </c>
      <c r="J19" s="177">
        <f t="shared" si="2"/>
        <v>836609.20582455536</v>
      </c>
      <c r="K19" s="177">
        <f t="shared" ref="K19" si="3">SUM(K7:K18)</f>
        <v>0</v>
      </c>
      <c r="L19" s="313">
        <f>SUM(L7:L18)</f>
        <v>0</v>
      </c>
    </row>
    <row r="20" spans="1:13" ht="12.75" customHeight="1">
      <c r="A20" s="175"/>
      <c r="B20" s="175"/>
      <c r="C20" s="343"/>
      <c r="D20" s="343"/>
      <c r="E20" s="169"/>
      <c r="F20" s="169"/>
      <c r="G20" s="169"/>
      <c r="H20" s="169"/>
      <c r="I20" s="446"/>
      <c r="J20" s="169"/>
      <c r="K20" s="169"/>
      <c r="L20" s="309"/>
    </row>
    <row r="21" spans="1:13" ht="12.75" customHeight="1">
      <c r="A21" s="175" t="s">
        <v>101</v>
      </c>
      <c r="B21" s="175"/>
      <c r="C21" s="343"/>
      <c r="D21" s="341"/>
      <c r="E21" s="203">
        <v>-108066.68</v>
      </c>
      <c r="F21" s="203">
        <f>-Amortizações!N20</f>
        <v>-108066.88365286399</v>
      </c>
      <c r="G21" s="203">
        <f>-Amortizações!O20</f>
        <v>-110438.25031921398</v>
      </c>
      <c r="H21" s="203">
        <f>-Amortizações!P20</f>
        <v>-113604.91698556399</v>
      </c>
      <c r="I21" s="452">
        <f>-Amortizações!Q20</f>
        <v>-113604.91698556399</v>
      </c>
      <c r="J21" s="203">
        <f>-Amortizações!R20</f>
        <v>-13023.453332700001</v>
      </c>
      <c r="K21" s="203"/>
      <c r="L21" s="311"/>
    </row>
    <row r="22" spans="1:13" ht="12.75" customHeight="1">
      <c r="A22" s="175" t="s">
        <v>142</v>
      </c>
      <c r="B22" s="175"/>
      <c r="C22" s="343"/>
      <c r="D22" s="343"/>
      <c r="E22" s="169"/>
      <c r="F22" s="169"/>
      <c r="G22" s="169"/>
      <c r="H22" s="169"/>
      <c r="I22" s="446"/>
      <c r="J22" s="169"/>
      <c r="K22" s="169"/>
      <c r="L22" s="309"/>
    </row>
    <row r="23" spans="1:13" ht="12.75" customHeight="1">
      <c r="A23" s="175"/>
      <c r="B23" s="175"/>
      <c r="C23" s="343"/>
      <c r="D23" s="343"/>
      <c r="E23" s="169"/>
      <c r="F23" s="169"/>
      <c r="G23" s="169"/>
      <c r="H23" s="169"/>
      <c r="I23" s="446"/>
      <c r="J23" s="169"/>
      <c r="K23" s="169"/>
      <c r="L23" s="309"/>
    </row>
    <row r="24" spans="1:13" ht="12.75" customHeight="1">
      <c r="A24" s="178" t="s">
        <v>89</v>
      </c>
      <c r="B24" s="178"/>
      <c r="C24" s="345">
        <f t="shared" ref="C24" si="4">+C19+C21+C22</f>
        <v>0</v>
      </c>
      <c r="D24" s="345"/>
      <c r="E24" s="179">
        <f t="shared" ref="E24:F24" si="5">+E19+E21+E22</f>
        <v>234237.62623999867</v>
      </c>
      <c r="F24" s="179">
        <f t="shared" si="5"/>
        <v>149660.04829525112</v>
      </c>
      <c r="G24" s="179">
        <f t="shared" ref="G24:J24" si="6">+G19+G21+G22</f>
        <v>442986.97502633743</v>
      </c>
      <c r="H24" s="179">
        <f t="shared" si="6"/>
        <v>725003.91844913666</v>
      </c>
      <c r="I24" s="454">
        <f t="shared" si="6"/>
        <v>921202.68231880292</v>
      </c>
      <c r="J24" s="179">
        <f t="shared" si="6"/>
        <v>823585.75249185541</v>
      </c>
      <c r="K24" s="179"/>
      <c r="L24" s="314"/>
    </row>
    <row r="25" spans="1:13" ht="12.75" customHeight="1">
      <c r="A25" s="175"/>
      <c r="B25" s="175"/>
      <c r="C25" s="343"/>
      <c r="D25" s="343"/>
      <c r="E25" s="169"/>
      <c r="F25" s="169"/>
      <c r="G25" s="169"/>
      <c r="H25" s="169"/>
      <c r="I25" s="446"/>
      <c r="J25" s="169"/>
      <c r="K25" s="169"/>
      <c r="L25" s="309"/>
    </row>
    <row r="26" spans="1:13" ht="12.75" customHeight="1">
      <c r="A26" s="175" t="s">
        <v>102</v>
      </c>
      <c r="B26" s="175"/>
      <c r="C26" s="343"/>
      <c r="D26" s="343"/>
      <c r="E26" s="169"/>
      <c r="F26" s="169"/>
      <c r="G26" s="169"/>
      <c r="H26" s="169"/>
      <c r="I26" s="446"/>
      <c r="J26" s="169"/>
      <c r="K26" s="169"/>
      <c r="L26" s="309"/>
    </row>
    <row r="27" spans="1:13" ht="12.75" customHeight="1">
      <c r="A27" s="175" t="s">
        <v>103</v>
      </c>
      <c r="B27" s="175"/>
      <c r="C27" s="343"/>
      <c r="D27" s="341"/>
      <c r="E27" s="203">
        <v>-126488.01</v>
      </c>
      <c r="F27" s="203">
        <f>-'Serviço da Divida Emp. Bancario'!C19-12000</f>
        <v>-138488.01</v>
      </c>
      <c r="G27" s="203">
        <f>-'Serviço da Divida Emp. Bancario'!D19-12000</f>
        <v>-138488.02156805998</v>
      </c>
      <c r="H27" s="203">
        <f>-'Serviço da Divida Emp. Bancario'!E19-12000</f>
        <v>-125839.219411254</v>
      </c>
      <c r="I27" s="452">
        <f>-'Serviço da Divida Emp. Bancario'!F19-12000</f>
        <v>-113190.417254448</v>
      </c>
      <c r="J27" s="203">
        <f>-'Serviço da Divida Emp. Bancario'!G19-12000</f>
        <v>-100541.61509764199</v>
      </c>
      <c r="K27" s="203"/>
      <c r="L27" s="311"/>
    </row>
    <row r="28" spans="1:13" ht="12.75" customHeight="1">
      <c r="A28" s="171"/>
      <c r="B28" s="171"/>
      <c r="C28" s="340"/>
      <c r="D28" s="340"/>
      <c r="E28" s="169"/>
      <c r="F28" s="169"/>
      <c r="G28" s="169"/>
      <c r="H28" s="169"/>
      <c r="I28" s="446"/>
      <c r="J28" s="169"/>
      <c r="K28" s="169"/>
      <c r="L28" s="309"/>
    </row>
    <row r="29" spans="1:13" ht="12.75" customHeight="1">
      <c r="A29" s="178" t="s">
        <v>90</v>
      </c>
      <c r="B29" s="178"/>
      <c r="C29" s="345">
        <f t="shared" ref="C29" si="7">SUM(C24:C27)</f>
        <v>0</v>
      </c>
      <c r="D29" s="345"/>
      <c r="E29" s="179">
        <f>SUM(E24:E27)</f>
        <v>107749.61623999868</v>
      </c>
      <c r="F29" s="179">
        <f>SUM(F24:F27)</f>
        <v>11172.038295251114</v>
      </c>
      <c r="G29" s="179">
        <f t="shared" ref="G29:J29" si="8">SUM(G24:G27)</f>
        <v>304498.95345827745</v>
      </c>
      <c r="H29" s="179">
        <f t="shared" si="8"/>
        <v>599164.69903788262</v>
      </c>
      <c r="I29" s="454">
        <f t="shared" si="8"/>
        <v>808012.26506435499</v>
      </c>
      <c r="J29" s="179">
        <f t="shared" si="8"/>
        <v>723044.13739421347</v>
      </c>
      <c r="K29" s="179"/>
      <c r="L29" s="314"/>
    </row>
    <row r="30" spans="1:13" ht="12.75" customHeight="1">
      <c r="A30" s="168"/>
      <c r="B30" s="180">
        <v>0.17</v>
      </c>
      <c r="C30" s="346"/>
      <c r="D30" s="346"/>
      <c r="E30" s="203">
        <v>-21617.37</v>
      </c>
      <c r="F30" s="203">
        <f>-25000*$B$30</f>
        <v>-4250</v>
      </c>
      <c r="G30" s="203">
        <f>-25000*$B$30</f>
        <v>-4250</v>
      </c>
      <c r="H30" s="203">
        <f>-25000*$B$30</f>
        <v>-4250</v>
      </c>
      <c r="I30" s="452">
        <f>-25000*$B$30</f>
        <v>-4250</v>
      </c>
      <c r="J30" s="203">
        <f>-25000*$B$30</f>
        <v>-4250</v>
      </c>
      <c r="K30" s="203"/>
      <c r="L30" s="311"/>
    </row>
    <row r="31" spans="1:13" ht="12.75" customHeight="1">
      <c r="A31" s="175" t="s">
        <v>104</v>
      </c>
      <c r="B31" s="180">
        <v>0.21</v>
      </c>
      <c r="C31" s="341"/>
      <c r="D31" s="341"/>
      <c r="E31" s="203"/>
      <c r="F31" s="203">
        <f>-(F29-25000)*$B$31</f>
        <v>2903.8719579972662</v>
      </c>
      <c r="G31" s="203">
        <f>-(G29-25000)*$B$31</f>
        <v>-58694.780226238261</v>
      </c>
      <c r="H31" s="203">
        <f>-(H29-25000)*$B$31</f>
        <v>-120574.58679795534</v>
      </c>
      <c r="I31" s="452">
        <f>-(I29-25000)*$B$31</f>
        <v>-164432.57566351455</v>
      </c>
      <c r="J31" s="203">
        <f>-(J29-25000)*$B$31</f>
        <v>-146589.26885278482</v>
      </c>
      <c r="K31" s="203"/>
      <c r="L31" s="311"/>
      <c r="M31" s="89">
        <f>4250+119189.88</f>
        <v>123439.88</v>
      </c>
    </row>
    <row r="32" spans="1:13" ht="12.75" customHeight="1">
      <c r="A32" s="178" t="s">
        <v>91</v>
      </c>
      <c r="B32" s="181"/>
      <c r="C32" s="341">
        <f t="shared" ref="C32" si="9">SUM(C29:C31)</f>
        <v>0</v>
      </c>
      <c r="D32" s="341"/>
      <c r="E32" s="173">
        <f t="shared" ref="E32:F32" si="10">SUM(E29:E31)</f>
        <v>86132.246239998683</v>
      </c>
      <c r="F32" s="173">
        <f t="shared" si="10"/>
        <v>9825.9102532483794</v>
      </c>
      <c r="G32" s="173">
        <f t="shared" ref="G32:J32" si="11">SUM(G29:G31)</f>
        <v>241554.1732320392</v>
      </c>
      <c r="H32" s="173">
        <f t="shared" si="11"/>
        <v>474340.11223992729</v>
      </c>
      <c r="I32" s="455">
        <f t="shared" si="11"/>
        <v>639329.68940084043</v>
      </c>
      <c r="J32" s="173">
        <f t="shared" si="11"/>
        <v>572204.86854142859</v>
      </c>
      <c r="K32" s="173"/>
      <c r="L32" s="315"/>
    </row>
    <row r="33" spans="1:12" ht="12.75" customHeight="1" thickBot="1">
      <c r="A33" s="99"/>
      <c r="B33" s="99"/>
      <c r="C33" s="347"/>
      <c r="D33" s="347"/>
      <c r="E33" s="348"/>
      <c r="F33" s="91"/>
      <c r="G33" s="91"/>
      <c r="H33" s="91"/>
      <c r="I33" s="456"/>
      <c r="J33" s="91"/>
      <c r="K33" s="91"/>
      <c r="L33" s="316"/>
    </row>
    <row r="35" spans="1:12" ht="12.75" customHeight="1">
      <c r="A35" s="100"/>
      <c r="F35" s="102"/>
      <c r="G35" s="102"/>
      <c r="H35" s="102"/>
      <c r="I35" s="102"/>
      <c r="J35" s="102"/>
    </row>
    <row r="36" spans="1:12" ht="20.100000000000001" customHeight="1">
      <c r="A36" s="115" t="s">
        <v>136</v>
      </c>
    </row>
    <row r="37" spans="1:12" ht="12.75" customHeight="1">
      <c r="F37" s="101"/>
      <c r="G37" s="102"/>
      <c r="H37" s="102"/>
      <c r="I37" s="102"/>
      <c r="J37" s="102"/>
    </row>
    <row r="39" spans="1:12" ht="12.75" customHeight="1">
      <c r="F39" s="101"/>
    </row>
    <row r="40" spans="1:12" ht="27.6" customHeight="1">
      <c r="A40" s="408" t="s">
        <v>192</v>
      </c>
      <c r="B40" s="407" t="s">
        <v>204</v>
      </c>
      <c r="C40" s="407" t="s">
        <v>205</v>
      </c>
      <c r="F40" s="101"/>
    </row>
    <row r="41" spans="1:12" ht="12.75" customHeight="1">
      <c r="A41" s="400" t="s">
        <v>195</v>
      </c>
      <c r="B41" s="401">
        <f>E7</f>
        <v>10701563.939999999</v>
      </c>
      <c r="C41" s="401">
        <f>I7</f>
        <v>15073836</v>
      </c>
    </row>
    <row r="42" spans="1:12" ht="12.75" customHeight="1">
      <c r="A42" s="400" t="s">
        <v>95</v>
      </c>
      <c r="B42" s="401">
        <f>E10</f>
        <v>3604.78</v>
      </c>
      <c r="C42" s="401">
        <v>0</v>
      </c>
      <c r="I42" s="101">
        <f>I7</f>
        <v>15073836</v>
      </c>
      <c r="J42" s="89">
        <v>100</v>
      </c>
    </row>
    <row r="43" spans="1:12" ht="12.75" customHeight="1">
      <c r="A43" s="400" t="s">
        <v>196</v>
      </c>
      <c r="B43" s="401">
        <v>0</v>
      </c>
      <c r="C43" s="401">
        <v>0</v>
      </c>
      <c r="I43" s="406" t="s">
        <v>233</v>
      </c>
      <c r="J43" s="89">
        <v>20</v>
      </c>
    </row>
    <row r="44" spans="1:12" ht="12.75" customHeight="1">
      <c r="A44" s="400" t="s">
        <v>197</v>
      </c>
      <c r="B44" s="401">
        <f>E16</f>
        <v>263393.26</v>
      </c>
      <c r="C44" s="401">
        <f>I16</f>
        <v>265066.53610500001</v>
      </c>
    </row>
    <row r="45" spans="1:12" ht="12.75" customHeight="1">
      <c r="A45" s="400" t="s">
        <v>198</v>
      </c>
      <c r="B45" s="401">
        <f>E8</f>
        <v>0</v>
      </c>
      <c r="C45" s="401">
        <f>I8</f>
        <v>0</v>
      </c>
      <c r="I45" s="406" t="s">
        <v>233</v>
      </c>
      <c r="J45" s="89">
        <f>J43*I42/J42</f>
        <v>3014767.2</v>
      </c>
      <c r="L45" s="89">
        <v>3014767.2</v>
      </c>
    </row>
    <row r="46" spans="1:12" ht="12.75" customHeight="1">
      <c r="A46" s="402" t="s">
        <v>0</v>
      </c>
      <c r="B46" s="403">
        <f>SUM(B41:B45)</f>
        <v>10968561.979999999</v>
      </c>
      <c r="C46" s="403">
        <f>SUM(C41:C45)</f>
        <v>15338902.536104999</v>
      </c>
    </row>
    <row r="47" spans="1:12" ht="12.75" customHeight="1">
      <c r="A47" s="399" t="s">
        <v>199</v>
      </c>
      <c r="B47" s="399" t="s">
        <v>193</v>
      </c>
      <c r="C47" s="399" t="s">
        <v>194</v>
      </c>
      <c r="I47" s="101">
        <f>E7</f>
        <v>10701563.939999999</v>
      </c>
      <c r="J47" s="89">
        <v>100</v>
      </c>
    </row>
    <row r="48" spans="1:12" ht="12.75" customHeight="1">
      <c r="A48" s="400" t="s">
        <v>8</v>
      </c>
      <c r="B48" s="401">
        <f>-E11</f>
        <v>6845332.9500000002</v>
      </c>
      <c r="C48" s="401">
        <f>-I11</f>
        <v>9491350.1078371797</v>
      </c>
      <c r="I48" s="89">
        <v>1330927.1399999999</v>
      </c>
      <c r="J48" s="406" t="s">
        <v>233</v>
      </c>
    </row>
    <row r="49" spans="1:10" ht="12.75" customHeight="1">
      <c r="A49" s="400" t="s">
        <v>200</v>
      </c>
      <c r="B49" s="401">
        <f>-E12</f>
        <v>1690908.69</v>
      </c>
      <c r="C49" s="401">
        <f>-I12</f>
        <v>2108064.9300000006</v>
      </c>
      <c r="I49" s="406" t="s">
        <v>233</v>
      </c>
      <c r="J49" s="406">
        <f>I48*J47/I47</f>
        <v>12.436753613416245</v>
      </c>
    </row>
    <row r="50" spans="1:10" ht="12.75" customHeight="1">
      <c r="A50" s="400" t="s">
        <v>201</v>
      </c>
      <c r="B50" s="401">
        <v>0</v>
      </c>
      <c r="C50" s="401">
        <v>0</v>
      </c>
    </row>
    <row r="51" spans="1:10" ht="12.75" customHeight="1">
      <c r="A51" s="402" t="s">
        <v>0</v>
      </c>
      <c r="B51" s="403">
        <f>SUM(B48:B50)</f>
        <v>8536241.6400000006</v>
      </c>
      <c r="C51" s="403">
        <f>SUM(C48:C50)</f>
        <v>11599415.037837181</v>
      </c>
    </row>
    <row r="52" spans="1:10" ht="12.75" customHeight="1">
      <c r="A52" s="404" t="s">
        <v>202</v>
      </c>
      <c r="B52" s="405">
        <f>B46-B51</f>
        <v>2432320.339999998</v>
      </c>
      <c r="C52" s="405">
        <f>C46-C51</f>
        <v>3739487.4982678182</v>
      </c>
    </row>
    <row r="55" spans="1:10" ht="12.75" customHeight="1">
      <c r="B55" s="409">
        <f>B52</f>
        <v>2432320.339999998</v>
      </c>
      <c r="C55" s="410">
        <v>100</v>
      </c>
    </row>
    <row r="56" spans="1:10" ht="12.75" customHeight="1">
      <c r="B56" s="411">
        <f>C52</f>
        <v>3739487.4982678182</v>
      </c>
      <c r="C56" s="412" t="s">
        <v>203</v>
      </c>
    </row>
    <row r="57" spans="1:10" ht="12.75" customHeight="1">
      <c r="B57" s="413"/>
      <c r="C57" s="414"/>
    </row>
    <row r="58" spans="1:10" ht="12.75" customHeight="1">
      <c r="B58" s="415" t="s">
        <v>203</v>
      </c>
      <c r="C58" s="412">
        <f>B56*C55/B55</f>
        <v>153.74157082729576</v>
      </c>
    </row>
    <row r="59" spans="1:10" ht="12.75" customHeight="1">
      <c r="B59" s="413"/>
      <c r="C59" s="414"/>
    </row>
    <row r="60" spans="1:10" ht="12.75" customHeight="1">
      <c r="B60" s="511" t="s">
        <v>207</v>
      </c>
      <c r="C60" s="512"/>
    </row>
    <row r="63" spans="1:10" ht="12.75" customHeight="1">
      <c r="A63" s="406" t="s">
        <v>206</v>
      </c>
      <c r="B63" s="434">
        <f>(C52-B52)/B52</f>
        <v>0.5374157082729577</v>
      </c>
    </row>
  </sheetData>
  <mergeCells count="1">
    <mergeCell ref="B60:C60"/>
  </mergeCells>
  <hyperlinks>
    <hyperlink ref="A36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1"/>
  <sheetViews>
    <sheetView showGridLines="0" topLeftCell="A28" zoomScaleNormal="100" zoomScaleSheetLayoutView="100" workbookViewId="0">
      <selection activeCell="H46" sqref="H46"/>
    </sheetView>
  </sheetViews>
  <sheetFormatPr defaultRowHeight="12.75" customHeight="1"/>
  <cols>
    <col min="1" max="1" width="46" style="106" bestFit="1" customWidth="1"/>
    <col min="2" max="3" width="11.88671875" style="364" bestFit="1" customWidth="1"/>
    <col min="4" max="4" width="12.88671875" style="364" bestFit="1" customWidth="1"/>
    <col min="5" max="5" width="14.44140625" style="306" customWidth="1"/>
    <col min="6" max="6" width="12.5546875" style="306" customWidth="1"/>
    <col min="7" max="7" width="12.88671875" style="306" customWidth="1"/>
    <col min="8" max="8" width="12.88671875" style="306" bestFit="1" customWidth="1"/>
    <col min="9" max="9" width="14.21875" style="306" bestFit="1" customWidth="1"/>
    <col min="10" max="11" width="15" style="306" bestFit="1" customWidth="1"/>
    <col min="12" max="243" width="9.109375" style="90"/>
    <col min="244" max="244" width="12.44140625" style="90" customWidth="1"/>
    <col min="245" max="245" width="50.6640625" style="90" customWidth="1"/>
    <col min="246" max="246" width="7.6640625" style="90" customWidth="1"/>
    <col min="247" max="248" width="12.6640625" style="90" customWidth="1"/>
    <col min="249" max="249" width="3.88671875" style="90" customWidth="1"/>
    <col min="250" max="499" width="9.109375" style="90"/>
    <col min="500" max="500" width="12.44140625" style="90" customWidth="1"/>
    <col min="501" max="501" width="50.6640625" style="90" customWidth="1"/>
    <col min="502" max="502" width="7.6640625" style="90" customWidth="1"/>
    <col min="503" max="504" width="12.6640625" style="90" customWidth="1"/>
    <col min="505" max="505" width="3.88671875" style="90" customWidth="1"/>
    <col min="506" max="755" width="9.109375" style="90"/>
    <col min="756" max="756" width="12.44140625" style="90" customWidth="1"/>
    <col min="757" max="757" width="50.6640625" style="90" customWidth="1"/>
    <col min="758" max="758" width="7.6640625" style="90" customWidth="1"/>
    <col min="759" max="760" width="12.6640625" style="90" customWidth="1"/>
    <col min="761" max="761" width="3.88671875" style="90" customWidth="1"/>
    <col min="762" max="1011" width="9.109375" style="90"/>
    <col min="1012" max="1012" width="12.44140625" style="90" customWidth="1"/>
    <col min="1013" max="1013" width="50.6640625" style="90" customWidth="1"/>
    <col min="1014" max="1014" width="7.6640625" style="90" customWidth="1"/>
    <col min="1015" max="1016" width="12.6640625" style="90" customWidth="1"/>
    <col min="1017" max="1017" width="3.88671875" style="90" customWidth="1"/>
    <col min="1018" max="1267" width="9.109375" style="90"/>
    <col min="1268" max="1268" width="12.44140625" style="90" customWidth="1"/>
    <col min="1269" max="1269" width="50.6640625" style="90" customWidth="1"/>
    <col min="1270" max="1270" width="7.6640625" style="90" customWidth="1"/>
    <col min="1271" max="1272" width="12.6640625" style="90" customWidth="1"/>
    <col min="1273" max="1273" width="3.88671875" style="90" customWidth="1"/>
    <col min="1274" max="1523" width="9.109375" style="90"/>
    <col min="1524" max="1524" width="12.44140625" style="90" customWidth="1"/>
    <col min="1525" max="1525" width="50.6640625" style="90" customWidth="1"/>
    <col min="1526" max="1526" width="7.6640625" style="90" customWidth="1"/>
    <col min="1527" max="1528" width="12.6640625" style="90" customWidth="1"/>
    <col min="1529" max="1529" width="3.88671875" style="90" customWidth="1"/>
    <col min="1530" max="1779" width="9.109375" style="90"/>
    <col min="1780" max="1780" width="12.44140625" style="90" customWidth="1"/>
    <col min="1781" max="1781" width="50.6640625" style="90" customWidth="1"/>
    <col min="1782" max="1782" width="7.6640625" style="90" customWidth="1"/>
    <col min="1783" max="1784" width="12.6640625" style="90" customWidth="1"/>
    <col min="1785" max="1785" width="3.88671875" style="90" customWidth="1"/>
    <col min="1786" max="2035" width="9.109375" style="90"/>
    <col min="2036" max="2036" width="12.44140625" style="90" customWidth="1"/>
    <col min="2037" max="2037" width="50.6640625" style="90" customWidth="1"/>
    <col min="2038" max="2038" width="7.6640625" style="90" customWidth="1"/>
    <col min="2039" max="2040" width="12.6640625" style="90" customWidth="1"/>
    <col min="2041" max="2041" width="3.88671875" style="90" customWidth="1"/>
    <col min="2042" max="2291" width="9.109375" style="90"/>
    <col min="2292" max="2292" width="12.44140625" style="90" customWidth="1"/>
    <col min="2293" max="2293" width="50.6640625" style="90" customWidth="1"/>
    <col min="2294" max="2294" width="7.6640625" style="90" customWidth="1"/>
    <col min="2295" max="2296" width="12.6640625" style="90" customWidth="1"/>
    <col min="2297" max="2297" width="3.88671875" style="90" customWidth="1"/>
    <col min="2298" max="2547" width="9.109375" style="90"/>
    <col min="2548" max="2548" width="12.44140625" style="90" customWidth="1"/>
    <col min="2549" max="2549" width="50.6640625" style="90" customWidth="1"/>
    <col min="2550" max="2550" width="7.6640625" style="90" customWidth="1"/>
    <col min="2551" max="2552" width="12.6640625" style="90" customWidth="1"/>
    <col min="2553" max="2553" width="3.88671875" style="90" customWidth="1"/>
    <col min="2554" max="2803" width="9.109375" style="90"/>
    <col min="2804" max="2804" width="12.44140625" style="90" customWidth="1"/>
    <col min="2805" max="2805" width="50.6640625" style="90" customWidth="1"/>
    <col min="2806" max="2806" width="7.6640625" style="90" customWidth="1"/>
    <col min="2807" max="2808" width="12.6640625" style="90" customWidth="1"/>
    <col min="2809" max="2809" width="3.88671875" style="90" customWidth="1"/>
    <col min="2810" max="3059" width="9.109375" style="90"/>
    <col min="3060" max="3060" width="12.44140625" style="90" customWidth="1"/>
    <col min="3061" max="3061" width="50.6640625" style="90" customWidth="1"/>
    <col min="3062" max="3062" width="7.6640625" style="90" customWidth="1"/>
    <col min="3063" max="3064" width="12.6640625" style="90" customWidth="1"/>
    <col min="3065" max="3065" width="3.88671875" style="90" customWidth="1"/>
    <col min="3066" max="3315" width="9.109375" style="90"/>
    <col min="3316" max="3316" width="12.44140625" style="90" customWidth="1"/>
    <col min="3317" max="3317" width="50.6640625" style="90" customWidth="1"/>
    <col min="3318" max="3318" width="7.6640625" style="90" customWidth="1"/>
    <col min="3319" max="3320" width="12.6640625" style="90" customWidth="1"/>
    <col min="3321" max="3321" width="3.88671875" style="90" customWidth="1"/>
    <col min="3322" max="3571" width="9.109375" style="90"/>
    <col min="3572" max="3572" width="12.44140625" style="90" customWidth="1"/>
    <col min="3573" max="3573" width="50.6640625" style="90" customWidth="1"/>
    <col min="3574" max="3574" width="7.6640625" style="90" customWidth="1"/>
    <col min="3575" max="3576" width="12.6640625" style="90" customWidth="1"/>
    <col min="3577" max="3577" width="3.88671875" style="90" customWidth="1"/>
    <col min="3578" max="3827" width="9.109375" style="90"/>
    <col min="3828" max="3828" width="12.44140625" style="90" customWidth="1"/>
    <col min="3829" max="3829" width="50.6640625" style="90" customWidth="1"/>
    <col min="3830" max="3830" width="7.6640625" style="90" customWidth="1"/>
    <col min="3831" max="3832" width="12.6640625" style="90" customWidth="1"/>
    <col min="3833" max="3833" width="3.88671875" style="90" customWidth="1"/>
    <col min="3834" max="4083" width="9.109375" style="90"/>
    <col min="4084" max="4084" width="12.44140625" style="90" customWidth="1"/>
    <col min="4085" max="4085" width="50.6640625" style="90" customWidth="1"/>
    <col min="4086" max="4086" width="7.6640625" style="90" customWidth="1"/>
    <col min="4087" max="4088" width="12.6640625" style="90" customWidth="1"/>
    <col min="4089" max="4089" width="3.88671875" style="90" customWidth="1"/>
    <col min="4090" max="4339" width="9.109375" style="90"/>
    <col min="4340" max="4340" width="12.44140625" style="90" customWidth="1"/>
    <col min="4341" max="4341" width="50.6640625" style="90" customWidth="1"/>
    <col min="4342" max="4342" width="7.6640625" style="90" customWidth="1"/>
    <col min="4343" max="4344" width="12.6640625" style="90" customWidth="1"/>
    <col min="4345" max="4345" width="3.88671875" style="90" customWidth="1"/>
    <col min="4346" max="4595" width="9.109375" style="90"/>
    <col min="4596" max="4596" width="12.44140625" style="90" customWidth="1"/>
    <col min="4597" max="4597" width="50.6640625" style="90" customWidth="1"/>
    <col min="4598" max="4598" width="7.6640625" style="90" customWidth="1"/>
    <col min="4599" max="4600" width="12.6640625" style="90" customWidth="1"/>
    <col min="4601" max="4601" width="3.88671875" style="90" customWidth="1"/>
    <col min="4602" max="4851" width="9.109375" style="90"/>
    <col min="4852" max="4852" width="12.44140625" style="90" customWidth="1"/>
    <col min="4853" max="4853" width="50.6640625" style="90" customWidth="1"/>
    <col min="4854" max="4854" width="7.6640625" style="90" customWidth="1"/>
    <col min="4855" max="4856" width="12.6640625" style="90" customWidth="1"/>
    <col min="4857" max="4857" width="3.88671875" style="90" customWidth="1"/>
    <col min="4858" max="5107" width="9.109375" style="90"/>
    <col min="5108" max="5108" width="12.44140625" style="90" customWidth="1"/>
    <col min="5109" max="5109" width="50.6640625" style="90" customWidth="1"/>
    <col min="5110" max="5110" width="7.6640625" style="90" customWidth="1"/>
    <col min="5111" max="5112" width="12.6640625" style="90" customWidth="1"/>
    <col min="5113" max="5113" width="3.88671875" style="90" customWidth="1"/>
    <col min="5114" max="5363" width="9.109375" style="90"/>
    <col min="5364" max="5364" width="12.44140625" style="90" customWidth="1"/>
    <col min="5365" max="5365" width="50.6640625" style="90" customWidth="1"/>
    <col min="5366" max="5366" width="7.6640625" style="90" customWidth="1"/>
    <col min="5367" max="5368" width="12.6640625" style="90" customWidth="1"/>
    <col min="5369" max="5369" width="3.88671875" style="90" customWidth="1"/>
    <col min="5370" max="5619" width="9.109375" style="90"/>
    <col min="5620" max="5620" width="12.44140625" style="90" customWidth="1"/>
    <col min="5621" max="5621" width="50.6640625" style="90" customWidth="1"/>
    <col min="5622" max="5622" width="7.6640625" style="90" customWidth="1"/>
    <col min="5623" max="5624" width="12.6640625" style="90" customWidth="1"/>
    <col min="5625" max="5625" width="3.88671875" style="90" customWidth="1"/>
    <col min="5626" max="5875" width="9.109375" style="90"/>
    <col min="5876" max="5876" width="12.44140625" style="90" customWidth="1"/>
    <col min="5877" max="5877" width="50.6640625" style="90" customWidth="1"/>
    <col min="5878" max="5878" width="7.6640625" style="90" customWidth="1"/>
    <col min="5879" max="5880" width="12.6640625" style="90" customWidth="1"/>
    <col min="5881" max="5881" width="3.88671875" style="90" customWidth="1"/>
    <col min="5882" max="6131" width="9.109375" style="90"/>
    <col min="6132" max="6132" width="12.44140625" style="90" customWidth="1"/>
    <col min="6133" max="6133" width="50.6640625" style="90" customWidth="1"/>
    <col min="6134" max="6134" width="7.6640625" style="90" customWidth="1"/>
    <col min="6135" max="6136" width="12.6640625" style="90" customWidth="1"/>
    <col min="6137" max="6137" width="3.88671875" style="90" customWidth="1"/>
    <col min="6138" max="6387" width="9.109375" style="90"/>
    <col min="6388" max="6388" width="12.44140625" style="90" customWidth="1"/>
    <col min="6389" max="6389" width="50.6640625" style="90" customWidth="1"/>
    <col min="6390" max="6390" width="7.6640625" style="90" customWidth="1"/>
    <col min="6391" max="6392" width="12.6640625" style="90" customWidth="1"/>
    <col min="6393" max="6393" width="3.88671875" style="90" customWidth="1"/>
    <col min="6394" max="6643" width="9.109375" style="90"/>
    <col min="6644" max="6644" width="12.44140625" style="90" customWidth="1"/>
    <col min="6645" max="6645" width="50.6640625" style="90" customWidth="1"/>
    <col min="6646" max="6646" width="7.6640625" style="90" customWidth="1"/>
    <col min="6647" max="6648" width="12.6640625" style="90" customWidth="1"/>
    <col min="6649" max="6649" width="3.88671875" style="90" customWidth="1"/>
    <col min="6650" max="6899" width="9.109375" style="90"/>
    <col min="6900" max="6900" width="12.44140625" style="90" customWidth="1"/>
    <col min="6901" max="6901" width="50.6640625" style="90" customWidth="1"/>
    <col min="6902" max="6902" width="7.6640625" style="90" customWidth="1"/>
    <col min="6903" max="6904" width="12.6640625" style="90" customWidth="1"/>
    <col min="6905" max="6905" width="3.88671875" style="90" customWidth="1"/>
    <col min="6906" max="7155" width="9.109375" style="90"/>
    <col min="7156" max="7156" width="12.44140625" style="90" customWidth="1"/>
    <col min="7157" max="7157" width="50.6640625" style="90" customWidth="1"/>
    <col min="7158" max="7158" width="7.6640625" style="90" customWidth="1"/>
    <col min="7159" max="7160" width="12.6640625" style="90" customWidth="1"/>
    <col min="7161" max="7161" width="3.88671875" style="90" customWidth="1"/>
    <col min="7162" max="7411" width="9.109375" style="90"/>
    <col min="7412" max="7412" width="12.44140625" style="90" customWidth="1"/>
    <col min="7413" max="7413" width="50.6640625" style="90" customWidth="1"/>
    <col min="7414" max="7414" width="7.6640625" style="90" customWidth="1"/>
    <col min="7415" max="7416" width="12.6640625" style="90" customWidth="1"/>
    <col min="7417" max="7417" width="3.88671875" style="90" customWidth="1"/>
    <col min="7418" max="7667" width="9.109375" style="90"/>
    <col min="7668" max="7668" width="12.44140625" style="90" customWidth="1"/>
    <col min="7669" max="7669" width="50.6640625" style="90" customWidth="1"/>
    <col min="7670" max="7670" width="7.6640625" style="90" customWidth="1"/>
    <col min="7671" max="7672" width="12.6640625" style="90" customWidth="1"/>
    <col min="7673" max="7673" width="3.88671875" style="90" customWidth="1"/>
    <col min="7674" max="7923" width="9.109375" style="90"/>
    <col min="7924" max="7924" width="12.44140625" style="90" customWidth="1"/>
    <col min="7925" max="7925" width="50.6640625" style="90" customWidth="1"/>
    <col min="7926" max="7926" width="7.6640625" style="90" customWidth="1"/>
    <col min="7927" max="7928" width="12.6640625" style="90" customWidth="1"/>
    <col min="7929" max="7929" width="3.88671875" style="90" customWidth="1"/>
    <col min="7930" max="8179" width="9.109375" style="90"/>
    <col min="8180" max="8180" width="12.44140625" style="90" customWidth="1"/>
    <col min="8181" max="8181" width="50.6640625" style="90" customWidth="1"/>
    <col min="8182" max="8182" width="7.6640625" style="90" customWidth="1"/>
    <col min="8183" max="8184" width="12.6640625" style="90" customWidth="1"/>
    <col min="8185" max="8185" width="3.88671875" style="90" customWidth="1"/>
    <col min="8186" max="8435" width="9.109375" style="90"/>
    <col min="8436" max="8436" width="12.44140625" style="90" customWidth="1"/>
    <col min="8437" max="8437" width="50.6640625" style="90" customWidth="1"/>
    <col min="8438" max="8438" width="7.6640625" style="90" customWidth="1"/>
    <col min="8439" max="8440" width="12.6640625" style="90" customWidth="1"/>
    <col min="8441" max="8441" width="3.88671875" style="90" customWidth="1"/>
    <col min="8442" max="8691" width="9.109375" style="90"/>
    <col min="8692" max="8692" width="12.44140625" style="90" customWidth="1"/>
    <col min="8693" max="8693" width="50.6640625" style="90" customWidth="1"/>
    <col min="8694" max="8694" width="7.6640625" style="90" customWidth="1"/>
    <col min="8695" max="8696" width="12.6640625" style="90" customWidth="1"/>
    <col min="8697" max="8697" width="3.88671875" style="90" customWidth="1"/>
    <col min="8698" max="8947" width="9.109375" style="90"/>
    <col min="8948" max="8948" width="12.44140625" style="90" customWidth="1"/>
    <col min="8949" max="8949" width="50.6640625" style="90" customWidth="1"/>
    <col min="8950" max="8950" width="7.6640625" style="90" customWidth="1"/>
    <col min="8951" max="8952" width="12.6640625" style="90" customWidth="1"/>
    <col min="8953" max="8953" width="3.88671875" style="90" customWidth="1"/>
    <col min="8954" max="9203" width="9.109375" style="90"/>
    <col min="9204" max="9204" width="12.44140625" style="90" customWidth="1"/>
    <col min="9205" max="9205" width="50.6640625" style="90" customWidth="1"/>
    <col min="9206" max="9206" width="7.6640625" style="90" customWidth="1"/>
    <col min="9207" max="9208" width="12.6640625" style="90" customWidth="1"/>
    <col min="9209" max="9209" width="3.88671875" style="90" customWidth="1"/>
    <col min="9210" max="9459" width="9.109375" style="90"/>
    <col min="9460" max="9460" width="12.44140625" style="90" customWidth="1"/>
    <col min="9461" max="9461" width="50.6640625" style="90" customWidth="1"/>
    <col min="9462" max="9462" width="7.6640625" style="90" customWidth="1"/>
    <col min="9463" max="9464" width="12.6640625" style="90" customWidth="1"/>
    <col min="9465" max="9465" width="3.88671875" style="90" customWidth="1"/>
    <col min="9466" max="9715" width="9.109375" style="90"/>
    <col min="9716" max="9716" width="12.44140625" style="90" customWidth="1"/>
    <col min="9717" max="9717" width="50.6640625" style="90" customWidth="1"/>
    <col min="9718" max="9718" width="7.6640625" style="90" customWidth="1"/>
    <col min="9719" max="9720" width="12.6640625" style="90" customWidth="1"/>
    <col min="9721" max="9721" width="3.88671875" style="90" customWidth="1"/>
    <col min="9722" max="9971" width="9.109375" style="90"/>
    <col min="9972" max="9972" width="12.44140625" style="90" customWidth="1"/>
    <col min="9973" max="9973" width="50.6640625" style="90" customWidth="1"/>
    <col min="9974" max="9974" width="7.6640625" style="90" customWidth="1"/>
    <col min="9975" max="9976" width="12.6640625" style="90" customWidth="1"/>
    <col min="9977" max="9977" width="3.88671875" style="90" customWidth="1"/>
    <col min="9978" max="10227" width="9.109375" style="90"/>
    <col min="10228" max="10228" width="12.44140625" style="90" customWidth="1"/>
    <col min="10229" max="10229" width="50.6640625" style="90" customWidth="1"/>
    <col min="10230" max="10230" width="7.6640625" style="90" customWidth="1"/>
    <col min="10231" max="10232" width="12.6640625" style="90" customWidth="1"/>
    <col min="10233" max="10233" width="3.88671875" style="90" customWidth="1"/>
    <col min="10234" max="10483" width="9.109375" style="90"/>
    <col min="10484" max="10484" width="12.44140625" style="90" customWidth="1"/>
    <col min="10485" max="10485" width="50.6640625" style="90" customWidth="1"/>
    <col min="10486" max="10486" width="7.6640625" style="90" customWidth="1"/>
    <col min="10487" max="10488" width="12.6640625" style="90" customWidth="1"/>
    <col min="10489" max="10489" width="3.88671875" style="90" customWidth="1"/>
    <col min="10490" max="10739" width="9.109375" style="90"/>
    <col min="10740" max="10740" width="12.44140625" style="90" customWidth="1"/>
    <col min="10741" max="10741" width="50.6640625" style="90" customWidth="1"/>
    <col min="10742" max="10742" width="7.6640625" style="90" customWidth="1"/>
    <col min="10743" max="10744" width="12.6640625" style="90" customWidth="1"/>
    <col min="10745" max="10745" width="3.88671875" style="90" customWidth="1"/>
    <col min="10746" max="10995" width="9.109375" style="90"/>
    <col min="10996" max="10996" width="12.44140625" style="90" customWidth="1"/>
    <col min="10997" max="10997" width="50.6640625" style="90" customWidth="1"/>
    <col min="10998" max="10998" width="7.6640625" style="90" customWidth="1"/>
    <col min="10999" max="11000" width="12.6640625" style="90" customWidth="1"/>
    <col min="11001" max="11001" width="3.88671875" style="90" customWidth="1"/>
    <col min="11002" max="11251" width="9.109375" style="90"/>
    <col min="11252" max="11252" width="12.44140625" style="90" customWidth="1"/>
    <col min="11253" max="11253" width="50.6640625" style="90" customWidth="1"/>
    <col min="11254" max="11254" width="7.6640625" style="90" customWidth="1"/>
    <col min="11255" max="11256" width="12.6640625" style="90" customWidth="1"/>
    <col min="11257" max="11257" width="3.88671875" style="90" customWidth="1"/>
    <col min="11258" max="11507" width="9.109375" style="90"/>
    <col min="11508" max="11508" width="12.44140625" style="90" customWidth="1"/>
    <col min="11509" max="11509" width="50.6640625" style="90" customWidth="1"/>
    <col min="11510" max="11510" width="7.6640625" style="90" customWidth="1"/>
    <col min="11511" max="11512" width="12.6640625" style="90" customWidth="1"/>
    <col min="11513" max="11513" width="3.88671875" style="90" customWidth="1"/>
    <col min="11514" max="11763" width="9.109375" style="90"/>
    <col min="11764" max="11764" width="12.44140625" style="90" customWidth="1"/>
    <col min="11765" max="11765" width="50.6640625" style="90" customWidth="1"/>
    <col min="11766" max="11766" width="7.6640625" style="90" customWidth="1"/>
    <col min="11767" max="11768" width="12.6640625" style="90" customWidth="1"/>
    <col min="11769" max="11769" width="3.88671875" style="90" customWidth="1"/>
    <col min="11770" max="12019" width="9.109375" style="90"/>
    <col min="12020" max="12020" width="12.44140625" style="90" customWidth="1"/>
    <col min="12021" max="12021" width="50.6640625" style="90" customWidth="1"/>
    <col min="12022" max="12022" width="7.6640625" style="90" customWidth="1"/>
    <col min="12023" max="12024" width="12.6640625" style="90" customWidth="1"/>
    <col min="12025" max="12025" width="3.88671875" style="90" customWidth="1"/>
    <col min="12026" max="12275" width="9.109375" style="90"/>
    <col min="12276" max="12276" width="12.44140625" style="90" customWidth="1"/>
    <col min="12277" max="12277" width="50.6640625" style="90" customWidth="1"/>
    <col min="12278" max="12278" width="7.6640625" style="90" customWidth="1"/>
    <col min="12279" max="12280" width="12.6640625" style="90" customWidth="1"/>
    <col min="12281" max="12281" width="3.88671875" style="90" customWidth="1"/>
    <col min="12282" max="12531" width="9.109375" style="90"/>
    <col min="12532" max="12532" width="12.44140625" style="90" customWidth="1"/>
    <col min="12533" max="12533" width="50.6640625" style="90" customWidth="1"/>
    <col min="12534" max="12534" width="7.6640625" style="90" customWidth="1"/>
    <col min="12535" max="12536" width="12.6640625" style="90" customWidth="1"/>
    <col min="12537" max="12537" width="3.88671875" style="90" customWidth="1"/>
    <col min="12538" max="12787" width="9.109375" style="90"/>
    <col min="12788" max="12788" width="12.44140625" style="90" customWidth="1"/>
    <col min="12789" max="12789" width="50.6640625" style="90" customWidth="1"/>
    <col min="12790" max="12790" width="7.6640625" style="90" customWidth="1"/>
    <col min="12791" max="12792" width="12.6640625" style="90" customWidth="1"/>
    <col min="12793" max="12793" width="3.88671875" style="90" customWidth="1"/>
    <col min="12794" max="13043" width="9.109375" style="90"/>
    <col min="13044" max="13044" width="12.44140625" style="90" customWidth="1"/>
    <col min="13045" max="13045" width="50.6640625" style="90" customWidth="1"/>
    <col min="13046" max="13046" width="7.6640625" style="90" customWidth="1"/>
    <col min="13047" max="13048" width="12.6640625" style="90" customWidth="1"/>
    <col min="13049" max="13049" width="3.88671875" style="90" customWidth="1"/>
    <col min="13050" max="13299" width="9.109375" style="90"/>
    <col min="13300" max="13300" width="12.44140625" style="90" customWidth="1"/>
    <col min="13301" max="13301" width="50.6640625" style="90" customWidth="1"/>
    <col min="13302" max="13302" width="7.6640625" style="90" customWidth="1"/>
    <col min="13303" max="13304" width="12.6640625" style="90" customWidth="1"/>
    <col min="13305" max="13305" width="3.88671875" style="90" customWidth="1"/>
    <col min="13306" max="13555" width="9.109375" style="90"/>
    <col min="13556" max="13556" width="12.44140625" style="90" customWidth="1"/>
    <col min="13557" max="13557" width="50.6640625" style="90" customWidth="1"/>
    <col min="13558" max="13558" width="7.6640625" style="90" customWidth="1"/>
    <col min="13559" max="13560" width="12.6640625" style="90" customWidth="1"/>
    <col min="13561" max="13561" width="3.88671875" style="90" customWidth="1"/>
    <col min="13562" max="13811" width="9.109375" style="90"/>
    <col min="13812" max="13812" width="12.44140625" style="90" customWidth="1"/>
    <col min="13813" max="13813" width="50.6640625" style="90" customWidth="1"/>
    <col min="13814" max="13814" width="7.6640625" style="90" customWidth="1"/>
    <col min="13815" max="13816" width="12.6640625" style="90" customWidth="1"/>
    <col min="13817" max="13817" width="3.88671875" style="90" customWidth="1"/>
    <col min="13818" max="14067" width="9.109375" style="90"/>
    <col min="14068" max="14068" width="12.44140625" style="90" customWidth="1"/>
    <col min="14069" max="14069" width="50.6640625" style="90" customWidth="1"/>
    <col min="14070" max="14070" width="7.6640625" style="90" customWidth="1"/>
    <col min="14071" max="14072" width="12.6640625" style="90" customWidth="1"/>
    <col min="14073" max="14073" width="3.88671875" style="90" customWidth="1"/>
    <col min="14074" max="14323" width="9.109375" style="90"/>
    <col min="14324" max="14324" width="12.44140625" style="90" customWidth="1"/>
    <col min="14325" max="14325" width="50.6640625" style="90" customWidth="1"/>
    <col min="14326" max="14326" width="7.6640625" style="90" customWidth="1"/>
    <col min="14327" max="14328" width="12.6640625" style="90" customWidth="1"/>
    <col min="14329" max="14329" width="3.88671875" style="90" customWidth="1"/>
    <col min="14330" max="14579" width="9.109375" style="90"/>
    <col min="14580" max="14580" width="12.44140625" style="90" customWidth="1"/>
    <col min="14581" max="14581" width="50.6640625" style="90" customWidth="1"/>
    <col min="14582" max="14582" width="7.6640625" style="90" customWidth="1"/>
    <col min="14583" max="14584" width="12.6640625" style="90" customWidth="1"/>
    <col min="14585" max="14585" width="3.88671875" style="90" customWidth="1"/>
    <col min="14586" max="14835" width="9.109375" style="90"/>
    <col min="14836" max="14836" width="12.44140625" style="90" customWidth="1"/>
    <col min="14837" max="14837" width="50.6640625" style="90" customWidth="1"/>
    <col min="14838" max="14838" width="7.6640625" style="90" customWidth="1"/>
    <col min="14839" max="14840" width="12.6640625" style="90" customWidth="1"/>
    <col min="14841" max="14841" width="3.88671875" style="90" customWidth="1"/>
    <col min="14842" max="15091" width="9.109375" style="90"/>
    <col min="15092" max="15092" width="12.44140625" style="90" customWidth="1"/>
    <col min="15093" max="15093" width="50.6640625" style="90" customWidth="1"/>
    <col min="15094" max="15094" width="7.6640625" style="90" customWidth="1"/>
    <col min="15095" max="15096" width="12.6640625" style="90" customWidth="1"/>
    <col min="15097" max="15097" width="3.88671875" style="90" customWidth="1"/>
    <col min="15098" max="15347" width="9.109375" style="90"/>
    <col min="15348" max="15348" width="12.44140625" style="90" customWidth="1"/>
    <col min="15349" max="15349" width="50.6640625" style="90" customWidth="1"/>
    <col min="15350" max="15350" width="7.6640625" style="90" customWidth="1"/>
    <col min="15351" max="15352" width="12.6640625" style="90" customWidth="1"/>
    <col min="15353" max="15353" width="3.88671875" style="90" customWidth="1"/>
    <col min="15354" max="15603" width="9.109375" style="90"/>
    <col min="15604" max="15604" width="12.44140625" style="90" customWidth="1"/>
    <col min="15605" max="15605" width="50.6640625" style="90" customWidth="1"/>
    <col min="15606" max="15606" width="7.6640625" style="90" customWidth="1"/>
    <col min="15607" max="15608" width="12.6640625" style="90" customWidth="1"/>
    <col min="15609" max="15609" width="3.88671875" style="90" customWidth="1"/>
    <col min="15610" max="15859" width="9.109375" style="90"/>
    <col min="15860" max="15860" width="12.44140625" style="90" customWidth="1"/>
    <col min="15861" max="15861" width="50.6640625" style="90" customWidth="1"/>
    <col min="15862" max="15862" width="7.6640625" style="90" customWidth="1"/>
    <col min="15863" max="15864" width="12.6640625" style="90" customWidth="1"/>
    <col min="15865" max="15865" width="3.88671875" style="90" customWidth="1"/>
    <col min="15866" max="16115" width="9.109375" style="90"/>
    <col min="16116" max="16116" width="12.44140625" style="90" customWidth="1"/>
    <col min="16117" max="16117" width="50.6640625" style="90" customWidth="1"/>
    <col min="16118" max="16118" width="7.6640625" style="90" customWidth="1"/>
    <col min="16119" max="16120" width="12.6640625" style="90" customWidth="1"/>
    <col min="16121" max="16121" width="3.88671875" style="90" customWidth="1"/>
    <col min="16122" max="16384" width="9.109375" style="90"/>
  </cols>
  <sheetData>
    <row r="1" spans="1:12" ht="20.25" customHeight="1">
      <c r="A1" s="513" t="s">
        <v>87</v>
      </c>
      <c r="B1" s="515" t="s">
        <v>143</v>
      </c>
      <c r="C1" s="516"/>
      <c r="D1" s="516"/>
      <c r="E1" s="516"/>
      <c r="F1" s="516"/>
      <c r="G1" s="516"/>
      <c r="H1" s="516"/>
      <c r="I1" s="516"/>
      <c r="J1" s="516"/>
      <c r="K1" s="516"/>
    </row>
    <row r="2" spans="1:12" s="307" customFormat="1" ht="15" customHeight="1">
      <c r="A2" s="514"/>
      <c r="B2" s="350">
        <v>2022</v>
      </c>
      <c r="C2" s="350">
        <v>2023</v>
      </c>
      <c r="D2" s="350">
        <v>2024</v>
      </c>
      <c r="E2" s="196">
        <v>2025</v>
      </c>
      <c r="F2" s="196">
        <f t="shared" ref="F2:I2" si="0">+E2+1</f>
        <v>2026</v>
      </c>
      <c r="G2" s="196">
        <f t="shared" si="0"/>
        <v>2027</v>
      </c>
      <c r="H2" s="435">
        <f t="shared" si="0"/>
        <v>2028</v>
      </c>
      <c r="I2" s="196">
        <f t="shared" si="0"/>
        <v>2029</v>
      </c>
      <c r="J2" s="196">
        <f t="shared" ref="J2" si="1">+I2+1</f>
        <v>2030</v>
      </c>
      <c r="K2" s="196">
        <f t="shared" ref="K2" si="2">+J2+1</f>
        <v>2031</v>
      </c>
    </row>
    <row r="3" spans="1:12" ht="15" customHeight="1">
      <c r="A3" s="185" t="s">
        <v>3</v>
      </c>
      <c r="B3" s="351"/>
      <c r="C3" s="351"/>
      <c r="D3" s="351"/>
      <c r="E3" s="319"/>
      <c r="F3" s="319"/>
      <c r="G3" s="319"/>
      <c r="H3" s="436"/>
      <c r="I3" s="319"/>
      <c r="J3" s="319"/>
      <c r="K3" s="319"/>
    </row>
    <row r="4" spans="1:12" ht="15" customHeight="1">
      <c r="A4" s="185"/>
      <c r="B4" s="351"/>
      <c r="C4" s="351"/>
      <c r="D4" s="351"/>
      <c r="E4" s="320"/>
      <c r="F4" s="320"/>
      <c r="G4" s="320"/>
      <c r="H4" s="437"/>
      <c r="I4" s="320"/>
      <c r="J4" s="320"/>
      <c r="K4" s="320"/>
    </row>
    <row r="5" spans="1:12" ht="15" customHeight="1">
      <c r="A5" s="185" t="s">
        <v>105</v>
      </c>
      <c r="B5" s="351"/>
      <c r="C5" s="351"/>
      <c r="D5" s="351"/>
      <c r="E5" s="320"/>
      <c r="F5" s="320"/>
      <c r="G5" s="320"/>
      <c r="H5" s="437"/>
      <c r="I5" s="320"/>
      <c r="J5" s="320"/>
      <c r="K5" s="320"/>
    </row>
    <row r="6" spans="1:12" ht="15" customHeight="1">
      <c r="A6" s="186" t="s">
        <v>115</v>
      </c>
      <c r="B6" s="351"/>
      <c r="C6" s="352"/>
      <c r="D6" s="352">
        <v>432693.12</v>
      </c>
      <c r="E6" s="242">
        <f>Amortizações!E6</f>
        <v>326671.53634713602</v>
      </c>
      <c r="F6" s="242">
        <f>Amortizações!F6</f>
        <v>220649.95269427204</v>
      </c>
      <c r="G6" s="242">
        <f>Amortizações!G6*1.15</f>
        <v>131822.62439761925</v>
      </c>
      <c r="H6" s="438">
        <f>Amortizações!H6*1.3</f>
        <v>11188.821005107273</v>
      </c>
      <c r="I6" s="242"/>
      <c r="J6" s="242"/>
      <c r="K6" s="242"/>
      <c r="L6" s="90">
        <v>858742.87768480997</v>
      </c>
    </row>
    <row r="7" spans="1:12" ht="15" customHeight="1">
      <c r="A7" s="186" t="s">
        <v>219</v>
      </c>
      <c r="B7" s="351"/>
      <c r="C7" s="352"/>
      <c r="D7" s="352"/>
      <c r="E7" s="242">
        <f>D7</f>
        <v>0</v>
      </c>
      <c r="F7" s="242">
        <f t="shared" ref="F7:I7" si="3">E7</f>
        <v>0</v>
      </c>
      <c r="G7" s="242">
        <f t="shared" si="3"/>
        <v>0</v>
      </c>
      <c r="H7" s="438">
        <f t="shared" si="3"/>
        <v>0</v>
      </c>
      <c r="I7" s="242">
        <f t="shared" si="3"/>
        <v>0</v>
      </c>
      <c r="J7" s="242"/>
      <c r="K7" s="242"/>
      <c r="L7" s="90">
        <v>236590.85</v>
      </c>
    </row>
    <row r="8" spans="1:12" ht="15" customHeight="1">
      <c r="A8" s="186" t="s">
        <v>116</v>
      </c>
      <c r="B8" s="351"/>
      <c r="C8" s="352"/>
      <c r="D8" s="352">
        <v>2045.3</v>
      </c>
      <c r="E8" s="242">
        <f>+Amortizações!E14</f>
        <v>0</v>
      </c>
      <c r="F8" s="242">
        <f>+Amortizações!F14</f>
        <v>30750</v>
      </c>
      <c r="G8" s="242">
        <f>+Amortizações!G14</f>
        <v>52500.000001025001</v>
      </c>
      <c r="H8" s="438">
        <f>+Amortizações!H14</f>
        <v>32000.000003075005</v>
      </c>
      <c r="I8" s="242">
        <f>+Amortizações!I14</f>
        <v>11500.000005125006</v>
      </c>
      <c r="J8" s="242"/>
      <c r="K8" s="242"/>
      <c r="L8" s="90">
        <v>37605.000003760499</v>
      </c>
    </row>
    <row r="9" spans="1:12" ht="15" customHeight="1">
      <c r="A9" s="186" t="s">
        <v>220</v>
      </c>
      <c r="B9" s="352"/>
      <c r="C9" s="352"/>
      <c r="D9" s="352"/>
      <c r="E9" s="321">
        <f>D9</f>
        <v>0</v>
      </c>
      <c r="F9" s="321">
        <f t="shared" ref="F9:I9" si="4">E9</f>
        <v>0</v>
      </c>
      <c r="G9" s="321">
        <f t="shared" si="4"/>
        <v>0</v>
      </c>
      <c r="H9" s="439">
        <f t="shared" si="4"/>
        <v>0</v>
      </c>
      <c r="I9" s="321">
        <f t="shared" si="4"/>
        <v>0</v>
      </c>
      <c r="J9" s="321"/>
      <c r="K9" s="321"/>
      <c r="L9" s="90">
        <v>102416.64</v>
      </c>
    </row>
    <row r="10" spans="1:12" ht="15" customHeight="1">
      <c r="A10" s="186" t="s">
        <v>173</v>
      </c>
      <c r="B10" s="385"/>
      <c r="C10" s="385"/>
      <c r="D10" s="385"/>
      <c r="E10" s="321"/>
      <c r="F10" s="321"/>
      <c r="G10" s="321"/>
      <c r="H10" s="439"/>
      <c r="I10" s="321"/>
      <c r="J10" s="321"/>
      <c r="K10" s="321"/>
    </row>
    <row r="11" spans="1:12" ht="15" customHeight="1">
      <c r="A11" s="187"/>
      <c r="B11" s="353">
        <f>SUM(B6:B9)</f>
        <v>0</v>
      </c>
      <c r="C11" s="353"/>
      <c r="D11" s="353">
        <f>SUM(D6:D10)</f>
        <v>434738.42</v>
      </c>
      <c r="E11" s="322">
        <f>SUM(E6:E10)</f>
        <v>326671.53634713602</v>
      </c>
      <c r="F11" s="322">
        <f t="shared" ref="F11:I11" si="5">SUM(F6:F10)</f>
        <v>251399.95269427204</v>
      </c>
      <c r="G11" s="322">
        <f t="shared" si="5"/>
        <v>184322.62439864426</v>
      </c>
      <c r="H11" s="440">
        <f t="shared" si="5"/>
        <v>43188.821008182276</v>
      </c>
      <c r="I11" s="322">
        <f t="shared" si="5"/>
        <v>11500.000005125006</v>
      </c>
      <c r="J11" s="322"/>
      <c r="K11" s="322"/>
      <c r="L11" s="90">
        <v>1235355.3676885704</v>
      </c>
    </row>
    <row r="12" spans="1:12" ht="15" customHeight="1">
      <c r="A12" s="186"/>
      <c r="B12" s="351"/>
      <c r="C12" s="351"/>
      <c r="D12" s="354"/>
      <c r="E12" s="319"/>
      <c r="F12" s="319"/>
      <c r="G12" s="319"/>
      <c r="H12" s="436"/>
      <c r="I12" s="319"/>
      <c r="J12" s="319"/>
      <c r="K12" s="319"/>
    </row>
    <row r="13" spans="1:12" ht="15" customHeight="1">
      <c r="A13" s="185" t="s">
        <v>106</v>
      </c>
      <c r="B13" s="351"/>
      <c r="C13" s="351"/>
      <c r="D13" s="352"/>
      <c r="E13" s="320"/>
      <c r="F13" s="320"/>
      <c r="G13" s="320"/>
      <c r="H13" s="437"/>
      <c r="I13" s="320"/>
      <c r="J13" s="320"/>
      <c r="K13" s="320"/>
    </row>
    <row r="14" spans="1:12" ht="15" customHeight="1">
      <c r="A14" s="186" t="s">
        <v>117</v>
      </c>
      <c r="B14" s="352"/>
      <c r="C14" s="352"/>
      <c r="D14" s="352">
        <v>284714.37</v>
      </c>
      <c r="E14" s="398">
        <f>+'Capital Circulante'!B4</f>
        <v>285222.20625000005</v>
      </c>
      <c r="F14" s="398">
        <f>+'Capital Circulante'!C4</f>
        <v>281462.32919182855</v>
      </c>
      <c r="G14" s="398">
        <f>+'Capital Circulante'!D4</f>
        <v>323681.67990322207</v>
      </c>
      <c r="H14" s="441">
        <f>+'Capital Circulante'!E4</f>
        <v>375470.75615040556</v>
      </c>
      <c r="I14" s="398">
        <f>+'Capital Circulante'!F4</f>
        <v>395472.92115988251</v>
      </c>
      <c r="J14" s="398"/>
      <c r="K14" s="398"/>
      <c r="L14" s="90">
        <v>294938.730072579</v>
      </c>
    </row>
    <row r="15" spans="1:12" ht="15" customHeight="1">
      <c r="A15" s="186" t="s">
        <v>232</v>
      </c>
      <c r="B15" s="352"/>
      <c r="C15" s="352"/>
      <c r="D15" s="352">
        <v>3604.78</v>
      </c>
      <c r="E15" s="398"/>
      <c r="F15" s="398"/>
      <c r="G15" s="398"/>
      <c r="H15" s="441"/>
      <c r="I15" s="398"/>
      <c r="J15" s="398"/>
      <c r="K15" s="398"/>
    </row>
    <row r="16" spans="1:12" ht="15" customHeight="1">
      <c r="A16" s="186" t="s">
        <v>1</v>
      </c>
      <c r="B16" s="352"/>
      <c r="C16" s="352"/>
      <c r="D16" s="352">
        <v>1802545.66</v>
      </c>
      <c r="E16" s="242">
        <f>+'Capital Circulante'!C3</f>
        <v>1760082.1666666665</v>
      </c>
      <c r="F16" s="242">
        <f>+'Capital Circulante'!D3</f>
        <v>2024094.5</v>
      </c>
      <c r="G16" s="242">
        <f>+'Capital Circulante'!E3</f>
        <v>2347949.6666666665</v>
      </c>
      <c r="H16" s="438">
        <f>+'Capital Circulante'!F3</f>
        <v>2512306</v>
      </c>
      <c r="I16" s="242">
        <f>+'Capital Circulante'!G3</f>
        <v>2562552.12</v>
      </c>
      <c r="J16" s="242"/>
      <c r="K16" s="242"/>
      <c r="L16" s="90">
        <v>1803906.6059485001</v>
      </c>
    </row>
    <row r="17" spans="1:12" ht="15" customHeight="1">
      <c r="A17" s="186" t="s">
        <v>164</v>
      </c>
      <c r="B17" s="352"/>
      <c r="C17" s="352"/>
      <c r="D17" s="352">
        <v>78586.320000000007</v>
      </c>
      <c r="E17" s="242">
        <f>D17*1.01</f>
        <v>79372.183200000014</v>
      </c>
      <c r="F17" s="242">
        <f t="shared" ref="F17:I17" si="6">E17*1.01</f>
        <v>80165.90503200001</v>
      </c>
      <c r="G17" s="242">
        <f t="shared" si="6"/>
        <v>80967.564082320008</v>
      </c>
      <c r="H17" s="438">
        <f t="shared" si="6"/>
        <v>81777.239723143211</v>
      </c>
      <c r="I17" s="242">
        <f t="shared" si="6"/>
        <v>82595.012120374638</v>
      </c>
      <c r="J17" s="242"/>
      <c r="K17" s="242"/>
    </row>
    <row r="18" spans="1:12" ht="15" customHeight="1">
      <c r="A18" s="186" t="s">
        <v>221</v>
      </c>
      <c r="B18" s="352"/>
      <c r="C18" s="352"/>
      <c r="D18" s="352">
        <v>318043.34000000003</v>
      </c>
      <c r="E18" s="242">
        <f>D18*1.04</f>
        <v>330765.07360000006</v>
      </c>
      <c r="F18" s="242">
        <f t="shared" ref="F18:F20" si="7">E18*1.03</f>
        <v>340688.02580800006</v>
      </c>
      <c r="G18" s="242">
        <f>F18*1.02</f>
        <v>347501.78632416006</v>
      </c>
      <c r="H18" s="438">
        <f t="shared" ref="H18:I20" si="8">G18*1.02</f>
        <v>354451.82205064327</v>
      </c>
      <c r="I18" s="242">
        <f t="shared" si="8"/>
        <v>361540.85849165614</v>
      </c>
      <c r="J18" s="242"/>
      <c r="K18" s="242"/>
      <c r="L18" s="90">
        <v>438748.80579541402</v>
      </c>
    </row>
    <row r="19" spans="1:12" ht="15" customHeight="1">
      <c r="A19" s="186" t="s">
        <v>165</v>
      </c>
      <c r="B19" s="352"/>
      <c r="C19" s="352"/>
      <c r="D19" s="352">
        <v>401500.8</v>
      </c>
      <c r="E19" s="242">
        <f>D19</f>
        <v>401500.8</v>
      </c>
      <c r="F19" s="242">
        <f t="shared" ref="F19:I19" si="9">E19</f>
        <v>401500.8</v>
      </c>
      <c r="G19" s="242">
        <f t="shared" si="9"/>
        <v>401500.8</v>
      </c>
      <c r="H19" s="438">
        <f t="shared" si="9"/>
        <v>401500.8</v>
      </c>
      <c r="I19" s="242">
        <f t="shared" si="9"/>
        <v>401500.8</v>
      </c>
      <c r="J19" s="242"/>
      <c r="K19" s="242"/>
      <c r="L19" s="90">
        <v>463434.78</v>
      </c>
    </row>
    <row r="20" spans="1:12" ht="15" customHeight="1">
      <c r="A20" s="186" t="s">
        <v>119</v>
      </c>
      <c r="B20" s="352"/>
      <c r="C20" s="352"/>
      <c r="D20" s="352">
        <v>29971.55</v>
      </c>
      <c r="E20" s="242">
        <f>D20*1.04</f>
        <v>31170.412</v>
      </c>
      <c r="F20" s="242">
        <f t="shared" si="7"/>
        <v>32105.524359999999</v>
      </c>
      <c r="G20" s="242">
        <f>F20*1.02</f>
        <v>32747.634847199999</v>
      </c>
      <c r="H20" s="438">
        <f t="shared" si="8"/>
        <v>33402.587544144</v>
      </c>
      <c r="I20" s="242">
        <f t="shared" si="8"/>
        <v>34070.639295026878</v>
      </c>
      <c r="J20" s="242"/>
      <c r="K20" s="242"/>
      <c r="L20" s="90">
        <v>38864.659062153602</v>
      </c>
    </row>
    <row r="21" spans="1:12" ht="15" customHeight="1">
      <c r="A21" s="186" t="s">
        <v>120</v>
      </c>
      <c r="B21" s="352"/>
      <c r="C21" s="352"/>
      <c r="D21" s="352">
        <v>20361.27</v>
      </c>
      <c r="E21" s="242">
        <f>+'Plano Financeiro '!B18+939838.77</f>
        <v>67091.39390611276</v>
      </c>
      <c r="F21" s="242">
        <f>+'Plano Financeiro '!C18+665844.81</f>
        <v>-4858.5120310913771</v>
      </c>
      <c r="G21" s="242">
        <f>+'Plano Financeiro '!D18+653596.67</f>
        <v>234227.12509042385</v>
      </c>
      <c r="H21" s="438">
        <f>+'Plano Financeiro '!E18+896067.71</f>
        <v>864605.07913290977</v>
      </c>
      <c r="I21" s="242">
        <f>+'Plano Financeiro '!F18+1001925.12</f>
        <v>1285896.8553605182</v>
      </c>
      <c r="J21" s="242"/>
      <c r="K21" s="242"/>
      <c r="L21" s="90">
        <v>1407459.03808784</v>
      </c>
    </row>
    <row r="22" spans="1:12" ht="15" customHeight="1">
      <c r="A22" s="187"/>
      <c r="B22" s="353">
        <f t="shared" ref="B22:I22" si="10">SUM(B14:B21)</f>
        <v>0</v>
      </c>
      <c r="C22" s="353"/>
      <c r="D22" s="353">
        <f>SUM(D14:D21)</f>
        <v>2939328.0899999994</v>
      </c>
      <c r="E22" s="322">
        <f t="shared" si="10"/>
        <v>2955204.2356227795</v>
      </c>
      <c r="F22" s="322">
        <f t="shared" si="10"/>
        <v>3155158.5723607372</v>
      </c>
      <c r="G22" s="322">
        <f t="shared" si="10"/>
        <v>3768576.2569139926</v>
      </c>
      <c r="H22" s="440">
        <f t="shared" si="10"/>
        <v>4623514.2846012451</v>
      </c>
      <c r="I22" s="322">
        <f t="shared" si="10"/>
        <v>5123629.2064274577</v>
      </c>
      <c r="J22" s="322"/>
      <c r="K22" s="322"/>
      <c r="L22" s="90">
        <v>4447352.6189664844</v>
      </c>
    </row>
    <row r="23" spans="1:12" ht="15" customHeight="1">
      <c r="A23" s="186"/>
      <c r="B23" s="351"/>
      <c r="C23" s="351"/>
      <c r="D23" s="351"/>
      <c r="E23" s="320"/>
      <c r="F23" s="320"/>
      <c r="G23" s="320"/>
      <c r="H23" s="437"/>
      <c r="I23" s="320"/>
      <c r="J23" s="320"/>
      <c r="K23" s="320"/>
    </row>
    <row r="24" spans="1:12" ht="15" customHeight="1">
      <c r="A24" s="185" t="s">
        <v>2</v>
      </c>
      <c r="B24" s="355">
        <f t="shared" ref="B24:I24" si="11">+B11+B22</f>
        <v>0</v>
      </c>
      <c r="C24" s="355"/>
      <c r="D24" s="355">
        <f t="shared" si="11"/>
        <v>3374066.5099999993</v>
      </c>
      <c r="E24" s="323">
        <f t="shared" si="11"/>
        <v>3281875.7719699154</v>
      </c>
      <c r="F24" s="323">
        <f t="shared" si="11"/>
        <v>3406558.5250550094</v>
      </c>
      <c r="G24" s="323">
        <f t="shared" si="11"/>
        <v>3952898.8813126367</v>
      </c>
      <c r="H24" s="442">
        <f t="shared" si="11"/>
        <v>4666703.1056094272</v>
      </c>
      <c r="I24" s="323">
        <f t="shared" si="11"/>
        <v>5135129.2064325828</v>
      </c>
      <c r="J24" s="323"/>
      <c r="K24" s="323"/>
      <c r="L24" s="90">
        <v>5682707.9866550546</v>
      </c>
    </row>
    <row r="25" spans="1:12" ht="15" customHeight="1">
      <c r="A25" s="187"/>
      <c r="B25" s="356"/>
      <c r="C25" s="356"/>
      <c r="D25" s="356"/>
      <c r="E25" s="324"/>
      <c r="F25" s="324"/>
      <c r="G25" s="324"/>
      <c r="H25" s="443"/>
      <c r="I25" s="324"/>
      <c r="J25" s="324"/>
      <c r="K25" s="324"/>
    </row>
    <row r="26" spans="1:12" ht="15" customHeight="1">
      <c r="A26" s="186"/>
      <c r="B26" s="351"/>
      <c r="C26" s="351"/>
      <c r="D26" s="351"/>
      <c r="E26" s="319"/>
      <c r="F26" s="319"/>
      <c r="G26" s="319"/>
      <c r="H26" s="436"/>
      <c r="I26" s="319"/>
      <c r="J26" s="319"/>
      <c r="K26" s="319"/>
    </row>
    <row r="27" spans="1:12" ht="15" customHeight="1">
      <c r="A27" s="185" t="s">
        <v>107</v>
      </c>
      <c r="B27" s="351"/>
      <c r="C27" s="351"/>
      <c r="D27" s="351"/>
      <c r="E27" s="325"/>
      <c r="F27" s="320"/>
      <c r="G27" s="320"/>
      <c r="H27" s="437"/>
      <c r="I27" s="320"/>
      <c r="J27" s="320"/>
      <c r="K27" s="320"/>
    </row>
    <row r="28" spans="1:12" ht="15" customHeight="1">
      <c r="A28" s="186"/>
      <c r="B28" s="351"/>
      <c r="C28" s="351"/>
      <c r="D28" s="351"/>
      <c r="E28" s="320"/>
      <c r="F28" s="320"/>
      <c r="G28" s="320"/>
      <c r="H28" s="437"/>
      <c r="I28" s="320"/>
      <c r="J28" s="320"/>
      <c r="K28" s="320"/>
    </row>
    <row r="29" spans="1:12" ht="15" customHeight="1">
      <c r="A29" s="185" t="s">
        <v>108</v>
      </c>
      <c r="B29" s="351"/>
      <c r="C29" s="351"/>
      <c r="D29" s="351"/>
      <c r="E29" s="320"/>
      <c r="F29" s="320"/>
      <c r="G29" s="320"/>
      <c r="H29" s="437"/>
      <c r="I29" s="320"/>
      <c r="J29" s="320"/>
      <c r="K29" s="320"/>
    </row>
    <row r="30" spans="1:12" ht="15" customHeight="1">
      <c r="A30" s="186" t="s">
        <v>121</v>
      </c>
      <c r="B30" s="352"/>
      <c r="C30" s="352"/>
      <c r="D30" s="352">
        <v>50000</v>
      </c>
      <c r="E30" s="242">
        <f>D30</f>
        <v>50000</v>
      </c>
      <c r="F30" s="242">
        <f t="shared" ref="F30:I30" si="12">E30</f>
        <v>50000</v>
      </c>
      <c r="G30" s="242">
        <f t="shared" si="12"/>
        <v>50000</v>
      </c>
      <c r="H30" s="438">
        <f t="shared" si="12"/>
        <v>50000</v>
      </c>
      <c r="I30" s="242">
        <f t="shared" si="12"/>
        <v>50000</v>
      </c>
      <c r="J30" s="242"/>
      <c r="K30" s="242"/>
      <c r="L30" s="90">
        <v>50000</v>
      </c>
    </row>
    <row r="31" spans="1:12" ht="15" customHeight="1">
      <c r="A31" s="186" t="s">
        <v>122</v>
      </c>
      <c r="B31" s="352"/>
      <c r="C31" s="351"/>
      <c r="D31" s="351"/>
      <c r="E31" s="320"/>
      <c r="F31" s="320"/>
      <c r="G31" s="320"/>
      <c r="H31" s="437"/>
      <c r="I31" s="320"/>
      <c r="J31" s="320"/>
      <c r="K31" s="320"/>
    </row>
    <row r="32" spans="1:12" ht="15" customHeight="1">
      <c r="A32" s="186" t="s">
        <v>123</v>
      </c>
      <c r="B32" s="352"/>
      <c r="C32" s="352"/>
      <c r="D32" s="352">
        <v>200000</v>
      </c>
      <c r="E32" s="242">
        <f>D32</f>
        <v>200000</v>
      </c>
      <c r="F32" s="242">
        <f>+'MAPA INVESTIMENTOS'!B18+E32</f>
        <v>214592.875</v>
      </c>
      <c r="G32" s="242">
        <f>+F32+'MAPA INVESTIMENTOS'!C18</f>
        <v>229185.75</v>
      </c>
      <c r="H32" s="438">
        <f t="shared" ref="H32:I32" si="13">+G32</f>
        <v>229185.75</v>
      </c>
      <c r="I32" s="242">
        <f t="shared" si="13"/>
        <v>229185.75</v>
      </c>
      <c r="J32" s="242"/>
      <c r="K32" s="242"/>
      <c r="L32" s="90">
        <v>37427</v>
      </c>
    </row>
    <row r="33" spans="1:12" ht="15" customHeight="1">
      <c r="A33" s="186" t="s">
        <v>124</v>
      </c>
      <c r="B33" s="352"/>
      <c r="C33" s="352"/>
      <c r="D33" s="352">
        <v>10000</v>
      </c>
      <c r="E33" s="242">
        <f>D33</f>
        <v>10000</v>
      </c>
      <c r="F33" s="242">
        <f>E33</f>
        <v>10000</v>
      </c>
      <c r="G33" s="242">
        <f>F33</f>
        <v>10000</v>
      </c>
      <c r="H33" s="438">
        <f>G33</f>
        <v>10000</v>
      </c>
      <c r="I33" s="242">
        <f>H33</f>
        <v>10000</v>
      </c>
      <c r="J33" s="242"/>
      <c r="K33" s="242"/>
      <c r="L33" s="90">
        <v>1000</v>
      </c>
    </row>
    <row r="34" spans="1:12" ht="15" customHeight="1">
      <c r="A34" s="186" t="s">
        <v>125</v>
      </c>
      <c r="B34" s="352"/>
      <c r="C34" s="352"/>
      <c r="D34" s="352"/>
      <c r="E34" s="242"/>
      <c r="F34" s="242"/>
      <c r="G34" s="242"/>
      <c r="H34" s="438"/>
      <c r="I34" s="242"/>
      <c r="J34" s="242"/>
      <c r="K34" s="242"/>
    </row>
    <row r="35" spans="1:12" ht="15" customHeight="1">
      <c r="A35" s="186" t="s">
        <v>126</v>
      </c>
      <c r="B35" s="352"/>
      <c r="C35" s="357"/>
      <c r="D35" s="352">
        <v>158170.42000000001</v>
      </c>
      <c r="E35" s="242">
        <f t="shared" ref="E35:I35" si="14">+D35+D38</f>
        <v>244302.66623999871</v>
      </c>
      <c r="F35" s="242">
        <f t="shared" si="14"/>
        <v>254128.57649324709</v>
      </c>
      <c r="G35" s="242">
        <f t="shared" si="14"/>
        <v>495682.74972528627</v>
      </c>
      <c r="H35" s="438">
        <f t="shared" si="14"/>
        <v>970022.86196521355</v>
      </c>
      <c r="I35" s="242">
        <f t="shared" si="14"/>
        <v>1609352.551366054</v>
      </c>
      <c r="J35" s="242"/>
      <c r="K35" s="242"/>
      <c r="L35" s="90">
        <v>1749417.6726653201</v>
      </c>
    </row>
    <row r="36" spans="1:12" ht="15" customHeight="1">
      <c r="A36" s="186" t="s">
        <v>222</v>
      </c>
      <c r="B36" s="351"/>
      <c r="C36" s="351"/>
      <c r="D36" s="352"/>
      <c r="E36" s="242">
        <f>D36</f>
        <v>0</v>
      </c>
      <c r="F36" s="242">
        <f t="shared" ref="F36:I36" si="15">E36</f>
        <v>0</v>
      </c>
      <c r="G36" s="242">
        <f t="shared" si="15"/>
        <v>0</v>
      </c>
      <c r="H36" s="438">
        <f t="shared" si="15"/>
        <v>0</v>
      </c>
      <c r="I36" s="242">
        <f t="shared" si="15"/>
        <v>0</v>
      </c>
      <c r="J36" s="320"/>
      <c r="K36" s="320"/>
      <c r="L36" s="90">
        <v>47991.79</v>
      </c>
    </row>
    <row r="37" spans="1:12" ht="15" customHeight="1">
      <c r="A37" s="186"/>
      <c r="B37" s="351"/>
      <c r="C37" s="351"/>
      <c r="D37" s="352"/>
      <c r="E37" s="242"/>
      <c r="F37" s="242"/>
      <c r="G37" s="242"/>
      <c r="H37" s="438"/>
      <c r="I37" s="242"/>
      <c r="J37" s="242"/>
      <c r="K37" s="242"/>
    </row>
    <row r="38" spans="1:12" ht="15" customHeight="1">
      <c r="A38" s="186" t="s">
        <v>91</v>
      </c>
      <c r="B38" s="358">
        <v>0</v>
      </c>
      <c r="C38" s="358"/>
      <c r="D38" s="352">
        <f>+'DR SNC'!E32</f>
        <v>86132.246239998683</v>
      </c>
      <c r="E38" s="242">
        <f>+'DR SNC'!F32</f>
        <v>9825.9102532483794</v>
      </c>
      <c r="F38" s="242">
        <f>+'DR SNC'!G32</f>
        <v>241554.1732320392</v>
      </c>
      <c r="G38" s="242">
        <f>+'DR SNC'!H32</f>
        <v>474340.11223992729</v>
      </c>
      <c r="H38" s="438">
        <f>+'DR SNC'!I32</f>
        <v>639329.68940084043</v>
      </c>
      <c r="I38" s="242">
        <f>+'DR SNC'!J32</f>
        <v>572204.86854142859</v>
      </c>
      <c r="J38" s="242"/>
      <c r="K38" s="242"/>
      <c r="L38" s="90">
        <v>469130.96263946302</v>
      </c>
    </row>
    <row r="39" spans="1:12" ht="15" customHeight="1">
      <c r="A39" s="186" t="s">
        <v>127</v>
      </c>
      <c r="B39" s="351"/>
      <c r="C39" s="351"/>
      <c r="D39" s="352"/>
      <c r="E39" s="320"/>
      <c r="F39" s="320"/>
      <c r="G39" s="320"/>
      <c r="H39" s="437"/>
      <c r="I39" s="320"/>
      <c r="J39" s="320"/>
      <c r="K39" s="320"/>
    </row>
    <row r="40" spans="1:12" ht="15" customHeight="1">
      <c r="A40" s="186"/>
      <c r="B40" s="351"/>
      <c r="C40" s="351"/>
      <c r="D40" s="352"/>
      <c r="E40" s="320"/>
      <c r="F40" s="320"/>
      <c r="G40" s="320"/>
      <c r="H40" s="437"/>
      <c r="I40" s="320"/>
      <c r="J40" s="320"/>
      <c r="K40" s="320"/>
    </row>
    <row r="41" spans="1:12" ht="15" customHeight="1">
      <c r="A41" s="188" t="s">
        <v>109</v>
      </c>
      <c r="B41" s="359">
        <f t="shared" ref="B41" si="16">SUM(B30:B40)</f>
        <v>0</v>
      </c>
      <c r="C41" s="359"/>
      <c r="D41" s="359">
        <f>SUM(D30:D39)</f>
        <v>504302.66623999871</v>
      </c>
      <c r="E41" s="326">
        <f>SUM(E30:E40)</f>
        <v>514128.57649324706</v>
      </c>
      <c r="F41" s="326">
        <f>SUM(F30:F40)</f>
        <v>770275.62472528627</v>
      </c>
      <c r="G41" s="326">
        <f>SUM(G29:G40)</f>
        <v>1259208.6119652134</v>
      </c>
      <c r="H41" s="444">
        <f>SUM(H29:H40)</f>
        <v>1898538.301366054</v>
      </c>
      <c r="I41" s="326">
        <f>SUM(I29:I40)</f>
        <v>2470743.1699074823</v>
      </c>
      <c r="J41" s="326"/>
      <c r="K41" s="326"/>
      <c r="L41" s="90">
        <v>2354967.4253047872</v>
      </c>
    </row>
    <row r="42" spans="1:12" ht="15" customHeight="1">
      <c r="A42" s="186"/>
      <c r="B42" s="351"/>
      <c r="C42" s="351"/>
      <c r="D42" s="351"/>
      <c r="E42" s="319"/>
      <c r="F42" s="319"/>
      <c r="G42" s="319"/>
      <c r="H42" s="436"/>
      <c r="I42" s="319"/>
      <c r="J42" s="319"/>
      <c r="K42" s="319"/>
    </row>
    <row r="43" spans="1:12" ht="15" customHeight="1">
      <c r="A43" s="185" t="s">
        <v>110</v>
      </c>
      <c r="B43" s="351"/>
      <c r="C43" s="351"/>
      <c r="D43" s="351"/>
      <c r="E43" s="320"/>
      <c r="F43" s="320"/>
      <c r="G43" s="320"/>
      <c r="H43" s="437"/>
      <c r="I43" s="320"/>
      <c r="J43" s="320"/>
      <c r="K43" s="320"/>
    </row>
    <row r="44" spans="1:12" ht="15" customHeight="1">
      <c r="A44" s="186"/>
      <c r="B44" s="351"/>
      <c r="C44" s="351"/>
      <c r="D44" s="351"/>
      <c r="E44" s="320"/>
      <c r="F44" s="320"/>
      <c r="G44" s="320"/>
      <c r="H44" s="437"/>
      <c r="I44" s="320"/>
      <c r="J44" s="320"/>
      <c r="K44" s="320"/>
    </row>
    <row r="45" spans="1:12" ht="15" customHeight="1">
      <c r="A45" s="185" t="s">
        <v>111</v>
      </c>
      <c r="B45" s="351"/>
      <c r="C45" s="351"/>
      <c r="D45" s="351"/>
      <c r="E45" s="320"/>
      <c r="F45" s="320"/>
      <c r="G45" s="320"/>
      <c r="H45" s="437"/>
      <c r="I45" s="320"/>
      <c r="J45" s="320"/>
      <c r="K45" s="320"/>
    </row>
    <row r="46" spans="1:12" ht="15" customHeight="1">
      <c r="A46" s="186" t="s">
        <v>128</v>
      </c>
      <c r="B46" s="351"/>
      <c r="C46" s="351"/>
      <c r="D46" s="433">
        <v>136771.42000000001</v>
      </c>
      <c r="E46" s="242">
        <f>D46*0.75</f>
        <v>102578.565</v>
      </c>
      <c r="F46" s="242">
        <f>D46*0.5</f>
        <v>68385.710000000006</v>
      </c>
      <c r="G46" s="242">
        <f>D46*0.25</f>
        <v>34192.855000000003</v>
      </c>
      <c r="H46" s="438">
        <v>0</v>
      </c>
      <c r="I46" s="242">
        <v>0</v>
      </c>
      <c r="J46" s="242"/>
      <c r="K46" s="242"/>
      <c r="L46" s="90">
        <v>149838.52499999999</v>
      </c>
    </row>
    <row r="47" spans="1:12" ht="15" customHeight="1">
      <c r="A47" s="186" t="s">
        <v>129</v>
      </c>
      <c r="B47" s="351"/>
      <c r="C47" s="351"/>
      <c r="D47" s="351"/>
      <c r="E47" s="320"/>
      <c r="F47" s="320"/>
      <c r="G47" s="320"/>
      <c r="H47" s="437"/>
      <c r="I47" s="320"/>
      <c r="J47" s="320"/>
      <c r="K47" s="320"/>
    </row>
    <row r="48" spans="1:12" ht="15" customHeight="1">
      <c r="A48" s="186"/>
      <c r="B48" s="351"/>
      <c r="C48" s="351"/>
      <c r="D48" s="351"/>
      <c r="E48" s="320"/>
      <c r="F48" s="320"/>
      <c r="G48" s="320"/>
      <c r="H48" s="437"/>
      <c r="I48" s="320"/>
      <c r="J48" s="320"/>
      <c r="K48" s="320"/>
    </row>
    <row r="49" spans="1:12" ht="15" customHeight="1">
      <c r="A49" s="187"/>
      <c r="B49" s="359">
        <f t="shared" ref="B49:D49" si="17">SUM(B46:B48)</f>
        <v>0</v>
      </c>
      <c r="C49" s="359"/>
      <c r="D49" s="359">
        <f t="shared" si="17"/>
        <v>136771.42000000001</v>
      </c>
      <c r="E49" s="326">
        <f>SUM(E46:E48)</f>
        <v>102578.565</v>
      </c>
      <c r="F49" s="326">
        <f>SUM(F46:F48)</f>
        <v>68385.710000000006</v>
      </c>
      <c r="G49" s="326">
        <f>SUM(G46:G48)</f>
        <v>34192.855000000003</v>
      </c>
      <c r="H49" s="444">
        <f>SUM(H46:H48)</f>
        <v>0</v>
      </c>
      <c r="I49" s="326">
        <f>SUM(I46:I48)</f>
        <v>0</v>
      </c>
      <c r="J49" s="326"/>
      <c r="K49" s="326"/>
      <c r="L49" s="90">
        <v>149838.52499999999</v>
      </c>
    </row>
    <row r="50" spans="1:12" ht="15" customHeight="1">
      <c r="A50" s="185" t="s">
        <v>112</v>
      </c>
      <c r="B50" s="352"/>
      <c r="C50" s="352"/>
      <c r="D50" s="352"/>
      <c r="E50" s="319"/>
      <c r="F50" s="319"/>
      <c r="G50" s="319"/>
      <c r="H50" s="436"/>
      <c r="I50" s="319"/>
      <c r="J50" s="319"/>
      <c r="K50" s="319"/>
    </row>
    <row r="51" spans="1:12" ht="15" customHeight="1">
      <c r="A51" s="186" t="s">
        <v>4</v>
      </c>
      <c r="B51" s="352"/>
      <c r="C51" s="352"/>
      <c r="D51" s="352">
        <v>987726.43</v>
      </c>
      <c r="E51" s="242">
        <f>+'Capital Circulante'!B6</f>
        <v>1045814.7562500001</v>
      </c>
      <c r="F51" s="242">
        <f>+'Capital Circulante'!C6</f>
        <v>1032028.540370038</v>
      </c>
      <c r="G51" s="242">
        <f>+'Capital Circulante'!D6</f>
        <v>1186832.8263118141</v>
      </c>
      <c r="H51" s="438">
        <f>+'Capital Circulante'!E6</f>
        <v>1376726.1058848202</v>
      </c>
      <c r="I51" s="242">
        <f>+'Capital Circulante'!F6</f>
        <v>1450067.3775862358</v>
      </c>
      <c r="J51" s="242"/>
      <c r="K51" s="242"/>
      <c r="L51" s="90">
        <v>2528046.2577649602</v>
      </c>
    </row>
    <row r="52" spans="1:12" ht="15" customHeight="1">
      <c r="A52" s="186" t="s">
        <v>167</v>
      </c>
      <c r="B52" s="352"/>
      <c r="C52" s="352"/>
      <c r="D52" s="352">
        <v>197.4</v>
      </c>
      <c r="E52" s="242"/>
      <c r="F52" s="242"/>
      <c r="G52" s="242"/>
      <c r="H52" s="438"/>
      <c r="I52" s="242"/>
      <c r="J52" s="242"/>
      <c r="K52" s="242"/>
    </row>
    <row r="53" spans="1:12" ht="15" customHeight="1">
      <c r="A53" s="186" t="s">
        <v>118</v>
      </c>
      <c r="B53" s="352"/>
      <c r="C53" s="352"/>
      <c r="D53" s="352">
        <v>30435.42</v>
      </c>
      <c r="E53" s="242">
        <f>('63_G. Pess.'!$E$11*14)-'DR SNC'!F30-'DR SNC'!F31</f>
        <v>9804.5780420027331</v>
      </c>
      <c r="F53" s="242">
        <f>('63_G. Pess.'!$E$11*14)-'DR SNC'!G30-'DR SNC'!G31</f>
        <v>71403.230226238258</v>
      </c>
      <c r="G53" s="242">
        <f>('63_G. Pess.'!$E$11*14)-'DR SNC'!H30-'DR SNC'!H31</f>
        <v>133283.03679795534</v>
      </c>
      <c r="H53" s="438">
        <f>('63_G. Pess.'!$E$11*14)-'DR SNC'!I30-'DR SNC'!I31</f>
        <v>177141.02566351456</v>
      </c>
      <c r="I53" s="242">
        <f>('63_G. Pess.'!$E$11*14)-'DR SNC'!J30-'DR SNC'!J31</f>
        <v>159297.71885278483</v>
      </c>
      <c r="J53" s="242"/>
      <c r="K53" s="242"/>
      <c r="L53" s="90">
        <v>124238.501144667</v>
      </c>
    </row>
    <row r="54" spans="1:12" ht="15" customHeight="1">
      <c r="A54" s="186" t="s">
        <v>128</v>
      </c>
      <c r="B54" s="352"/>
      <c r="C54" s="352"/>
      <c r="D54" s="352">
        <v>1455995.87</v>
      </c>
      <c r="E54" s="242">
        <f>'Serviço da Divida Emp. Bancario'!D21-E46+20000</f>
        <v>1350911.996</v>
      </c>
      <c r="F54" s="242">
        <f>'Serviço da Divida Emp. Bancario'!E21-F46</f>
        <v>1205828.122</v>
      </c>
      <c r="G54" s="242">
        <f>'Serviço da Divida Emp. Bancario'!F21-G46</f>
        <v>1080744.2479999999</v>
      </c>
      <c r="H54" s="438">
        <f>'Serviço da Divida Emp. Bancario'!G21-H46</f>
        <v>955660.37399999984</v>
      </c>
      <c r="I54" s="242">
        <f>'Serviço da Divida Emp. Bancario'!H21-I46</f>
        <v>796383.64499999979</v>
      </c>
      <c r="J54" s="242"/>
      <c r="K54" s="242"/>
      <c r="L54" s="90">
        <v>72146.051578125</v>
      </c>
    </row>
    <row r="55" spans="1:12" ht="15" customHeight="1">
      <c r="A55" s="186" t="s">
        <v>129</v>
      </c>
      <c r="B55" s="352"/>
      <c r="C55" s="352"/>
      <c r="D55" s="352">
        <v>258637.3</v>
      </c>
      <c r="E55" s="242">
        <f>D55</f>
        <v>258637.3</v>
      </c>
      <c r="F55" s="242">
        <f t="shared" ref="F55:I55" si="18">E55</f>
        <v>258637.3</v>
      </c>
      <c r="G55" s="242">
        <f t="shared" si="18"/>
        <v>258637.3</v>
      </c>
      <c r="H55" s="438">
        <f t="shared" si="18"/>
        <v>258637.3</v>
      </c>
      <c r="I55" s="242">
        <f t="shared" si="18"/>
        <v>258637.3</v>
      </c>
      <c r="J55" s="320"/>
      <c r="K55" s="320"/>
      <c r="L55" s="90">
        <v>453471.23</v>
      </c>
    </row>
    <row r="56" spans="1:12" ht="15" customHeight="1">
      <c r="A56" s="186" t="s">
        <v>119</v>
      </c>
      <c r="B56" s="352"/>
      <c r="C56" s="352"/>
      <c r="D56" s="351"/>
      <c r="E56" s="320"/>
      <c r="F56" s="320"/>
      <c r="G56" s="320"/>
      <c r="H56" s="437"/>
      <c r="I56" s="320"/>
      <c r="J56" s="320"/>
      <c r="K56" s="320"/>
    </row>
    <row r="57" spans="1:12" ht="15" customHeight="1">
      <c r="A57" s="187"/>
      <c r="B57" s="359">
        <f t="shared" ref="B57:D57" si="19">SUM(B51:B56)</f>
        <v>0</v>
      </c>
      <c r="C57" s="359"/>
      <c r="D57" s="359">
        <f t="shared" si="19"/>
        <v>2732992.42</v>
      </c>
      <c r="E57" s="326">
        <f>SUM(E51:E56)</f>
        <v>2665168.6302920026</v>
      </c>
      <c r="F57" s="326">
        <f>SUM(F51:F56)</f>
        <v>2567897.1925962763</v>
      </c>
      <c r="G57" s="326">
        <f>SUM(G51:G56)</f>
        <v>2659497.4111097693</v>
      </c>
      <c r="H57" s="444">
        <f>SUM(H51:H56)</f>
        <v>2768164.8055483345</v>
      </c>
      <c r="I57" s="326">
        <f>SUM(I51:I56)</f>
        <v>2664386.0414390201</v>
      </c>
      <c r="J57" s="326"/>
      <c r="K57" s="326"/>
      <c r="L57" s="90">
        <v>3177902.0404877556</v>
      </c>
    </row>
    <row r="58" spans="1:12" ht="15" customHeight="1">
      <c r="A58" s="186"/>
      <c r="B58" s="360"/>
      <c r="C58" s="360"/>
      <c r="D58" s="360"/>
      <c r="E58" s="319"/>
      <c r="F58" s="319"/>
      <c r="G58" s="319"/>
      <c r="H58" s="436"/>
      <c r="I58" s="319"/>
      <c r="J58" s="319"/>
      <c r="K58" s="319"/>
    </row>
    <row r="59" spans="1:12" ht="15" customHeight="1">
      <c r="A59" s="186"/>
      <c r="B59" s="351"/>
      <c r="C59" s="351"/>
      <c r="D59" s="351"/>
      <c r="E59" s="320"/>
      <c r="F59" s="320"/>
      <c r="G59" s="320"/>
      <c r="H59" s="437"/>
      <c r="I59" s="320"/>
      <c r="J59" s="320"/>
      <c r="K59" s="320"/>
    </row>
    <row r="60" spans="1:12" ht="15" customHeight="1">
      <c r="A60" s="189" t="s">
        <v>113</v>
      </c>
      <c r="B60" s="361">
        <f t="shared" ref="B60:D60" si="20">+B49+B57</f>
        <v>0</v>
      </c>
      <c r="C60" s="361"/>
      <c r="D60" s="361">
        <f t="shared" si="20"/>
        <v>2869763.84</v>
      </c>
      <c r="E60" s="327">
        <f>+E49+E57</f>
        <v>2767747.1952920025</v>
      </c>
      <c r="F60" s="327">
        <f>+F49+F57</f>
        <v>2636282.9025962763</v>
      </c>
      <c r="G60" s="327">
        <f>+G49+G57</f>
        <v>2693690.2661097692</v>
      </c>
      <c r="H60" s="465">
        <f>+H49+H57</f>
        <v>2768164.8055483345</v>
      </c>
      <c r="I60" s="327">
        <f>+I49+I57</f>
        <v>2664386.0414390201</v>
      </c>
      <c r="J60" s="327"/>
      <c r="K60" s="327"/>
      <c r="L60" s="90">
        <v>3327740.5654877555</v>
      </c>
    </row>
    <row r="61" spans="1:12" ht="15" customHeight="1">
      <c r="A61" s="185"/>
      <c r="B61" s="351"/>
      <c r="C61" s="351"/>
      <c r="D61" s="351"/>
      <c r="E61" s="320"/>
      <c r="F61" s="320"/>
      <c r="G61" s="320"/>
      <c r="H61" s="437"/>
      <c r="I61" s="320"/>
      <c r="J61" s="320"/>
      <c r="K61" s="320"/>
    </row>
    <row r="62" spans="1:12" ht="15" customHeight="1">
      <c r="A62" s="186"/>
      <c r="B62" s="351"/>
      <c r="C62" s="351"/>
      <c r="D62" s="351"/>
      <c r="E62" s="320"/>
      <c r="F62" s="320"/>
      <c r="G62" s="320"/>
      <c r="H62" s="437"/>
      <c r="I62" s="320"/>
      <c r="J62" s="320"/>
      <c r="K62" s="320"/>
    </row>
    <row r="63" spans="1:12" ht="15" customHeight="1">
      <c r="A63" s="188" t="s">
        <v>114</v>
      </c>
      <c r="B63" s="359">
        <f t="shared" ref="B63:D63" si="21">+B41+B60</f>
        <v>0</v>
      </c>
      <c r="C63" s="359"/>
      <c r="D63" s="359">
        <f t="shared" si="21"/>
        <v>3374066.5062399986</v>
      </c>
      <c r="E63" s="326">
        <f>+E41+E60</f>
        <v>3281875.7717852495</v>
      </c>
      <c r="F63" s="326">
        <f>+F41+F60</f>
        <v>3406558.5273215626</v>
      </c>
      <c r="G63" s="326">
        <f>+G41+G60</f>
        <v>3952898.8780749827</v>
      </c>
      <c r="H63" s="444">
        <f>+H41+H60</f>
        <v>4666703.106914388</v>
      </c>
      <c r="I63" s="326">
        <f>+I41+I60</f>
        <v>5135129.2113465024</v>
      </c>
      <c r="J63" s="326"/>
      <c r="K63" s="326"/>
      <c r="L63" s="90">
        <v>5682707.9907925427</v>
      </c>
    </row>
    <row r="64" spans="1:12" ht="15" customHeight="1">
      <c r="A64" s="185"/>
      <c r="B64" s="351"/>
      <c r="C64" s="351"/>
      <c r="D64" s="351"/>
      <c r="E64" s="319"/>
      <c r="F64" s="319"/>
      <c r="G64" s="319"/>
      <c r="H64" s="436"/>
      <c r="I64" s="319"/>
      <c r="J64" s="319"/>
      <c r="K64" s="319"/>
    </row>
    <row r="65" spans="1:12" ht="15" customHeight="1">
      <c r="A65" s="188" t="s">
        <v>130</v>
      </c>
      <c r="B65" s="362">
        <f t="shared" ref="B65:D65" si="22">+B24-B63</f>
        <v>0</v>
      </c>
      <c r="C65" s="362">
        <f t="shared" si="22"/>
        <v>0</v>
      </c>
      <c r="D65" s="362">
        <f t="shared" si="22"/>
        <v>3.7600006908178329E-3</v>
      </c>
      <c r="E65" s="349">
        <f>+E24-E63</f>
        <v>1.8466589972376823E-4</v>
      </c>
      <c r="F65" s="328">
        <f>+F24-F63</f>
        <v>-2.2665532305836678E-3</v>
      </c>
      <c r="G65" s="328">
        <f>+G24-G63</f>
        <v>3.2376539893448353E-3</v>
      </c>
      <c r="H65" s="466">
        <f>+H24-H63</f>
        <v>-1.304960809648037E-3</v>
      </c>
      <c r="I65" s="328">
        <f>+I24-I63</f>
        <v>-4.9139196053147316E-3</v>
      </c>
      <c r="J65" s="329"/>
      <c r="K65" s="329"/>
      <c r="L65" s="90">
        <v>-4.1374880820512772E-3</v>
      </c>
    </row>
    <row r="66" spans="1:12" ht="12.75" customHeight="1">
      <c r="A66" s="330" t="s">
        <v>166</v>
      </c>
      <c r="B66" s="363" t="e">
        <f>+B41/B24</f>
        <v>#DIV/0!</v>
      </c>
      <c r="C66" s="363" t="e">
        <f t="shared" ref="C66:I66" si="23">+C41/C24</f>
        <v>#DIV/0!</v>
      </c>
      <c r="D66" s="363">
        <f t="shared" si="23"/>
        <v>0.14946435250916226</v>
      </c>
      <c r="E66" s="331">
        <f t="shared" si="23"/>
        <v>0.15665692799354383</v>
      </c>
      <c r="F66" s="331">
        <f t="shared" si="23"/>
        <v>0.22611548254931207</v>
      </c>
      <c r="G66" s="331">
        <f t="shared" si="23"/>
        <v>0.31855320608329574</v>
      </c>
      <c r="H66" s="331">
        <f t="shared" si="23"/>
        <v>0.40682645936571166</v>
      </c>
      <c r="I66" s="331">
        <f t="shared" si="23"/>
        <v>0.4811452780608666</v>
      </c>
      <c r="J66" s="331"/>
      <c r="K66" s="331"/>
    </row>
    <row r="67" spans="1:12" ht="12.75" customHeight="1">
      <c r="B67" s="365"/>
      <c r="C67" s="365"/>
      <c r="D67" s="365"/>
    </row>
    <row r="68" spans="1:12" ht="20.100000000000001" customHeight="1">
      <c r="A68" s="115" t="s">
        <v>136</v>
      </c>
      <c r="B68" s="366"/>
      <c r="C68" s="366"/>
      <c r="D68" s="366"/>
    </row>
    <row r="69" spans="1:12" ht="12.75" customHeight="1">
      <c r="B69" s="365"/>
      <c r="C69" s="365"/>
      <c r="D69" s="365"/>
    </row>
    <row r="70" spans="1:12" ht="12.75" customHeight="1">
      <c r="B70" s="365"/>
      <c r="C70" s="365"/>
      <c r="D70" s="365"/>
    </row>
    <row r="71" spans="1:12" ht="12.75" customHeight="1">
      <c r="B71" s="365"/>
      <c r="C71" s="365"/>
      <c r="D71" s="365"/>
    </row>
    <row r="72" spans="1:12" ht="12.75" customHeight="1">
      <c r="B72" s="365"/>
      <c r="C72" s="365"/>
      <c r="D72" s="365"/>
    </row>
    <row r="73" spans="1:12" ht="12.75" customHeight="1">
      <c r="B73" s="365"/>
      <c r="C73" s="365"/>
      <c r="D73" s="365"/>
    </row>
    <row r="74" spans="1:12" ht="12.75" customHeight="1">
      <c r="B74" s="365"/>
      <c r="C74" s="365"/>
      <c r="D74" s="365"/>
    </row>
    <row r="75" spans="1:12" ht="12.75" customHeight="1">
      <c r="B75" s="365"/>
      <c r="C75" s="365"/>
      <c r="D75" s="365"/>
    </row>
    <row r="76" spans="1:12" ht="12.75" customHeight="1">
      <c r="B76" s="365"/>
      <c r="C76" s="365"/>
      <c r="D76" s="365"/>
    </row>
    <row r="77" spans="1:12" ht="12.75" customHeight="1">
      <c r="B77" s="365"/>
      <c r="C77" s="365"/>
      <c r="D77" s="365"/>
    </row>
    <row r="78" spans="1:12" ht="12.75" customHeight="1">
      <c r="B78" s="365"/>
      <c r="C78" s="365"/>
      <c r="D78" s="365"/>
    </row>
    <row r="79" spans="1:12" ht="12.75" customHeight="1">
      <c r="B79" s="365"/>
      <c r="C79" s="365"/>
      <c r="D79" s="365"/>
    </row>
    <row r="80" spans="1:12" ht="12.75" customHeight="1">
      <c r="B80" s="365"/>
      <c r="C80" s="365"/>
      <c r="D80" s="365"/>
    </row>
    <row r="81" spans="2:4" ht="12.75" customHeight="1">
      <c r="B81" s="365"/>
      <c r="C81" s="365"/>
      <c r="D81" s="365"/>
    </row>
    <row r="82" spans="2:4" ht="12.75" customHeight="1">
      <c r="B82" s="365"/>
      <c r="C82" s="365"/>
      <c r="D82" s="365"/>
    </row>
    <row r="83" spans="2:4" ht="12.75" customHeight="1">
      <c r="B83" s="365"/>
      <c r="C83" s="365"/>
      <c r="D83" s="365"/>
    </row>
    <row r="84" spans="2:4" ht="12.75" customHeight="1">
      <c r="B84" s="365"/>
      <c r="C84" s="365"/>
      <c r="D84" s="365"/>
    </row>
    <row r="85" spans="2:4" ht="12.75" customHeight="1">
      <c r="B85" s="365"/>
      <c r="C85" s="365"/>
      <c r="D85" s="365"/>
    </row>
    <row r="86" spans="2:4" ht="12.75" customHeight="1">
      <c r="B86" s="365"/>
      <c r="C86" s="365"/>
      <c r="D86" s="365"/>
    </row>
    <row r="87" spans="2:4" ht="12.75" customHeight="1">
      <c r="B87" s="365"/>
      <c r="C87" s="365"/>
      <c r="D87" s="365"/>
    </row>
    <row r="88" spans="2:4" ht="12.75" customHeight="1">
      <c r="B88" s="365"/>
      <c r="C88" s="365"/>
      <c r="D88" s="365"/>
    </row>
    <row r="89" spans="2:4" ht="12.75" customHeight="1">
      <c r="B89" s="365"/>
      <c r="C89" s="365"/>
      <c r="D89" s="365"/>
    </row>
    <row r="90" spans="2:4" ht="12.75" customHeight="1">
      <c r="B90" s="365"/>
      <c r="C90" s="365"/>
      <c r="D90" s="365"/>
    </row>
    <row r="91" spans="2:4" ht="12.75" customHeight="1">
      <c r="B91" s="365"/>
      <c r="C91" s="365"/>
      <c r="D91" s="365"/>
    </row>
    <row r="92" spans="2:4" ht="12.75" customHeight="1">
      <c r="B92" s="365"/>
      <c r="C92" s="365"/>
      <c r="D92" s="365"/>
    </row>
    <row r="93" spans="2:4" ht="12.75" customHeight="1">
      <c r="B93" s="365"/>
      <c r="C93" s="365"/>
      <c r="D93" s="365"/>
    </row>
    <row r="94" spans="2:4" ht="12.75" customHeight="1">
      <c r="B94" s="365"/>
      <c r="C94" s="365"/>
      <c r="D94" s="365"/>
    </row>
    <row r="95" spans="2:4" ht="12.75" customHeight="1">
      <c r="B95" s="365"/>
      <c r="C95" s="365"/>
      <c r="D95" s="365"/>
    </row>
    <row r="96" spans="2:4" ht="12.75" customHeight="1">
      <c r="B96" s="365"/>
      <c r="C96" s="365"/>
      <c r="D96" s="365"/>
    </row>
    <row r="97" spans="2:4" ht="12.75" customHeight="1">
      <c r="B97" s="365"/>
      <c r="C97" s="365"/>
      <c r="D97" s="365"/>
    </row>
    <row r="98" spans="2:4" ht="12.75" customHeight="1">
      <c r="B98" s="365"/>
      <c r="C98" s="365"/>
      <c r="D98" s="365"/>
    </row>
    <row r="99" spans="2:4" ht="12.75" customHeight="1">
      <c r="B99" s="365"/>
      <c r="C99" s="365"/>
      <c r="D99" s="365"/>
    </row>
    <row r="100" spans="2:4" ht="12.75" customHeight="1">
      <c r="B100" s="365"/>
      <c r="C100" s="365"/>
      <c r="D100" s="365"/>
    </row>
    <row r="101" spans="2:4" ht="12.75" customHeight="1">
      <c r="B101" s="365"/>
      <c r="C101" s="365"/>
      <c r="D101" s="365"/>
    </row>
    <row r="102" spans="2:4" ht="12.75" customHeight="1">
      <c r="B102" s="365"/>
      <c r="C102" s="365"/>
      <c r="D102" s="365"/>
    </row>
    <row r="103" spans="2:4" ht="12.75" customHeight="1">
      <c r="B103" s="365"/>
      <c r="C103" s="365"/>
      <c r="D103" s="365"/>
    </row>
    <row r="104" spans="2:4" ht="12.75" customHeight="1">
      <c r="B104" s="365"/>
      <c r="C104" s="365"/>
      <c r="D104" s="365"/>
    </row>
    <row r="105" spans="2:4" ht="12.75" customHeight="1">
      <c r="B105" s="365"/>
      <c r="C105" s="365"/>
      <c r="D105" s="365"/>
    </row>
    <row r="106" spans="2:4" ht="12.75" customHeight="1">
      <c r="B106" s="365"/>
      <c r="C106" s="365"/>
      <c r="D106" s="365"/>
    </row>
    <row r="107" spans="2:4" ht="12.75" customHeight="1">
      <c r="B107" s="365"/>
      <c r="C107" s="365"/>
      <c r="D107" s="365"/>
    </row>
    <row r="108" spans="2:4" ht="12.75" customHeight="1">
      <c r="B108" s="365"/>
      <c r="C108" s="365"/>
      <c r="D108" s="365"/>
    </row>
    <row r="109" spans="2:4" ht="12.75" customHeight="1">
      <c r="B109" s="365"/>
      <c r="C109" s="365"/>
      <c r="D109" s="365"/>
    </row>
    <row r="110" spans="2:4" ht="12.75" customHeight="1">
      <c r="B110" s="365"/>
      <c r="C110" s="365"/>
      <c r="D110" s="365"/>
    </row>
    <row r="111" spans="2:4" ht="12.75" customHeight="1">
      <c r="B111" s="365"/>
      <c r="C111" s="365"/>
      <c r="D111" s="365"/>
    </row>
    <row r="112" spans="2:4" ht="12.75" customHeight="1">
      <c r="B112" s="365"/>
      <c r="C112" s="365"/>
      <c r="D112" s="365"/>
    </row>
    <row r="113" spans="2:4" ht="12.75" customHeight="1">
      <c r="B113" s="365"/>
      <c r="C113" s="365"/>
      <c r="D113" s="365"/>
    </row>
    <row r="114" spans="2:4" ht="12.75" customHeight="1">
      <c r="B114" s="365"/>
      <c r="C114" s="365"/>
      <c r="D114" s="365"/>
    </row>
    <row r="115" spans="2:4" ht="12.75" customHeight="1">
      <c r="B115" s="365"/>
      <c r="C115" s="365"/>
      <c r="D115" s="365"/>
    </row>
    <row r="116" spans="2:4" ht="12.75" customHeight="1">
      <c r="B116" s="365"/>
      <c r="C116" s="365"/>
      <c r="D116" s="365"/>
    </row>
    <row r="117" spans="2:4" ht="12.75" customHeight="1">
      <c r="B117" s="365"/>
      <c r="C117" s="365"/>
      <c r="D117" s="365"/>
    </row>
    <row r="118" spans="2:4" ht="12.75" customHeight="1">
      <c r="B118" s="365"/>
      <c r="C118" s="365"/>
      <c r="D118" s="365"/>
    </row>
    <row r="119" spans="2:4" ht="12.75" customHeight="1">
      <c r="B119" s="365"/>
      <c r="C119" s="365"/>
      <c r="D119" s="365"/>
    </row>
    <row r="120" spans="2:4" ht="12.75" customHeight="1">
      <c r="B120" s="365"/>
      <c r="C120" s="365"/>
      <c r="D120" s="365"/>
    </row>
    <row r="121" spans="2:4" ht="12.75" customHeight="1">
      <c r="B121" s="365"/>
      <c r="C121" s="365"/>
      <c r="D121" s="365"/>
    </row>
    <row r="122" spans="2:4" ht="12.75" customHeight="1">
      <c r="B122" s="365"/>
      <c r="C122" s="365"/>
      <c r="D122" s="365"/>
    </row>
    <row r="123" spans="2:4" ht="12.75" customHeight="1">
      <c r="B123" s="365"/>
      <c r="C123" s="365"/>
      <c r="D123" s="365"/>
    </row>
    <row r="124" spans="2:4" ht="12.75" customHeight="1">
      <c r="B124" s="365"/>
      <c r="C124" s="365"/>
      <c r="D124" s="365"/>
    </row>
    <row r="125" spans="2:4" ht="12.75" customHeight="1">
      <c r="B125" s="365"/>
      <c r="C125" s="365"/>
      <c r="D125" s="365"/>
    </row>
    <row r="126" spans="2:4" ht="12.75" customHeight="1">
      <c r="B126" s="365"/>
      <c r="C126" s="365"/>
      <c r="D126" s="365"/>
    </row>
    <row r="127" spans="2:4" ht="12.75" customHeight="1">
      <c r="B127" s="365"/>
      <c r="C127" s="365"/>
      <c r="D127" s="365"/>
    </row>
    <row r="128" spans="2:4" ht="12.75" customHeight="1">
      <c r="B128" s="365"/>
      <c r="C128" s="365"/>
      <c r="D128" s="365"/>
    </row>
    <row r="129" spans="2:4" ht="12.75" customHeight="1">
      <c r="B129" s="365"/>
      <c r="C129" s="365"/>
      <c r="D129" s="365"/>
    </row>
    <row r="130" spans="2:4" ht="12.75" customHeight="1">
      <c r="B130" s="365"/>
      <c r="C130" s="365"/>
      <c r="D130" s="365"/>
    </row>
    <row r="131" spans="2:4" ht="12.75" customHeight="1">
      <c r="B131" s="365"/>
      <c r="C131" s="365"/>
      <c r="D131" s="365"/>
    </row>
    <row r="132" spans="2:4" ht="12.75" customHeight="1">
      <c r="B132" s="365"/>
      <c r="C132" s="365"/>
      <c r="D132" s="365"/>
    </row>
    <row r="133" spans="2:4" ht="12.75" customHeight="1">
      <c r="B133" s="365"/>
      <c r="C133" s="365"/>
      <c r="D133" s="365"/>
    </row>
    <row r="134" spans="2:4" ht="12.75" customHeight="1">
      <c r="B134" s="365"/>
      <c r="C134" s="365"/>
      <c r="D134" s="365"/>
    </row>
    <row r="135" spans="2:4" ht="12.75" customHeight="1">
      <c r="B135" s="365"/>
      <c r="C135" s="365"/>
      <c r="D135" s="365"/>
    </row>
    <row r="136" spans="2:4" ht="12.75" customHeight="1">
      <c r="B136" s="365"/>
      <c r="C136" s="365"/>
      <c r="D136" s="365"/>
    </row>
    <row r="137" spans="2:4" ht="12.75" customHeight="1">
      <c r="B137" s="365"/>
      <c r="C137" s="365"/>
      <c r="D137" s="365"/>
    </row>
    <row r="138" spans="2:4" ht="12.75" customHeight="1">
      <c r="B138" s="365"/>
      <c r="C138" s="365"/>
      <c r="D138" s="365"/>
    </row>
    <row r="139" spans="2:4" ht="12.75" customHeight="1">
      <c r="B139" s="365"/>
      <c r="C139" s="365"/>
      <c r="D139" s="365"/>
    </row>
    <row r="140" spans="2:4" ht="12.75" customHeight="1">
      <c r="B140" s="365"/>
      <c r="C140" s="365"/>
      <c r="D140" s="365"/>
    </row>
    <row r="141" spans="2:4" ht="12.75" customHeight="1">
      <c r="B141" s="365"/>
      <c r="C141" s="365"/>
      <c r="D141" s="365"/>
    </row>
    <row r="142" spans="2:4" ht="12.75" customHeight="1">
      <c r="B142" s="365"/>
      <c r="C142" s="365"/>
      <c r="D142" s="365"/>
    </row>
    <row r="143" spans="2:4" ht="12.75" customHeight="1">
      <c r="B143" s="365"/>
      <c r="C143" s="365"/>
      <c r="D143" s="365"/>
    </row>
    <row r="144" spans="2:4" ht="12.75" customHeight="1">
      <c r="B144" s="365"/>
      <c r="C144" s="365"/>
      <c r="D144" s="365"/>
    </row>
    <row r="145" spans="2:4" ht="12.75" customHeight="1">
      <c r="B145" s="365"/>
      <c r="C145" s="365"/>
      <c r="D145" s="365"/>
    </row>
    <row r="146" spans="2:4" ht="12.75" customHeight="1">
      <c r="B146" s="365"/>
      <c r="C146" s="365"/>
      <c r="D146" s="365"/>
    </row>
    <row r="147" spans="2:4" ht="12.75" customHeight="1">
      <c r="B147" s="365"/>
      <c r="C147" s="365"/>
      <c r="D147" s="365"/>
    </row>
    <row r="148" spans="2:4" ht="12.75" customHeight="1">
      <c r="B148" s="365"/>
      <c r="C148" s="365"/>
      <c r="D148" s="365"/>
    </row>
    <row r="149" spans="2:4" ht="12.75" customHeight="1">
      <c r="B149" s="365"/>
      <c r="C149" s="365"/>
      <c r="D149" s="365"/>
    </row>
    <row r="150" spans="2:4" ht="12.75" customHeight="1">
      <c r="B150" s="365"/>
      <c r="C150" s="365"/>
      <c r="D150" s="365"/>
    </row>
    <row r="151" spans="2:4" ht="12.75" customHeight="1">
      <c r="B151" s="365"/>
      <c r="C151" s="365"/>
      <c r="D151" s="365"/>
    </row>
    <row r="152" spans="2:4" ht="12.75" customHeight="1">
      <c r="B152" s="365"/>
      <c r="C152" s="365"/>
      <c r="D152" s="365"/>
    </row>
    <row r="153" spans="2:4" ht="12.75" customHeight="1">
      <c r="B153" s="365"/>
      <c r="C153" s="365"/>
      <c r="D153" s="365"/>
    </row>
    <row r="154" spans="2:4" ht="12.75" customHeight="1">
      <c r="B154" s="365"/>
      <c r="C154" s="365"/>
      <c r="D154" s="365"/>
    </row>
    <row r="155" spans="2:4" ht="12.75" customHeight="1">
      <c r="B155" s="365"/>
      <c r="C155" s="365"/>
      <c r="D155" s="365"/>
    </row>
    <row r="156" spans="2:4" ht="12.75" customHeight="1">
      <c r="B156" s="365"/>
      <c r="C156" s="365"/>
      <c r="D156" s="365"/>
    </row>
    <row r="157" spans="2:4" ht="12.75" customHeight="1">
      <c r="B157" s="365"/>
      <c r="C157" s="365"/>
      <c r="D157" s="365"/>
    </row>
    <row r="158" spans="2:4" ht="12.75" customHeight="1">
      <c r="B158" s="365"/>
      <c r="C158" s="365"/>
      <c r="D158" s="365"/>
    </row>
    <row r="159" spans="2:4" ht="12.75" customHeight="1">
      <c r="B159" s="365"/>
      <c r="C159" s="365"/>
      <c r="D159" s="365"/>
    </row>
    <row r="160" spans="2:4" ht="12.75" customHeight="1">
      <c r="B160" s="365"/>
      <c r="C160" s="365"/>
      <c r="D160" s="365"/>
    </row>
    <row r="161" spans="2:4" ht="12.75" customHeight="1">
      <c r="B161" s="365"/>
      <c r="C161" s="365"/>
      <c r="D161" s="365"/>
    </row>
    <row r="162" spans="2:4" ht="12.75" customHeight="1">
      <c r="B162" s="365"/>
      <c r="C162" s="365"/>
      <c r="D162" s="365"/>
    </row>
    <row r="163" spans="2:4" ht="12.75" customHeight="1">
      <c r="B163" s="365"/>
      <c r="C163" s="365"/>
      <c r="D163" s="365"/>
    </row>
    <row r="164" spans="2:4" ht="12.75" customHeight="1">
      <c r="B164" s="365"/>
      <c r="C164" s="365"/>
      <c r="D164" s="365"/>
    </row>
    <row r="165" spans="2:4" ht="12.75" customHeight="1">
      <c r="B165" s="365"/>
      <c r="C165" s="365"/>
      <c r="D165" s="365"/>
    </row>
    <row r="166" spans="2:4" ht="12.75" customHeight="1">
      <c r="B166" s="365"/>
      <c r="C166" s="365"/>
      <c r="D166" s="365"/>
    </row>
    <row r="167" spans="2:4" ht="12.75" customHeight="1">
      <c r="B167" s="365"/>
      <c r="C167" s="365"/>
      <c r="D167" s="365"/>
    </row>
    <row r="168" spans="2:4" ht="12.75" customHeight="1">
      <c r="B168" s="365"/>
      <c r="C168" s="365"/>
      <c r="D168" s="365"/>
    </row>
    <row r="169" spans="2:4" ht="12.75" customHeight="1">
      <c r="B169" s="365"/>
      <c r="C169" s="365"/>
      <c r="D169" s="365"/>
    </row>
    <row r="170" spans="2:4" ht="12.75" customHeight="1">
      <c r="B170" s="365"/>
      <c r="C170" s="365"/>
      <c r="D170" s="365"/>
    </row>
    <row r="171" spans="2:4" ht="12.75" customHeight="1">
      <c r="B171" s="365"/>
      <c r="C171" s="365"/>
      <c r="D171" s="365"/>
    </row>
    <row r="172" spans="2:4" ht="12.75" customHeight="1">
      <c r="B172" s="365"/>
      <c r="C172" s="365"/>
      <c r="D172" s="365"/>
    </row>
    <row r="173" spans="2:4" ht="12.75" customHeight="1">
      <c r="B173" s="365"/>
      <c r="C173" s="365"/>
      <c r="D173" s="365"/>
    </row>
    <row r="174" spans="2:4" ht="12.75" customHeight="1">
      <c r="B174" s="365"/>
      <c r="C174" s="365"/>
      <c r="D174" s="365"/>
    </row>
    <row r="175" spans="2:4" ht="12.75" customHeight="1">
      <c r="B175" s="365"/>
      <c r="C175" s="365"/>
      <c r="D175" s="365"/>
    </row>
    <row r="176" spans="2:4" ht="12.75" customHeight="1">
      <c r="B176" s="365"/>
      <c r="C176" s="365"/>
      <c r="D176" s="365"/>
    </row>
    <row r="177" spans="2:4" ht="12.75" customHeight="1">
      <c r="B177" s="365"/>
      <c r="C177" s="365"/>
      <c r="D177" s="365"/>
    </row>
    <row r="178" spans="2:4" ht="12.75" customHeight="1">
      <c r="B178" s="365"/>
      <c r="C178" s="365"/>
      <c r="D178" s="365"/>
    </row>
    <row r="179" spans="2:4" ht="12.75" customHeight="1">
      <c r="B179" s="365"/>
      <c r="C179" s="365"/>
      <c r="D179" s="365"/>
    </row>
    <row r="180" spans="2:4" ht="12.75" customHeight="1">
      <c r="B180" s="365"/>
      <c r="C180" s="365"/>
      <c r="D180" s="365"/>
    </row>
    <row r="181" spans="2:4" ht="12.75" customHeight="1">
      <c r="B181" s="365"/>
      <c r="C181" s="365"/>
      <c r="D181" s="365"/>
    </row>
    <row r="182" spans="2:4" ht="12.75" customHeight="1">
      <c r="B182" s="365"/>
      <c r="C182" s="365"/>
      <c r="D182" s="365"/>
    </row>
    <row r="183" spans="2:4" ht="12.75" customHeight="1">
      <c r="B183" s="365"/>
      <c r="C183" s="365"/>
      <c r="D183" s="365"/>
    </row>
    <row r="184" spans="2:4" ht="12.75" customHeight="1">
      <c r="B184" s="365"/>
      <c r="C184" s="365"/>
      <c r="D184" s="365"/>
    </row>
    <row r="185" spans="2:4" ht="12.75" customHeight="1">
      <c r="B185" s="365"/>
      <c r="C185" s="365"/>
      <c r="D185" s="365"/>
    </row>
    <row r="186" spans="2:4" ht="12.75" customHeight="1">
      <c r="B186" s="365"/>
      <c r="C186" s="365"/>
      <c r="D186" s="365"/>
    </row>
    <row r="187" spans="2:4" ht="12.75" customHeight="1">
      <c r="B187" s="365"/>
      <c r="C187" s="365"/>
      <c r="D187" s="365"/>
    </row>
    <row r="188" spans="2:4" ht="12.75" customHeight="1">
      <c r="B188" s="365"/>
      <c r="C188" s="365"/>
      <c r="D188" s="365"/>
    </row>
    <row r="189" spans="2:4" ht="12.75" customHeight="1">
      <c r="B189" s="365"/>
      <c r="C189" s="365"/>
      <c r="D189" s="365"/>
    </row>
    <row r="190" spans="2:4" ht="12.75" customHeight="1">
      <c r="B190" s="365"/>
      <c r="C190" s="365"/>
      <c r="D190" s="365"/>
    </row>
    <row r="191" spans="2:4" ht="12.75" customHeight="1">
      <c r="B191" s="365"/>
      <c r="C191" s="365"/>
      <c r="D191" s="365"/>
    </row>
    <row r="192" spans="2:4" ht="12.75" customHeight="1">
      <c r="B192" s="365"/>
      <c r="C192" s="365"/>
      <c r="D192" s="365"/>
    </row>
    <row r="193" spans="2:4" ht="12.75" customHeight="1">
      <c r="B193" s="365"/>
      <c r="C193" s="365"/>
      <c r="D193" s="365"/>
    </row>
    <row r="194" spans="2:4" ht="12.75" customHeight="1">
      <c r="B194" s="365"/>
      <c r="C194" s="365"/>
      <c r="D194" s="365"/>
    </row>
    <row r="195" spans="2:4" ht="12.75" customHeight="1">
      <c r="B195" s="365"/>
      <c r="C195" s="365"/>
      <c r="D195" s="365"/>
    </row>
    <row r="196" spans="2:4" ht="12.75" customHeight="1">
      <c r="B196" s="365"/>
      <c r="C196" s="365"/>
      <c r="D196" s="365"/>
    </row>
    <row r="197" spans="2:4" ht="12.75" customHeight="1">
      <c r="B197" s="365"/>
      <c r="C197" s="365"/>
      <c r="D197" s="365"/>
    </row>
    <row r="198" spans="2:4" ht="12.75" customHeight="1">
      <c r="B198" s="365"/>
      <c r="C198" s="365"/>
      <c r="D198" s="365"/>
    </row>
    <row r="199" spans="2:4" ht="12.75" customHeight="1">
      <c r="B199" s="365"/>
      <c r="C199" s="365"/>
      <c r="D199" s="365"/>
    </row>
    <row r="200" spans="2:4" ht="12.75" customHeight="1">
      <c r="B200" s="365"/>
      <c r="C200" s="365"/>
      <c r="D200" s="365"/>
    </row>
    <row r="201" spans="2:4" ht="12.75" customHeight="1">
      <c r="B201" s="365"/>
      <c r="C201" s="365"/>
      <c r="D201" s="365"/>
    </row>
    <row r="202" spans="2:4" ht="12.75" customHeight="1">
      <c r="B202" s="365"/>
      <c r="C202" s="365"/>
      <c r="D202" s="365"/>
    </row>
    <row r="203" spans="2:4" ht="12.75" customHeight="1">
      <c r="B203" s="365"/>
      <c r="C203" s="365"/>
      <c r="D203" s="365"/>
    </row>
    <row r="204" spans="2:4" ht="12.75" customHeight="1">
      <c r="B204" s="365"/>
      <c r="C204" s="365"/>
      <c r="D204" s="365"/>
    </row>
    <row r="205" spans="2:4" ht="12.75" customHeight="1">
      <c r="B205" s="365"/>
      <c r="C205" s="365"/>
      <c r="D205" s="365"/>
    </row>
    <row r="206" spans="2:4" ht="12.75" customHeight="1">
      <c r="B206" s="365"/>
      <c r="C206" s="365"/>
      <c r="D206" s="365"/>
    </row>
    <row r="207" spans="2:4" ht="12.75" customHeight="1">
      <c r="B207" s="365"/>
      <c r="C207" s="365"/>
      <c r="D207" s="365"/>
    </row>
    <row r="208" spans="2:4" ht="12.75" customHeight="1">
      <c r="B208" s="365"/>
      <c r="C208" s="365"/>
      <c r="D208" s="365"/>
    </row>
    <row r="209" spans="2:4" ht="12.75" customHeight="1">
      <c r="B209" s="365"/>
      <c r="C209" s="365"/>
      <c r="D209" s="365"/>
    </row>
    <row r="210" spans="2:4" ht="12.75" customHeight="1">
      <c r="B210" s="365"/>
      <c r="C210" s="365"/>
      <c r="D210" s="365"/>
    </row>
    <row r="211" spans="2:4" ht="12.75" customHeight="1">
      <c r="B211" s="365"/>
      <c r="C211" s="365"/>
      <c r="D211" s="365"/>
    </row>
    <row r="212" spans="2:4" ht="12.75" customHeight="1">
      <c r="B212" s="365"/>
      <c r="C212" s="365"/>
      <c r="D212" s="365"/>
    </row>
    <row r="213" spans="2:4" ht="12.75" customHeight="1">
      <c r="B213" s="365"/>
      <c r="C213" s="365"/>
      <c r="D213" s="365"/>
    </row>
    <row r="214" spans="2:4" ht="12.75" customHeight="1">
      <c r="B214" s="365"/>
      <c r="C214" s="365"/>
      <c r="D214" s="365"/>
    </row>
    <row r="215" spans="2:4" ht="12.75" customHeight="1">
      <c r="B215" s="365"/>
      <c r="C215" s="365"/>
      <c r="D215" s="365"/>
    </row>
    <row r="216" spans="2:4" ht="12.75" customHeight="1">
      <c r="B216" s="365"/>
      <c r="C216" s="365"/>
      <c r="D216" s="365"/>
    </row>
    <row r="217" spans="2:4" ht="12.75" customHeight="1">
      <c r="B217" s="365"/>
      <c r="C217" s="365"/>
      <c r="D217" s="365"/>
    </row>
    <row r="218" spans="2:4" ht="12.75" customHeight="1">
      <c r="B218" s="365"/>
      <c r="C218" s="365"/>
      <c r="D218" s="365"/>
    </row>
    <row r="219" spans="2:4" ht="12.75" customHeight="1">
      <c r="B219" s="365"/>
      <c r="C219" s="365"/>
      <c r="D219" s="365"/>
    </row>
    <row r="220" spans="2:4" ht="12.75" customHeight="1">
      <c r="B220" s="365"/>
      <c r="C220" s="365"/>
      <c r="D220" s="365"/>
    </row>
    <row r="221" spans="2:4" ht="12.75" customHeight="1">
      <c r="B221" s="365"/>
      <c r="C221" s="365"/>
      <c r="D221" s="365"/>
    </row>
    <row r="222" spans="2:4" ht="12.75" customHeight="1">
      <c r="B222" s="365"/>
      <c r="C222" s="365"/>
      <c r="D222" s="365"/>
    </row>
    <row r="223" spans="2:4" ht="12.75" customHeight="1">
      <c r="B223" s="365"/>
      <c r="C223" s="365"/>
      <c r="D223" s="365"/>
    </row>
    <row r="224" spans="2:4" ht="12.75" customHeight="1">
      <c r="B224" s="365"/>
      <c r="C224" s="365"/>
      <c r="D224" s="365"/>
    </row>
    <row r="225" spans="2:4" ht="12.75" customHeight="1">
      <c r="B225" s="365"/>
      <c r="C225" s="365"/>
      <c r="D225" s="365"/>
    </row>
    <row r="226" spans="2:4" ht="12.75" customHeight="1">
      <c r="B226" s="365"/>
      <c r="C226" s="365"/>
      <c r="D226" s="365"/>
    </row>
    <row r="227" spans="2:4" ht="12.75" customHeight="1">
      <c r="B227" s="365"/>
      <c r="C227" s="365"/>
      <c r="D227" s="365"/>
    </row>
    <row r="228" spans="2:4" ht="12.75" customHeight="1">
      <c r="B228" s="365"/>
      <c r="C228" s="365"/>
      <c r="D228" s="365"/>
    </row>
    <row r="229" spans="2:4" ht="12.75" customHeight="1">
      <c r="B229" s="365"/>
      <c r="C229" s="365"/>
      <c r="D229" s="365"/>
    </row>
    <row r="230" spans="2:4" ht="12.75" customHeight="1">
      <c r="B230" s="365"/>
      <c r="C230" s="365"/>
      <c r="D230" s="365"/>
    </row>
    <row r="231" spans="2:4" ht="12.75" customHeight="1">
      <c r="B231" s="365"/>
      <c r="C231" s="365"/>
      <c r="D231" s="365"/>
    </row>
    <row r="232" spans="2:4" ht="12.75" customHeight="1">
      <c r="B232" s="365"/>
      <c r="C232" s="365"/>
      <c r="D232" s="365"/>
    </row>
    <row r="233" spans="2:4" ht="12.75" customHeight="1">
      <c r="B233" s="365"/>
      <c r="C233" s="365"/>
      <c r="D233" s="365"/>
    </row>
    <row r="234" spans="2:4" ht="12.75" customHeight="1">
      <c r="B234" s="365"/>
      <c r="C234" s="365"/>
      <c r="D234" s="365"/>
    </row>
    <row r="235" spans="2:4" ht="12.75" customHeight="1">
      <c r="B235" s="365"/>
      <c r="C235" s="365"/>
      <c r="D235" s="365"/>
    </row>
    <row r="236" spans="2:4" ht="12.75" customHeight="1">
      <c r="B236" s="365"/>
      <c r="C236" s="365"/>
      <c r="D236" s="365"/>
    </row>
    <row r="237" spans="2:4" ht="12.75" customHeight="1">
      <c r="B237" s="365"/>
      <c r="C237" s="365"/>
      <c r="D237" s="365"/>
    </row>
    <row r="238" spans="2:4" ht="12.75" customHeight="1">
      <c r="B238" s="365"/>
      <c r="C238" s="365"/>
      <c r="D238" s="365"/>
    </row>
    <row r="239" spans="2:4" ht="12.75" customHeight="1">
      <c r="B239" s="365"/>
      <c r="C239" s="365"/>
      <c r="D239" s="365"/>
    </row>
    <row r="240" spans="2:4" ht="12.75" customHeight="1">
      <c r="B240" s="365"/>
      <c r="C240" s="365"/>
      <c r="D240" s="365"/>
    </row>
    <row r="241" spans="2:4" ht="12.75" customHeight="1">
      <c r="B241" s="365"/>
      <c r="C241" s="365"/>
      <c r="D241" s="365"/>
    </row>
    <row r="242" spans="2:4" ht="12.75" customHeight="1">
      <c r="B242" s="365"/>
      <c r="C242" s="365"/>
      <c r="D242" s="365"/>
    </row>
    <row r="243" spans="2:4" ht="12.75" customHeight="1">
      <c r="B243" s="365"/>
      <c r="C243" s="365"/>
      <c r="D243" s="365"/>
    </row>
    <row r="244" spans="2:4" ht="12.75" customHeight="1">
      <c r="B244" s="365"/>
      <c r="C244" s="365"/>
      <c r="D244" s="365"/>
    </row>
    <row r="245" spans="2:4" ht="12.75" customHeight="1">
      <c r="B245" s="365"/>
      <c r="C245" s="365"/>
      <c r="D245" s="365"/>
    </row>
    <row r="246" spans="2:4" ht="12.75" customHeight="1">
      <c r="B246" s="365"/>
      <c r="C246" s="365"/>
      <c r="D246" s="365"/>
    </row>
    <row r="247" spans="2:4" ht="12.75" customHeight="1">
      <c r="B247" s="365"/>
      <c r="C247" s="365"/>
      <c r="D247" s="365"/>
    </row>
    <row r="248" spans="2:4" ht="12.75" customHeight="1">
      <c r="B248" s="365"/>
      <c r="C248" s="365"/>
      <c r="D248" s="365"/>
    </row>
    <row r="249" spans="2:4" ht="12.75" customHeight="1">
      <c r="B249" s="365"/>
      <c r="C249" s="365"/>
      <c r="D249" s="365"/>
    </row>
    <row r="250" spans="2:4" ht="12.75" customHeight="1">
      <c r="B250" s="365"/>
      <c r="C250" s="365"/>
      <c r="D250" s="365"/>
    </row>
    <row r="251" spans="2:4" ht="12.75" customHeight="1">
      <c r="B251" s="365"/>
      <c r="C251" s="365"/>
      <c r="D251" s="365"/>
    </row>
    <row r="252" spans="2:4" ht="12.75" customHeight="1">
      <c r="B252" s="365"/>
      <c r="C252" s="365"/>
      <c r="D252" s="365"/>
    </row>
    <row r="253" spans="2:4" ht="12.75" customHeight="1">
      <c r="B253" s="365"/>
      <c r="C253" s="365"/>
      <c r="D253" s="365"/>
    </row>
    <row r="254" spans="2:4" ht="12.75" customHeight="1">
      <c r="B254" s="365"/>
      <c r="C254" s="365"/>
      <c r="D254" s="365"/>
    </row>
    <row r="255" spans="2:4" ht="12.75" customHeight="1">
      <c r="B255" s="365"/>
      <c r="C255" s="365"/>
      <c r="D255" s="365"/>
    </row>
    <row r="256" spans="2:4" ht="12.75" customHeight="1">
      <c r="B256" s="365"/>
      <c r="C256" s="365"/>
      <c r="D256" s="365"/>
    </row>
    <row r="257" spans="2:4" ht="12.75" customHeight="1">
      <c r="B257" s="365"/>
      <c r="C257" s="365"/>
      <c r="D257" s="365"/>
    </row>
    <row r="258" spans="2:4" ht="12.75" customHeight="1">
      <c r="B258" s="365"/>
      <c r="C258" s="365"/>
      <c r="D258" s="365"/>
    </row>
    <row r="259" spans="2:4" ht="12.75" customHeight="1">
      <c r="B259" s="365"/>
      <c r="C259" s="365"/>
      <c r="D259" s="365"/>
    </row>
    <row r="260" spans="2:4" ht="12.75" customHeight="1">
      <c r="B260" s="365"/>
      <c r="C260" s="365"/>
      <c r="D260" s="365"/>
    </row>
    <row r="261" spans="2:4" ht="12.75" customHeight="1">
      <c r="B261" s="365"/>
      <c r="C261" s="365"/>
      <c r="D261" s="365"/>
    </row>
    <row r="262" spans="2:4" ht="12.75" customHeight="1">
      <c r="B262" s="365"/>
      <c r="C262" s="365"/>
      <c r="D262" s="365"/>
    </row>
    <row r="263" spans="2:4" ht="12.75" customHeight="1">
      <c r="B263" s="365"/>
      <c r="C263" s="365"/>
      <c r="D263" s="365"/>
    </row>
    <row r="264" spans="2:4" ht="12.75" customHeight="1">
      <c r="B264" s="365"/>
      <c r="C264" s="365"/>
      <c r="D264" s="365"/>
    </row>
    <row r="265" spans="2:4" ht="12.75" customHeight="1">
      <c r="B265" s="365"/>
      <c r="C265" s="365"/>
      <c r="D265" s="365"/>
    </row>
    <row r="266" spans="2:4" ht="12.75" customHeight="1">
      <c r="B266" s="365"/>
      <c r="C266" s="365"/>
      <c r="D266" s="365"/>
    </row>
    <row r="267" spans="2:4" ht="12.75" customHeight="1">
      <c r="B267" s="365"/>
      <c r="C267" s="365"/>
      <c r="D267" s="365"/>
    </row>
    <row r="268" spans="2:4" ht="12.75" customHeight="1">
      <c r="B268" s="365"/>
      <c r="C268" s="365"/>
      <c r="D268" s="365"/>
    </row>
    <row r="269" spans="2:4" ht="12.75" customHeight="1">
      <c r="B269" s="365"/>
      <c r="C269" s="365"/>
      <c r="D269" s="365"/>
    </row>
    <row r="270" spans="2:4" ht="12.75" customHeight="1">
      <c r="B270" s="365"/>
      <c r="C270" s="365"/>
      <c r="D270" s="365"/>
    </row>
    <row r="271" spans="2:4" ht="12.75" customHeight="1">
      <c r="B271" s="365"/>
      <c r="C271" s="365"/>
      <c r="D271" s="365"/>
    </row>
    <row r="272" spans="2:4" ht="12.75" customHeight="1">
      <c r="B272" s="365"/>
      <c r="C272" s="365"/>
      <c r="D272" s="365"/>
    </row>
    <row r="273" spans="2:4" ht="12.75" customHeight="1">
      <c r="B273" s="365"/>
      <c r="C273" s="365"/>
      <c r="D273" s="365"/>
    </row>
    <row r="274" spans="2:4" ht="12.75" customHeight="1">
      <c r="B274" s="365"/>
      <c r="C274" s="365"/>
      <c r="D274" s="365"/>
    </row>
    <row r="275" spans="2:4" ht="12.75" customHeight="1">
      <c r="B275" s="365"/>
      <c r="C275" s="365"/>
      <c r="D275" s="365"/>
    </row>
    <row r="276" spans="2:4" ht="12.75" customHeight="1">
      <c r="B276" s="365"/>
      <c r="C276" s="365"/>
      <c r="D276" s="365"/>
    </row>
    <row r="277" spans="2:4" ht="12.75" customHeight="1">
      <c r="B277" s="365"/>
      <c r="C277" s="365"/>
      <c r="D277" s="365"/>
    </row>
    <row r="278" spans="2:4" ht="12.75" customHeight="1">
      <c r="B278" s="365"/>
      <c r="C278" s="365"/>
      <c r="D278" s="365"/>
    </row>
    <row r="279" spans="2:4" ht="12.75" customHeight="1">
      <c r="B279" s="365"/>
      <c r="C279" s="365"/>
      <c r="D279" s="365"/>
    </row>
    <row r="280" spans="2:4" ht="12.75" customHeight="1">
      <c r="B280" s="365"/>
      <c r="C280" s="365"/>
      <c r="D280" s="365"/>
    </row>
    <row r="281" spans="2:4" ht="12.75" customHeight="1">
      <c r="B281" s="365"/>
      <c r="C281" s="365"/>
      <c r="D281" s="365"/>
    </row>
    <row r="282" spans="2:4" ht="12.75" customHeight="1">
      <c r="B282" s="365"/>
      <c r="C282" s="365"/>
      <c r="D282" s="365"/>
    </row>
    <row r="283" spans="2:4" ht="12.75" customHeight="1">
      <c r="B283" s="365"/>
      <c r="C283" s="365"/>
      <c r="D283" s="365"/>
    </row>
    <row r="284" spans="2:4" ht="12.75" customHeight="1">
      <c r="B284" s="365"/>
      <c r="C284" s="365"/>
      <c r="D284" s="365"/>
    </row>
    <row r="285" spans="2:4" ht="12.75" customHeight="1">
      <c r="B285" s="365"/>
      <c r="C285" s="365"/>
      <c r="D285" s="365"/>
    </row>
    <row r="286" spans="2:4" ht="12.75" customHeight="1">
      <c r="B286" s="365"/>
      <c r="C286" s="365"/>
      <c r="D286" s="365"/>
    </row>
    <row r="287" spans="2:4" ht="12.75" customHeight="1">
      <c r="B287" s="365"/>
      <c r="C287" s="365"/>
      <c r="D287" s="365"/>
    </row>
    <row r="288" spans="2:4" ht="12.75" customHeight="1">
      <c r="B288" s="365"/>
      <c r="C288" s="365"/>
      <c r="D288" s="365"/>
    </row>
    <row r="289" spans="2:4" ht="12.75" customHeight="1">
      <c r="B289" s="365"/>
      <c r="C289" s="365"/>
      <c r="D289" s="365"/>
    </row>
    <row r="290" spans="2:4" ht="12.75" customHeight="1">
      <c r="B290" s="365"/>
      <c r="C290" s="365"/>
      <c r="D290" s="365"/>
    </row>
    <row r="291" spans="2:4" ht="12.75" customHeight="1">
      <c r="B291" s="365"/>
      <c r="C291" s="365"/>
      <c r="D291" s="365"/>
    </row>
    <row r="292" spans="2:4" ht="12.75" customHeight="1">
      <c r="B292" s="365"/>
      <c r="C292" s="365"/>
      <c r="D292" s="365"/>
    </row>
    <row r="293" spans="2:4" ht="12.75" customHeight="1">
      <c r="B293" s="365"/>
      <c r="C293" s="365"/>
      <c r="D293" s="365"/>
    </row>
    <row r="294" spans="2:4" ht="12.75" customHeight="1">
      <c r="B294" s="365"/>
      <c r="C294" s="365"/>
      <c r="D294" s="365"/>
    </row>
    <row r="295" spans="2:4" ht="12.75" customHeight="1">
      <c r="B295" s="365"/>
      <c r="C295" s="365"/>
      <c r="D295" s="365"/>
    </row>
    <row r="296" spans="2:4" ht="12.75" customHeight="1">
      <c r="B296" s="365"/>
      <c r="C296" s="365"/>
      <c r="D296" s="365"/>
    </row>
    <row r="297" spans="2:4" ht="12.75" customHeight="1">
      <c r="B297" s="365"/>
      <c r="C297" s="365"/>
      <c r="D297" s="365"/>
    </row>
    <row r="298" spans="2:4" ht="12.75" customHeight="1">
      <c r="B298" s="365"/>
      <c r="C298" s="365"/>
      <c r="D298" s="365"/>
    </row>
    <row r="299" spans="2:4" ht="12.75" customHeight="1">
      <c r="B299" s="365"/>
      <c r="C299" s="365"/>
      <c r="D299" s="365"/>
    </row>
    <row r="300" spans="2:4" ht="12.75" customHeight="1">
      <c r="B300" s="365"/>
      <c r="C300" s="365"/>
      <c r="D300" s="365"/>
    </row>
    <row r="301" spans="2:4" ht="12.75" customHeight="1">
      <c r="B301" s="365"/>
      <c r="C301" s="365"/>
      <c r="D301" s="365"/>
    </row>
    <row r="302" spans="2:4" ht="12.75" customHeight="1">
      <c r="B302" s="365"/>
      <c r="C302" s="365"/>
      <c r="D302" s="365"/>
    </row>
    <row r="303" spans="2:4" ht="12.75" customHeight="1">
      <c r="B303" s="365"/>
      <c r="C303" s="365"/>
      <c r="D303" s="365"/>
    </row>
    <row r="304" spans="2:4" ht="12.75" customHeight="1">
      <c r="B304" s="365"/>
      <c r="C304" s="365"/>
      <c r="D304" s="365"/>
    </row>
    <row r="305" spans="2:4" ht="12.75" customHeight="1">
      <c r="B305" s="365"/>
      <c r="C305" s="365"/>
      <c r="D305" s="365"/>
    </row>
    <row r="306" spans="2:4" ht="12.75" customHeight="1">
      <c r="B306" s="365"/>
      <c r="C306" s="365"/>
      <c r="D306" s="365"/>
    </row>
    <row r="307" spans="2:4" ht="12.75" customHeight="1">
      <c r="B307" s="365"/>
      <c r="C307" s="365"/>
      <c r="D307" s="365"/>
    </row>
    <row r="308" spans="2:4" ht="12.75" customHeight="1">
      <c r="B308" s="365"/>
      <c r="C308" s="365"/>
      <c r="D308" s="365"/>
    </row>
    <row r="309" spans="2:4" ht="12.75" customHeight="1">
      <c r="B309" s="365"/>
      <c r="C309" s="365"/>
      <c r="D309" s="365"/>
    </row>
    <row r="310" spans="2:4" ht="12.75" customHeight="1">
      <c r="B310" s="365"/>
      <c r="C310" s="365"/>
      <c r="D310" s="365"/>
    </row>
    <row r="311" spans="2:4" ht="12.75" customHeight="1">
      <c r="B311" s="365"/>
      <c r="C311" s="365"/>
      <c r="D311" s="365"/>
    </row>
    <row r="312" spans="2:4" ht="12.75" customHeight="1">
      <c r="B312" s="365"/>
      <c r="C312" s="365"/>
      <c r="D312" s="365"/>
    </row>
    <row r="313" spans="2:4" ht="12.75" customHeight="1">
      <c r="B313" s="365"/>
      <c r="C313" s="365"/>
      <c r="D313" s="365"/>
    </row>
    <row r="314" spans="2:4" ht="12.75" customHeight="1">
      <c r="B314" s="365"/>
      <c r="C314" s="365"/>
      <c r="D314" s="365"/>
    </row>
    <row r="315" spans="2:4" ht="12.75" customHeight="1">
      <c r="B315" s="365"/>
      <c r="C315" s="365"/>
      <c r="D315" s="365"/>
    </row>
    <row r="316" spans="2:4" ht="12.75" customHeight="1">
      <c r="B316" s="365"/>
      <c r="C316" s="365"/>
      <c r="D316" s="365"/>
    </row>
    <row r="317" spans="2:4" ht="12.75" customHeight="1">
      <c r="B317" s="365"/>
      <c r="C317" s="365"/>
      <c r="D317" s="365"/>
    </row>
    <row r="318" spans="2:4" ht="12.75" customHeight="1">
      <c r="B318" s="365"/>
      <c r="C318" s="365"/>
      <c r="D318" s="365"/>
    </row>
    <row r="319" spans="2:4" ht="12.75" customHeight="1">
      <c r="B319" s="365"/>
      <c r="C319" s="365"/>
      <c r="D319" s="365"/>
    </row>
    <row r="320" spans="2:4" ht="12.75" customHeight="1">
      <c r="B320" s="365"/>
      <c r="C320" s="365"/>
      <c r="D320" s="365"/>
    </row>
    <row r="321" spans="2:4" ht="12.75" customHeight="1">
      <c r="B321" s="365"/>
      <c r="C321" s="365"/>
      <c r="D321" s="365"/>
    </row>
    <row r="322" spans="2:4" ht="12.75" customHeight="1">
      <c r="B322" s="365"/>
      <c r="C322" s="365"/>
      <c r="D322" s="365"/>
    </row>
    <row r="323" spans="2:4" ht="12.75" customHeight="1">
      <c r="B323" s="365"/>
      <c r="C323" s="365"/>
      <c r="D323" s="365"/>
    </row>
    <row r="324" spans="2:4" ht="12.75" customHeight="1">
      <c r="B324" s="365"/>
      <c r="C324" s="365"/>
      <c r="D324" s="365"/>
    </row>
    <row r="325" spans="2:4" ht="12.75" customHeight="1">
      <c r="B325" s="365"/>
      <c r="C325" s="365"/>
      <c r="D325" s="365"/>
    </row>
    <row r="326" spans="2:4" ht="12.75" customHeight="1">
      <c r="B326" s="365"/>
      <c r="C326" s="365"/>
      <c r="D326" s="365"/>
    </row>
    <row r="327" spans="2:4" ht="12.75" customHeight="1">
      <c r="B327" s="365"/>
      <c r="C327" s="365"/>
      <c r="D327" s="365"/>
    </row>
    <row r="328" spans="2:4" ht="12.75" customHeight="1">
      <c r="B328" s="365"/>
      <c r="C328" s="365"/>
      <c r="D328" s="365"/>
    </row>
    <row r="329" spans="2:4" ht="12.75" customHeight="1">
      <c r="B329" s="365"/>
      <c r="C329" s="365"/>
      <c r="D329" s="365"/>
    </row>
    <row r="330" spans="2:4" ht="12.75" customHeight="1">
      <c r="B330" s="365"/>
      <c r="C330" s="365"/>
      <c r="D330" s="365"/>
    </row>
    <row r="331" spans="2:4" ht="12.75" customHeight="1">
      <c r="B331" s="365"/>
      <c r="C331" s="365"/>
      <c r="D331" s="365"/>
    </row>
    <row r="332" spans="2:4" ht="12.75" customHeight="1">
      <c r="B332" s="365"/>
      <c r="C332" s="365"/>
      <c r="D332" s="365"/>
    </row>
    <row r="333" spans="2:4" ht="12.75" customHeight="1">
      <c r="B333" s="365"/>
      <c r="C333" s="365"/>
      <c r="D333" s="365"/>
    </row>
    <row r="334" spans="2:4" ht="12.75" customHeight="1">
      <c r="B334" s="365"/>
      <c r="C334" s="365"/>
      <c r="D334" s="365"/>
    </row>
    <row r="335" spans="2:4" ht="12.75" customHeight="1">
      <c r="B335" s="365"/>
      <c r="C335" s="365"/>
      <c r="D335" s="365"/>
    </row>
    <row r="336" spans="2:4" ht="12.75" customHeight="1">
      <c r="B336" s="365"/>
      <c r="C336" s="365"/>
      <c r="D336" s="365"/>
    </row>
    <row r="337" spans="2:4" ht="12.75" customHeight="1">
      <c r="B337" s="365"/>
      <c r="C337" s="365"/>
      <c r="D337" s="365"/>
    </row>
    <row r="338" spans="2:4" ht="12.75" customHeight="1">
      <c r="B338" s="365"/>
      <c r="C338" s="365"/>
      <c r="D338" s="365"/>
    </row>
    <row r="339" spans="2:4" ht="12.75" customHeight="1">
      <c r="B339" s="365"/>
      <c r="C339" s="365"/>
      <c r="D339" s="365"/>
    </row>
    <row r="340" spans="2:4" ht="12.75" customHeight="1">
      <c r="B340" s="365"/>
      <c r="C340" s="365"/>
      <c r="D340" s="365"/>
    </row>
    <row r="341" spans="2:4" ht="12.75" customHeight="1">
      <c r="B341" s="365"/>
      <c r="C341" s="365"/>
      <c r="D341" s="365"/>
    </row>
    <row r="342" spans="2:4" ht="12.75" customHeight="1">
      <c r="B342" s="365"/>
      <c r="C342" s="365"/>
      <c r="D342" s="365"/>
    </row>
    <row r="343" spans="2:4" ht="12.75" customHeight="1">
      <c r="B343" s="365"/>
      <c r="C343" s="365"/>
      <c r="D343" s="365"/>
    </row>
    <row r="344" spans="2:4" ht="12.75" customHeight="1">
      <c r="B344" s="365"/>
      <c r="C344" s="365"/>
      <c r="D344" s="365"/>
    </row>
    <row r="345" spans="2:4" ht="12.75" customHeight="1">
      <c r="B345" s="365"/>
      <c r="C345" s="365"/>
      <c r="D345" s="365"/>
    </row>
    <row r="346" spans="2:4" ht="12.75" customHeight="1">
      <c r="B346" s="365"/>
      <c r="C346" s="365"/>
      <c r="D346" s="365"/>
    </row>
    <row r="347" spans="2:4" ht="12.75" customHeight="1">
      <c r="B347" s="365"/>
      <c r="C347" s="365"/>
      <c r="D347" s="365"/>
    </row>
    <row r="348" spans="2:4" ht="12.75" customHeight="1">
      <c r="B348" s="365"/>
      <c r="C348" s="365"/>
      <c r="D348" s="365"/>
    </row>
    <row r="349" spans="2:4" ht="12.75" customHeight="1">
      <c r="B349" s="365"/>
      <c r="C349" s="365"/>
      <c r="D349" s="365"/>
    </row>
    <row r="350" spans="2:4" ht="12.75" customHeight="1">
      <c r="B350" s="365"/>
      <c r="C350" s="365"/>
      <c r="D350" s="365"/>
    </row>
    <row r="351" spans="2:4" ht="12.75" customHeight="1">
      <c r="B351" s="365"/>
      <c r="C351" s="365"/>
      <c r="D351" s="365"/>
    </row>
    <row r="352" spans="2:4" ht="12.75" customHeight="1">
      <c r="B352" s="365"/>
      <c r="C352" s="365"/>
      <c r="D352" s="365"/>
    </row>
    <row r="353" spans="2:4" ht="12.75" customHeight="1">
      <c r="B353" s="365"/>
      <c r="C353" s="365"/>
      <c r="D353" s="365"/>
    </row>
    <row r="354" spans="2:4" ht="12.75" customHeight="1">
      <c r="B354" s="365"/>
      <c r="C354" s="365"/>
      <c r="D354" s="365"/>
    </row>
    <row r="355" spans="2:4" ht="12.75" customHeight="1">
      <c r="B355" s="365"/>
      <c r="C355" s="365"/>
      <c r="D355" s="365"/>
    </row>
    <row r="356" spans="2:4" ht="12.75" customHeight="1">
      <c r="B356" s="365"/>
      <c r="C356" s="365"/>
      <c r="D356" s="365"/>
    </row>
    <row r="357" spans="2:4" ht="12.75" customHeight="1">
      <c r="B357" s="365"/>
      <c r="C357" s="365"/>
      <c r="D357" s="365"/>
    </row>
    <row r="358" spans="2:4" ht="12.75" customHeight="1">
      <c r="B358" s="365"/>
      <c r="C358" s="365"/>
      <c r="D358" s="365"/>
    </row>
    <row r="359" spans="2:4" ht="12.75" customHeight="1">
      <c r="B359" s="365"/>
      <c r="C359" s="365"/>
      <c r="D359" s="365"/>
    </row>
    <row r="360" spans="2:4" ht="12.75" customHeight="1">
      <c r="B360" s="365"/>
      <c r="C360" s="365"/>
      <c r="D360" s="365"/>
    </row>
    <row r="361" spans="2:4" ht="12.75" customHeight="1">
      <c r="B361" s="365"/>
      <c r="C361" s="365"/>
      <c r="D361" s="365"/>
    </row>
  </sheetData>
  <mergeCells count="2">
    <mergeCell ref="A1:A2"/>
    <mergeCell ref="B1:K1"/>
  </mergeCells>
  <hyperlinks>
    <hyperlink ref="A68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I24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ColWidth="9.109375" defaultRowHeight="10.199999999999999"/>
  <cols>
    <col min="1" max="1" width="45.44140625" style="1" customWidth="1"/>
    <col min="2" max="2" width="15.6640625" style="216" customWidth="1"/>
    <col min="3" max="6" width="15.6640625" style="1" customWidth="1"/>
    <col min="7" max="9" width="14.5546875" style="1" bestFit="1" customWidth="1"/>
    <col min="10" max="16384" width="9.109375" style="1"/>
  </cols>
  <sheetData>
    <row r="1" spans="1:9" s="37" customFormat="1" ht="21" customHeight="1">
      <c r="A1" s="190" t="s">
        <v>22</v>
      </c>
      <c r="B1" s="112">
        <v>0</v>
      </c>
      <c r="C1" s="112">
        <v>2024</v>
      </c>
      <c r="D1" s="112">
        <f>+C1+1</f>
        <v>2025</v>
      </c>
      <c r="E1" s="112">
        <f t="shared" ref="E1:G1" si="0">+D1+1</f>
        <v>2026</v>
      </c>
      <c r="F1" s="112">
        <f t="shared" si="0"/>
        <v>2027</v>
      </c>
      <c r="G1" s="112">
        <f t="shared" si="0"/>
        <v>2028</v>
      </c>
      <c r="H1" s="112">
        <f t="shared" ref="H1" si="1">+G1+1</f>
        <v>2029</v>
      </c>
      <c r="I1" s="112">
        <f t="shared" ref="I1" si="2">+H1+1</f>
        <v>2030</v>
      </c>
    </row>
    <row r="2" spans="1:9" s="73" customFormat="1" ht="15" customHeight="1">
      <c r="A2" s="81" t="s">
        <v>40</v>
      </c>
      <c r="B2" s="204">
        <v>0</v>
      </c>
      <c r="C2" s="82">
        <f>+'DR SNC'!F32</f>
        <v>9825.9102532483794</v>
      </c>
      <c r="D2" s="82">
        <f>+'DR SNC'!G32</f>
        <v>241554.1732320392</v>
      </c>
      <c r="E2" s="82">
        <f>+'DR SNC'!H32</f>
        <v>474340.11223992729</v>
      </c>
      <c r="F2" s="82">
        <f>+'DR SNC'!I32</f>
        <v>639329.68940084043</v>
      </c>
      <c r="G2" s="82">
        <f>+'DR SNC'!J32</f>
        <v>572204.86854142859</v>
      </c>
      <c r="H2" s="82">
        <f>+'DR SNC'!K32</f>
        <v>0</v>
      </c>
      <c r="I2" s="82">
        <f>+'DR SNC'!L32</f>
        <v>0</v>
      </c>
    </row>
    <row r="3" spans="1:9" s="73" customFormat="1" ht="15" customHeight="1">
      <c r="A3" s="25" t="s">
        <v>39</v>
      </c>
      <c r="B3" s="205">
        <v>0</v>
      </c>
      <c r="C3" s="79">
        <f>-'DR SNC'!F21</f>
        <v>108066.88365286399</v>
      </c>
      <c r="D3" s="79">
        <f>-'DR SNC'!G21</f>
        <v>110438.25031921398</v>
      </c>
      <c r="E3" s="79">
        <f>-'DR SNC'!H21</f>
        <v>113604.91698556399</v>
      </c>
      <c r="F3" s="79">
        <f>-'DR SNC'!I21</f>
        <v>113604.91698556399</v>
      </c>
      <c r="G3" s="79">
        <f>-'DR SNC'!J21</f>
        <v>13023.453332700001</v>
      </c>
      <c r="H3" s="79">
        <f>-'DR SNC'!K21</f>
        <v>0</v>
      </c>
      <c r="I3" s="79">
        <f>-'DR SNC'!L21</f>
        <v>0</v>
      </c>
    </row>
    <row r="4" spans="1:9" s="73" customFormat="1" ht="15" customHeight="1">
      <c r="A4" s="25" t="s">
        <v>57</v>
      </c>
      <c r="B4" s="206">
        <f>SUM(B2:B3)</f>
        <v>0</v>
      </c>
      <c r="C4" s="110">
        <f t="shared" ref="C4:F4" si="3">SUM(C2:C3)</f>
        <v>117892.79390611238</v>
      </c>
      <c r="D4" s="110">
        <f t="shared" si="3"/>
        <v>351992.42355125316</v>
      </c>
      <c r="E4" s="110">
        <f t="shared" si="3"/>
        <v>587945.02922549122</v>
      </c>
      <c r="F4" s="110">
        <f t="shared" si="3"/>
        <v>752934.60638640448</v>
      </c>
      <c r="G4" s="110">
        <f t="shared" ref="G4:I4" si="4">SUM(G2:G3)</f>
        <v>585228.32187412854</v>
      </c>
      <c r="H4" s="110">
        <f t="shared" si="4"/>
        <v>0</v>
      </c>
      <c r="I4" s="110">
        <f t="shared" si="4"/>
        <v>0</v>
      </c>
    </row>
    <row r="5" spans="1:9" s="73" customFormat="1" ht="15" customHeight="1">
      <c r="A5" s="25" t="s">
        <v>78</v>
      </c>
      <c r="B5" s="207"/>
      <c r="C5" s="83"/>
      <c r="D5" s="83"/>
      <c r="E5" s="83"/>
      <c r="F5" s="83"/>
      <c r="G5" s="83"/>
      <c r="H5" s="83"/>
      <c r="I5" s="83"/>
    </row>
    <row r="6" spans="1:9" s="73" customFormat="1" ht="15" customHeight="1">
      <c r="A6" s="25" t="s">
        <v>42</v>
      </c>
      <c r="B6" s="207">
        <f>+'MAPA INVESTIMENTOS'!B2+'MAPA INVESTIMENTOS'!B3+'MAPA INVESTIMENTOS'!C3+'MAPA INVESTIMENTOS'!C4</f>
        <v>31500</v>
      </c>
      <c r="C6" s="72"/>
      <c r="D6" s="72"/>
      <c r="E6" s="72"/>
      <c r="F6" s="72"/>
      <c r="G6" s="72"/>
      <c r="H6" s="72"/>
      <c r="I6" s="72"/>
    </row>
    <row r="7" spans="1:9" s="73" customFormat="1" ht="15" customHeight="1">
      <c r="A7" s="26" t="s">
        <v>58</v>
      </c>
      <c r="B7" s="208">
        <f>-B6</f>
        <v>-31500</v>
      </c>
      <c r="C7" s="84">
        <f t="shared" ref="C7:F7" si="5">+C4+C5+C6</f>
        <v>117892.79390611238</v>
      </c>
      <c r="D7" s="84">
        <f t="shared" si="5"/>
        <v>351992.42355125316</v>
      </c>
      <c r="E7" s="84">
        <f t="shared" si="5"/>
        <v>587945.02922549122</v>
      </c>
      <c r="F7" s="84">
        <f t="shared" si="5"/>
        <v>752934.60638640448</v>
      </c>
      <c r="G7" s="84">
        <f t="shared" ref="G7:I7" si="6">+G4+G5+G6</f>
        <v>585228.32187412854</v>
      </c>
      <c r="H7" s="84">
        <f t="shared" si="6"/>
        <v>0</v>
      </c>
      <c r="I7" s="84">
        <f t="shared" si="6"/>
        <v>0</v>
      </c>
    </row>
    <row r="8" spans="1:9" s="73" customFormat="1" ht="15" customHeight="1">
      <c r="A8" s="25" t="s">
        <v>67</v>
      </c>
      <c r="B8" s="208">
        <f>+B7</f>
        <v>-31500</v>
      </c>
      <c r="C8" s="85">
        <f>+B8+C7</f>
        <v>86392.793906112376</v>
      </c>
      <c r="D8" s="85">
        <f t="shared" ref="D8:F8" si="7">+C8+D7</f>
        <v>438385.21745736554</v>
      </c>
      <c r="E8" s="85">
        <f t="shared" si="7"/>
        <v>1026330.2466828567</v>
      </c>
      <c r="F8" s="85">
        <f t="shared" si="7"/>
        <v>1779264.8530692612</v>
      </c>
      <c r="G8" s="85">
        <f t="shared" ref="G8" si="8">+F8+G7</f>
        <v>2364493.1749433898</v>
      </c>
      <c r="H8" s="85">
        <f t="shared" ref="H8" si="9">+G8+H7</f>
        <v>2364493.1749433898</v>
      </c>
      <c r="I8" s="85">
        <f t="shared" ref="I8" si="10">+H8+I7</f>
        <v>2364493.1749433898</v>
      </c>
    </row>
    <row r="9" spans="1:9" s="73" customFormat="1" ht="15" customHeight="1">
      <c r="A9" s="27"/>
      <c r="B9" s="209"/>
      <c r="C9" s="86"/>
      <c r="D9" s="86"/>
      <c r="E9" s="86"/>
      <c r="F9" s="86"/>
      <c r="G9" s="86"/>
      <c r="H9" s="86"/>
      <c r="I9" s="86"/>
    </row>
    <row r="10" spans="1:9" s="73" customFormat="1" ht="15" customHeight="1">
      <c r="A10" s="191" t="s">
        <v>18</v>
      </c>
      <c r="B10" s="519">
        <f>IRR(B7:I7)</f>
        <v>5.1624451689282855</v>
      </c>
      <c r="C10" s="520"/>
      <c r="D10" s="87"/>
      <c r="E10" s="87"/>
      <c r="F10" s="87"/>
    </row>
    <row r="11" spans="1:9" s="73" customFormat="1" ht="14.4">
      <c r="A11" s="192" t="s">
        <v>43</v>
      </c>
      <c r="B11" s="521">
        <f>NPV(B17,B7,C7:I7)</f>
        <v>1891350.7098914776</v>
      </c>
      <c r="C11" s="522"/>
      <c r="D11" s="87"/>
      <c r="E11" s="87"/>
      <c r="F11" s="87"/>
    </row>
    <row r="12" spans="1:9" s="37" customFormat="1" ht="15" customHeight="1">
      <c r="A12" s="61"/>
      <c r="B12" s="392"/>
      <c r="C12" s="36"/>
      <c r="D12" s="36"/>
      <c r="E12" s="36"/>
      <c r="F12" s="36"/>
    </row>
    <row r="13" spans="1:9" s="37" customFormat="1" ht="15" customHeight="1">
      <c r="A13" s="152" t="s">
        <v>9</v>
      </c>
      <c r="B13" s="112" t="s">
        <v>55</v>
      </c>
    </row>
    <row r="14" spans="1:9" s="37" customFormat="1" ht="15" customHeight="1">
      <c r="A14" s="9" t="s">
        <v>68</v>
      </c>
      <c r="B14" s="211">
        <v>0.02</v>
      </c>
    </row>
    <row r="15" spans="1:9" s="37" customFormat="1" ht="15" customHeight="1">
      <c r="A15" s="10" t="s">
        <v>69</v>
      </c>
      <c r="B15" s="212">
        <v>0.05</v>
      </c>
    </row>
    <row r="16" spans="1:9" s="37" customFormat="1" ht="15" customHeight="1">
      <c r="A16" s="10" t="s">
        <v>70</v>
      </c>
      <c r="B16" s="213">
        <v>1</v>
      </c>
    </row>
    <row r="17" spans="1:4" s="37" customFormat="1" ht="17.25" customHeight="1">
      <c r="A17" s="11" t="s">
        <v>71</v>
      </c>
      <c r="B17" s="214">
        <v>0.05</v>
      </c>
      <c r="C17" s="88"/>
    </row>
    <row r="18" spans="1:4" s="37" customFormat="1" ht="15" customHeight="1">
      <c r="A18" s="61"/>
      <c r="B18" s="210"/>
    </row>
    <row r="19" spans="1:4" s="37" customFormat="1" ht="15" customHeight="1">
      <c r="B19" s="518" t="s">
        <v>72</v>
      </c>
      <c r="C19" s="518"/>
      <c r="D19" s="518"/>
    </row>
    <row r="20" spans="1:4" s="37" customFormat="1" ht="15" customHeight="1">
      <c r="B20" s="56"/>
    </row>
    <row r="21" spans="1:4" s="37" customFormat="1" ht="29.4" customHeight="1">
      <c r="B21" s="112" t="s">
        <v>73</v>
      </c>
      <c r="C21" s="112" t="s">
        <v>74</v>
      </c>
      <c r="D21" s="197" t="s">
        <v>76</v>
      </c>
    </row>
    <row r="22" spans="1:4" s="37" customFormat="1" ht="15" customHeight="1">
      <c r="A22" s="62">
        <v>0</v>
      </c>
      <c r="B22" s="217">
        <v>0</v>
      </c>
      <c r="C22" s="218">
        <f>+B8</f>
        <v>-31500</v>
      </c>
      <c r="D22" s="219">
        <f>+C22</f>
        <v>-31500</v>
      </c>
    </row>
    <row r="23" spans="1:4" s="37" customFormat="1" ht="15" customHeight="1">
      <c r="A23" s="62">
        <v>2019</v>
      </c>
      <c r="B23" s="217">
        <v>1</v>
      </c>
      <c r="C23" s="218">
        <f>+C7</f>
        <v>117892.79390611238</v>
      </c>
      <c r="D23" s="219">
        <f>+D22+C23</f>
        <v>86392.793906112376</v>
      </c>
    </row>
    <row r="24" spans="1:4" s="37" customFormat="1" ht="15" customHeight="1">
      <c r="A24" s="62">
        <f>+A23+1</f>
        <v>2020</v>
      </c>
      <c r="B24" s="217">
        <f>+B23+1</f>
        <v>2</v>
      </c>
      <c r="C24" s="218">
        <f>+D7</f>
        <v>351992.42355125316</v>
      </c>
      <c r="D24" s="219">
        <f t="shared" ref="D24:D27" si="11">+D23+C24</f>
        <v>438385.21745736554</v>
      </c>
    </row>
    <row r="25" spans="1:4" s="37" customFormat="1" ht="15" customHeight="1">
      <c r="A25" s="62">
        <f t="shared" ref="A25:A27" si="12">+A24+1</f>
        <v>2021</v>
      </c>
      <c r="B25" s="217">
        <f t="shared" ref="B25:B27" si="13">+B24+1</f>
        <v>3</v>
      </c>
      <c r="C25" s="218">
        <f>+E7</f>
        <v>587945.02922549122</v>
      </c>
      <c r="D25" s="219">
        <f t="shared" si="11"/>
        <v>1026330.2466828567</v>
      </c>
    </row>
    <row r="26" spans="1:4" s="37" customFormat="1" ht="15" customHeight="1">
      <c r="A26" s="62">
        <f t="shared" si="12"/>
        <v>2022</v>
      </c>
      <c r="B26" s="217">
        <f t="shared" si="13"/>
        <v>4</v>
      </c>
      <c r="C26" s="218">
        <f>+F7</f>
        <v>752934.60638640448</v>
      </c>
      <c r="D26" s="219">
        <f t="shared" si="11"/>
        <v>1779264.8530692612</v>
      </c>
    </row>
    <row r="27" spans="1:4" s="37" customFormat="1" ht="15" customHeight="1">
      <c r="A27" s="62">
        <f t="shared" si="12"/>
        <v>2023</v>
      </c>
      <c r="B27" s="217">
        <f t="shared" si="13"/>
        <v>5</v>
      </c>
      <c r="C27" s="218">
        <f>+G7</f>
        <v>585228.32187412854</v>
      </c>
      <c r="D27" s="219">
        <f t="shared" si="11"/>
        <v>2364493.1749433898</v>
      </c>
    </row>
    <row r="28" spans="1:4" s="37" customFormat="1" ht="15" customHeight="1">
      <c r="A28" s="62"/>
      <c r="B28" s="56"/>
    </row>
    <row r="29" spans="1:4" s="37" customFormat="1" ht="15" customHeight="1">
      <c r="B29" s="56"/>
    </row>
    <row r="30" spans="1:4" s="37" customFormat="1" ht="15" customHeight="1">
      <c r="B30" s="215" t="s">
        <v>75</v>
      </c>
      <c r="C30" s="193">
        <f>5+(1-D27/C27)</f>
        <v>1.9597082257205809</v>
      </c>
      <c r="D30" s="194" t="s">
        <v>77</v>
      </c>
    </row>
    <row r="31" spans="1:4" ht="15" customHeight="1">
      <c r="B31" s="517"/>
      <c r="C31" s="517"/>
      <c r="D31" s="517"/>
    </row>
    <row r="32" spans="1:4" ht="15" customHeight="1"/>
    <row r="33" spans="1:1" ht="20.100000000000001" customHeight="1">
      <c r="A33" s="115" t="s">
        <v>136</v>
      </c>
    </row>
    <row r="34" spans="1:1" ht="15" customHeight="1"/>
    <row r="35" spans="1:1" ht="15" customHeight="1"/>
    <row r="36" spans="1:1" ht="15" customHeight="1"/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4">
    <mergeCell ref="B31:D31"/>
    <mergeCell ref="B19:D19"/>
    <mergeCell ref="B10:C10"/>
    <mergeCell ref="B11:C11"/>
  </mergeCells>
  <conditionalFormatting sqref="B10:C11">
    <cfRule type="cellIs" dxfId="2" priority="1" operator="lessThan">
      <formula>0</formula>
    </cfRule>
  </conditionalFormatting>
  <conditionalFormatting sqref="B2:I8">
    <cfRule type="cellIs" dxfId="1" priority="3" operator="lessThan">
      <formula>0</formula>
    </cfRule>
  </conditionalFormatting>
  <conditionalFormatting sqref="C22:D27">
    <cfRule type="cellIs" dxfId="0" priority="2" operator="lessThan">
      <formula>0</formula>
    </cfRule>
  </conditionalFormatting>
  <hyperlinks>
    <hyperlink ref="A33" location="Índice!A1" display="Índice" xr:uid="{00000000-0004-0000-0D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E21"/>
  <sheetViews>
    <sheetView showGridLines="0" workbookViewId="0">
      <selection activeCell="B18" sqref="B18"/>
    </sheetView>
  </sheetViews>
  <sheetFormatPr defaultRowHeight="13.2"/>
  <cols>
    <col min="1" max="1" width="89" bestFit="1" customWidth="1"/>
    <col min="2" max="2" width="17.109375" customWidth="1"/>
    <col min="3" max="3" width="16.109375" customWidth="1"/>
    <col min="4" max="4" width="12.88671875" bestFit="1" customWidth="1"/>
    <col min="5" max="5" width="15.6640625" customWidth="1"/>
  </cols>
  <sheetData>
    <row r="1" spans="1:5" ht="26.4">
      <c r="A1" s="265" t="s">
        <v>150</v>
      </c>
      <c r="B1" s="249" t="s">
        <v>185</v>
      </c>
      <c r="C1" s="270" t="s">
        <v>186</v>
      </c>
    </row>
    <row r="2" spans="1:5">
      <c r="A2" s="267" t="s">
        <v>226</v>
      </c>
      <c r="B2" s="272">
        <v>7500</v>
      </c>
      <c r="C2" s="272">
        <v>7500</v>
      </c>
    </row>
    <row r="3" spans="1:5">
      <c r="A3" s="267" t="s">
        <v>228</v>
      </c>
      <c r="B3" s="272">
        <v>2000</v>
      </c>
      <c r="C3" s="272">
        <v>2000</v>
      </c>
    </row>
    <row r="4" spans="1:5">
      <c r="A4" s="267" t="s">
        <v>229</v>
      </c>
      <c r="B4" s="272">
        <v>20000</v>
      </c>
      <c r="C4" s="272">
        <v>20000</v>
      </c>
    </row>
    <row r="5" spans="1:5">
      <c r="A5" s="266" t="s">
        <v>188</v>
      </c>
      <c r="B5" s="271">
        <v>1250</v>
      </c>
      <c r="C5" s="271">
        <v>1250</v>
      </c>
    </row>
    <row r="6" spans="1:5">
      <c r="A6" s="267" t="s">
        <v>187</v>
      </c>
      <c r="B6" s="272">
        <v>25121.5</v>
      </c>
      <c r="C6" s="272">
        <v>25121.5</v>
      </c>
    </row>
    <row r="7" spans="1:5">
      <c r="A7" s="266" t="s">
        <v>227</v>
      </c>
      <c r="B7" s="271">
        <v>2500</v>
      </c>
      <c r="C7" s="271">
        <v>2500</v>
      </c>
    </row>
    <row r="8" spans="1:5">
      <c r="A8" s="266"/>
      <c r="B8" s="271"/>
      <c r="C8" s="271"/>
    </row>
    <row r="9" spans="1:5">
      <c r="A9" s="267"/>
      <c r="B9" s="272"/>
      <c r="C9" s="272"/>
    </row>
    <row r="10" spans="1:5" ht="14.4">
      <c r="A10" s="268"/>
      <c r="B10" s="273"/>
      <c r="C10" s="273"/>
    </row>
    <row r="11" spans="1:5" ht="24.75" customHeight="1">
      <c r="A11" s="269"/>
      <c r="B11" s="259">
        <f>SUM(B2:B10)</f>
        <v>58371.5</v>
      </c>
      <c r="C11" s="259">
        <f>SUM(C2:C10)</f>
        <v>58371.5</v>
      </c>
      <c r="E11" s="250"/>
    </row>
    <row r="13" spans="1:5" ht="14.4">
      <c r="A13" s="257" t="s">
        <v>153</v>
      </c>
      <c r="B13" s="258">
        <f>+B8+B9</f>
        <v>0</v>
      </c>
      <c r="C13" s="258">
        <f>+C8+C9</f>
        <v>0</v>
      </c>
    </row>
    <row r="15" spans="1:5" ht="14.4">
      <c r="A15" s="251" t="s">
        <v>151</v>
      </c>
      <c r="B15" s="252">
        <f>+B11+C11</f>
        <v>116743</v>
      </c>
    </row>
    <row r="16" spans="1:5" ht="14.4">
      <c r="A16" s="253" t="s">
        <v>190</v>
      </c>
      <c r="B16" s="254">
        <f>+B11*0.75</f>
        <v>43778.625</v>
      </c>
      <c r="C16" s="254">
        <f>+C11*0.75</f>
        <v>43778.625</v>
      </c>
    </row>
    <row r="17" spans="1:4" ht="14.4">
      <c r="A17" s="274"/>
      <c r="B17" s="275"/>
      <c r="C17" s="275"/>
    </row>
    <row r="18" spans="1:4" ht="14.4">
      <c r="A18" s="255" t="s">
        <v>152</v>
      </c>
      <c r="B18" s="256">
        <f>+B11*0.25</f>
        <v>14592.875</v>
      </c>
      <c r="C18" s="256">
        <f>+C11*0.25</f>
        <v>14592.875</v>
      </c>
      <c r="D18" s="250">
        <f>SUM(B18:C18)</f>
        <v>29185.75</v>
      </c>
    </row>
    <row r="19" spans="1:4" ht="14.4">
      <c r="A19" s="276" t="s">
        <v>189</v>
      </c>
      <c r="B19" s="277">
        <f>+B11*0.75</f>
        <v>43778.625</v>
      </c>
      <c r="C19" s="277">
        <f>+C11*0.75</f>
        <v>43778.625</v>
      </c>
      <c r="D19" s="250">
        <f t="shared" ref="D19:D20" si="0">SUM(B19:C19)</f>
        <v>87557.25</v>
      </c>
    </row>
    <row r="20" spans="1:4" ht="14.4">
      <c r="A20" s="255" t="s">
        <v>191</v>
      </c>
      <c r="B20" s="256">
        <f>+B16*0</f>
        <v>0</v>
      </c>
      <c r="C20" s="256">
        <f>+C16*0</f>
        <v>0</v>
      </c>
      <c r="D20" s="250">
        <f t="shared" si="0"/>
        <v>0</v>
      </c>
    </row>
    <row r="21" spans="1:4">
      <c r="A21" s="278" t="s">
        <v>155</v>
      </c>
      <c r="B21" s="258">
        <f>SUM(B18:B20)</f>
        <v>58371.5</v>
      </c>
      <c r="C21" s="258">
        <f>SUM(C18:C20)</f>
        <v>58371.5</v>
      </c>
      <c r="D21" s="250">
        <f>SUM(B21:C21)</f>
        <v>116743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Pess.'!Print_Area</vt:lpstr>
      <vt:lpstr>'Balanço SNC'!Print_Area</vt:lpstr>
      <vt:lpstr>'Capital Circulante'!Print_Area</vt:lpstr>
      <vt:lpstr>'DR SNC'!Print_Area</vt:lpstr>
      <vt:lpstr>'Fornecimento  Serviços Externos'!Print_Area</vt:lpstr>
      <vt:lpstr>'MEIOS LIBERTOS PROJETO'!Print_Area</vt:lpstr>
      <vt:lpstr>Pressupostos!Print_Area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 Santos</cp:lastModifiedBy>
  <cp:lastPrinted>2016-07-18T10:09:53Z</cp:lastPrinted>
  <dcterms:created xsi:type="dcterms:W3CDTF">2006-04-26T13:10:09Z</dcterms:created>
  <dcterms:modified xsi:type="dcterms:W3CDTF">2025-10-29T16:08:50Z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