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ana\Desktop\PROJETOS\IFIC\IA nas PME\Frutas Monte Cristo\"/>
    </mc:Choice>
  </mc:AlternateContent>
  <xr:revisionPtr revIDLastSave="0" documentId="13_ncr:1_{EECDB3B1-E651-470C-9D7E-251D67084840}" xr6:coauthVersionLast="47" xr6:coauthVersionMax="47" xr10:uidLastSave="{00000000-0000-0000-0000-000000000000}"/>
  <bookViews>
    <workbookView xWindow="-108" yWindow="-108" windowWidth="23256" windowHeight="12456" tabRatio="832" firstSheet="8" activeTab="11" xr2:uid="{00000000-000D-0000-FFFF-FFFF00000000}"/>
  </bookViews>
  <sheets>
    <sheet name="Índice" sheetId="55" r:id="rId1"/>
    <sheet name="Pressupostos" sheetId="32" r:id="rId2"/>
    <sheet name="Previsão Receitas" sheetId="60" r:id="rId3"/>
    <sheet name="Fornecimento  Serviços Externos" sheetId="19" r:id="rId4"/>
    <sheet name="Capital Circulante" sheetId="25" r:id="rId5"/>
    <sheet name="63_G. Pess." sheetId="54" r:id="rId6"/>
    <sheet name="Amortizações" sheetId="61" r:id="rId7"/>
    <sheet name="Serviço da Divida Emp. Bancario" sheetId="40" r:id="rId8"/>
    <sheet name="Mov dos Impostos S Rendi" sheetId="37" r:id="rId9"/>
    <sheet name="MEIOS LIBERTOS PROJETO" sheetId="35" r:id="rId10"/>
    <sheet name="Plano Financeiro " sheetId="45" r:id="rId11"/>
    <sheet name="DR SNC" sheetId="57" r:id="rId12"/>
    <sheet name="Balanço SNC" sheetId="58" r:id="rId13"/>
    <sheet name="Avaliação Investimento" sheetId="44" r:id="rId14"/>
    <sheet name="MAPA INVESTIMENTOS" sheetId="62" r:id="rId15"/>
  </sheets>
  <externalReferences>
    <externalReference r:id="rId16"/>
  </externalReferences>
  <definedNames>
    <definedName name="a" localSheetId="6">#REF!</definedName>
    <definedName name="a">#REF!</definedName>
    <definedName name="ddd">#N/A</definedName>
    <definedName name="h" localSheetId="6">#REF!,#REF!</definedName>
    <definedName name="h">#REF!,#REF!</definedName>
    <definedName name="INDIC_ECOFIN" localSheetId="6">#REF!</definedName>
    <definedName name="INDIC_ECOFIN">#REF!</definedName>
    <definedName name="_xlnm.Print_Area" localSheetId="5">'63_G. Pess.'!$A$1:$I$25</definedName>
    <definedName name="_xlnm.Print_Area" localSheetId="12">'Balanço SNC'!$A$1:$I$74</definedName>
    <definedName name="_xlnm.Print_Area" localSheetId="4">'Capital Circulante'!$A$1:$G$30</definedName>
    <definedName name="_xlnm.Print_Area" localSheetId="11">'DR SNC'!$A$1:$J$41</definedName>
    <definedName name="_xlnm.Print_Area" localSheetId="3">'Fornecimento  Serviços Externos'!$A$1:$I$19</definedName>
    <definedName name="_xlnm.Print_Area" localSheetId="9">'MEIOS LIBERTOS PROJETO'!$A$1:$F$26</definedName>
    <definedName name="_xlnm.Print_Area" localSheetId="1">Pressupostos!$A$1:$N$32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5" i="57" l="1"/>
  <c r="F53" i="57"/>
  <c r="G51" i="57"/>
  <c r="F48" i="57"/>
  <c r="B6" i="44" l="1"/>
  <c r="G42" i="57"/>
  <c r="G40" i="57"/>
  <c r="G39" i="57"/>
  <c r="M31" i="57"/>
  <c r="F18" i="25"/>
  <c r="F4" i="60"/>
  <c r="G4" i="60"/>
  <c r="E4" i="60"/>
  <c r="B49" i="57"/>
  <c r="B48" i="57"/>
  <c r="B44" i="57"/>
  <c r="B45" i="57"/>
  <c r="I6" i="58"/>
  <c r="I11" i="58" s="1"/>
  <c r="H6" i="58"/>
  <c r="G6" i="58"/>
  <c r="G11" i="58" s="1"/>
  <c r="H18" i="25"/>
  <c r="O7" i="61"/>
  <c r="P7" i="61"/>
  <c r="Q7" i="61"/>
  <c r="R7" i="61"/>
  <c r="E53" i="58"/>
  <c r="F53" i="58" s="1"/>
  <c r="G53" i="58" s="1"/>
  <c r="H53" i="58" s="1"/>
  <c r="I53" i="58" s="1"/>
  <c r="F54" i="58"/>
  <c r="G54" i="58" s="1"/>
  <c r="H54" i="58" s="1"/>
  <c r="I54" i="58" s="1"/>
  <c r="E54" i="58"/>
  <c r="I45" i="58"/>
  <c r="H45" i="58"/>
  <c r="G45" i="58"/>
  <c r="F45" i="58"/>
  <c r="E45" i="58"/>
  <c r="H35" i="58"/>
  <c r="I35" i="58" s="1"/>
  <c r="G35" i="58"/>
  <c r="F35" i="58"/>
  <c r="E35" i="58"/>
  <c r="D21" i="58"/>
  <c r="E19" i="58"/>
  <c r="F19" i="58" s="1"/>
  <c r="G19" i="58" s="1"/>
  <c r="H19" i="58" s="1"/>
  <c r="I19" i="58" s="1"/>
  <c r="F18" i="58"/>
  <c r="G18" i="58" s="1"/>
  <c r="H18" i="58" s="1"/>
  <c r="I18" i="58" s="1"/>
  <c r="E18" i="58"/>
  <c r="H17" i="58"/>
  <c r="I17" i="58" s="1"/>
  <c r="G17" i="58"/>
  <c r="E17" i="58"/>
  <c r="F17" i="58" s="1"/>
  <c r="H11" i="58"/>
  <c r="F11" i="58"/>
  <c r="E11" i="58"/>
  <c r="D11" i="58"/>
  <c r="F9" i="58"/>
  <c r="G9" i="58" s="1"/>
  <c r="H9" i="58" s="1"/>
  <c r="I9" i="58" s="1"/>
  <c r="E9" i="58"/>
  <c r="F7" i="58"/>
  <c r="G7" i="58" s="1"/>
  <c r="H7" i="58" s="1"/>
  <c r="I7" i="58" s="1"/>
  <c r="E7" i="58"/>
  <c r="J6" i="61"/>
  <c r="I6" i="61"/>
  <c r="F6" i="58"/>
  <c r="E6" i="58"/>
  <c r="J27" i="57"/>
  <c r="I27" i="57"/>
  <c r="H27" i="57"/>
  <c r="G27" i="57"/>
  <c r="F27" i="57"/>
  <c r="E15" i="54"/>
  <c r="F15" i="54"/>
  <c r="D15" i="54"/>
  <c r="F7" i="19"/>
  <c r="G7" i="19" s="1"/>
  <c r="H7" i="19" s="1"/>
  <c r="I7" i="19" s="1"/>
  <c r="J7" i="19" s="1"/>
  <c r="K7" i="19" s="1"/>
  <c r="L7" i="19" s="1"/>
  <c r="F6" i="19"/>
  <c r="G6" i="19" s="1"/>
  <c r="H6" i="19" s="1"/>
  <c r="I6" i="19" s="1"/>
  <c r="J6" i="19" s="1"/>
  <c r="K6" i="19" s="1"/>
  <c r="L6" i="19" s="1"/>
  <c r="F5" i="19"/>
  <c r="G5" i="19" s="1"/>
  <c r="H5" i="19" s="1"/>
  <c r="I5" i="19" s="1"/>
  <c r="J5" i="19" s="1"/>
  <c r="K5" i="19" s="1"/>
  <c r="L5" i="19" s="1"/>
  <c r="F4" i="19"/>
  <c r="G4" i="19" s="1"/>
  <c r="H4" i="19" s="1"/>
  <c r="I4" i="19" s="1"/>
  <c r="J4" i="19" s="1"/>
  <c r="K4" i="19" s="1"/>
  <c r="L4" i="19" s="1"/>
  <c r="F3" i="19"/>
  <c r="G3" i="19" s="1"/>
  <c r="H3" i="19" s="1"/>
  <c r="I3" i="19" s="1"/>
  <c r="J3" i="19" s="1"/>
  <c r="K3" i="19" s="1"/>
  <c r="L3" i="19" s="1"/>
  <c r="E21" i="19"/>
  <c r="E7" i="19"/>
  <c r="H4" i="60"/>
  <c r="D4" i="60"/>
  <c r="H3" i="60"/>
  <c r="G3" i="60"/>
  <c r="F3" i="60"/>
  <c r="E3" i="60"/>
  <c r="D3" i="60"/>
  <c r="C3" i="60"/>
  <c r="J21" i="40"/>
  <c r="I20" i="40"/>
  <c r="H20" i="40"/>
  <c r="G20" i="40"/>
  <c r="F20" i="40"/>
  <c r="E20" i="40"/>
  <c r="L20" i="40"/>
  <c r="D20" i="40"/>
  <c r="C20" i="40"/>
  <c r="C6" i="61"/>
  <c r="R19" i="61"/>
  <c r="Q19" i="61"/>
  <c r="P19" i="61"/>
  <c r="R18" i="61"/>
  <c r="G18" i="61"/>
  <c r="O19" i="61"/>
  <c r="G19" i="61" s="1"/>
  <c r="N19" i="61"/>
  <c r="R17" i="61"/>
  <c r="G17" i="61"/>
  <c r="R16" i="61"/>
  <c r="O16" i="61"/>
  <c r="G16" i="61"/>
  <c r="R15" i="61"/>
  <c r="G15" i="61"/>
  <c r="G4" i="54"/>
  <c r="E3" i="54"/>
  <c r="D2" i="19"/>
  <c r="C45" i="57"/>
  <c r="B51" i="57"/>
  <c r="H19" i="61" l="1"/>
  <c r="I19" i="61" s="1"/>
  <c r="E29" i="58"/>
  <c r="F29" i="58" s="1"/>
  <c r="G29" i="58" s="1"/>
  <c r="H29" i="58" s="1"/>
  <c r="I29" i="58" s="1"/>
  <c r="H3" i="45"/>
  <c r="G3" i="45"/>
  <c r="J30" i="57"/>
  <c r="I30" i="57"/>
  <c r="H30" i="57"/>
  <c r="G30" i="57"/>
  <c r="F30" i="57"/>
  <c r="B22" i="25"/>
  <c r="E11" i="57"/>
  <c r="Q18" i="61"/>
  <c r="P18" i="61"/>
  <c r="Q16" i="61"/>
  <c r="T18" i="61"/>
  <c r="O18" i="61"/>
  <c r="N18" i="61"/>
  <c r="Q17" i="61"/>
  <c r="P17" i="61"/>
  <c r="T17" i="61"/>
  <c r="O17" i="61"/>
  <c r="N17" i="61"/>
  <c r="O15" i="61"/>
  <c r="P15" i="61"/>
  <c r="Q15" i="61"/>
  <c r="D14" i="19"/>
  <c r="E14" i="19" s="1"/>
  <c r="F14" i="19" s="1"/>
  <c r="G14" i="19" s="1"/>
  <c r="H14" i="19" s="1"/>
  <c r="I14" i="19" s="1"/>
  <c r="J14" i="19" s="1"/>
  <c r="K14" i="19" s="1"/>
  <c r="L14" i="19" s="1"/>
  <c r="E13" i="19"/>
  <c r="F13" i="19" s="1"/>
  <c r="G13" i="19" s="1"/>
  <c r="H13" i="19" s="1"/>
  <c r="I13" i="19" s="1"/>
  <c r="J13" i="19" s="1"/>
  <c r="K13" i="19" s="1"/>
  <c r="L13" i="19" s="1"/>
  <c r="D15" i="19"/>
  <c r="E15" i="19" s="1"/>
  <c r="F15" i="19" s="1"/>
  <c r="G15" i="19" s="1"/>
  <c r="H15" i="19" s="1"/>
  <c r="I15" i="19" s="1"/>
  <c r="J15" i="19" s="1"/>
  <c r="K15" i="19" s="1"/>
  <c r="L15" i="19" s="1"/>
  <c r="D13" i="19"/>
  <c r="E12" i="19"/>
  <c r="F12" i="19" s="1"/>
  <c r="G12" i="19" s="1"/>
  <c r="H12" i="19" s="1"/>
  <c r="I12" i="19" s="1"/>
  <c r="J12" i="19" s="1"/>
  <c r="K12" i="19" s="1"/>
  <c r="L12" i="19" s="1"/>
  <c r="D12" i="19"/>
  <c r="C18" i="19"/>
  <c r="E12" i="57" s="1"/>
  <c r="D8" i="19"/>
  <c r="E8" i="19" s="1"/>
  <c r="F8" i="19" s="1"/>
  <c r="G8" i="19" s="1"/>
  <c r="H8" i="19" s="1"/>
  <c r="I8" i="19" s="1"/>
  <c r="J8" i="19" s="1"/>
  <c r="K8" i="19" s="1"/>
  <c r="L8" i="19" s="1"/>
  <c r="D7" i="19"/>
  <c r="D5" i="19"/>
  <c r="E5" i="19" s="1"/>
  <c r="D3" i="19"/>
  <c r="E3" i="19" s="1"/>
  <c r="H18" i="61" l="1"/>
  <c r="I18" i="61" s="1"/>
  <c r="H17" i="61"/>
  <c r="I17" i="61" s="1"/>
  <c r="E4" i="54"/>
  <c r="F4" i="54" s="1"/>
  <c r="F3" i="54"/>
  <c r="G3" i="54" s="1"/>
  <c r="C15" i="54" l="1"/>
  <c r="P16" i="61"/>
  <c r="O10" i="61"/>
  <c r="P10" i="61"/>
  <c r="Q10" i="61"/>
  <c r="R10" i="61"/>
  <c r="N10" i="61"/>
  <c r="E10" i="61" s="1"/>
  <c r="O9" i="61"/>
  <c r="P9" i="61"/>
  <c r="Q9" i="61"/>
  <c r="R9" i="61"/>
  <c r="N9" i="61"/>
  <c r="E9" i="61" s="1"/>
  <c r="P8" i="61"/>
  <c r="Q8" i="61"/>
  <c r="R8" i="61"/>
  <c r="S8" i="61"/>
  <c r="O8" i="61"/>
  <c r="F8" i="61" s="1"/>
  <c r="N7" i="61"/>
  <c r="E7" i="61" s="1"/>
  <c r="F7" i="61" s="1"/>
  <c r="S6" i="61"/>
  <c r="C14" i="61"/>
  <c r="C5" i="61"/>
  <c r="R6" i="61"/>
  <c r="N6" i="61"/>
  <c r="O6" i="61"/>
  <c r="P6" i="61"/>
  <c r="Q6" i="61"/>
  <c r="M6" i="61"/>
  <c r="D6" i="61" s="1"/>
  <c r="D5" i="61" s="1"/>
  <c r="E13" i="57" l="1"/>
  <c r="F13" i="57"/>
  <c r="G8" i="61"/>
  <c r="H8" i="61" s="1"/>
  <c r="I8" i="61" s="1"/>
  <c r="J8" i="61" s="1"/>
  <c r="J5" i="61" s="1"/>
  <c r="F10" i="61"/>
  <c r="F9" i="61"/>
  <c r="G9" i="61" s="1"/>
  <c r="H9" i="61" s="1"/>
  <c r="I9" i="61" s="1"/>
  <c r="G10" i="61"/>
  <c r="H10" i="61" s="1"/>
  <c r="I10" i="61" s="1"/>
  <c r="P20" i="61"/>
  <c r="H21" i="57" s="1"/>
  <c r="S16" i="61"/>
  <c r="M20" i="61"/>
  <c r="E21" i="57" s="1"/>
  <c r="J20" i="40"/>
  <c r="K20" i="40"/>
  <c r="C18" i="40"/>
  <c r="C21" i="40" s="1"/>
  <c r="D18" i="40" s="1"/>
  <c r="D21" i="40" l="1"/>
  <c r="E18" i="40" s="1"/>
  <c r="E19" i="40" s="1"/>
  <c r="D19" i="40"/>
  <c r="E21" i="40"/>
  <c r="F18" i="40" s="1"/>
  <c r="C19" i="40"/>
  <c r="D4" i="19"/>
  <c r="E4" i="19" s="1"/>
  <c r="D11" i="19"/>
  <c r="E11" i="19" s="1"/>
  <c r="F11" i="19" s="1"/>
  <c r="G11" i="19" s="1"/>
  <c r="H11" i="19" s="1"/>
  <c r="I11" i="19" s="1"/>
  <c r="J11" i="19" s="1"/>
  <c r="K11" i="19" s="1"/>
  <c r="L11" i="19" s="1"/>
  <c r="D10" i="19"/>
  <c r="E10" i="19" s="1"/>
  <c r="F10" i="19" s="1"/>
  <c r="G10" i="19" s="1"/>
  <c r="H10" i="19" s="1"/>
  <c r="I10" i="19" s="1"/>
  <c r="J10" i="19" s="1"/>
  <c r="K10" i="19" s="1"/>
  <c r="L10" i="19" s="1"/>
  <c r="D9" i="19"/>
  <c r="E9" i="19" s="1"/>
  <c r="F9" i="19" s="1"/>
  <c r="G9" i="19" s="1"/>
  <c r="H9" i="19" s="1"/>
  <c r="I9" i="19" s="1"/>
  <c r="J9" i="19" s="1"/>
  <c r="K9" i="19" s="1"/>
  <c r="L9" i="19" s="1"/>
  <c r="D6" i="19"/>
  <c r="E6" i="19" s="1"/>
  <c r="E2" i="19"/>
  <c r="F2" i="19" s="1"/>
  <c r="G2" i="19" s="1"/>
  <c r="H2" i="19" s="1"/>
  <c r="I2" i="19" s="1"/>
  <c r="J2" i="19" s="1"/>
  <c r="K2" i="19" s="1"/>
  <c r="L2" i="19" s="1"/>
  <c r="F21" i="40" l="1"/>
  <c r="G18" i="40" s="1"/>
  <c r="F19" i="40"/>
  <c r="B14" i="62"/>
  <c r="G19" i="40" l="1"/>
  <c r="G21" i="40"/>
  <c r="H18" i="40" s="1"/>
  <c r="D16" i="40"/>
  <c r="E16" i="40" s="1"/>
  <c r="F16" i="40" s="1"/>
  <c r="G16" i="40" s="1"/>
  <c r="H16" i="40" s="1"/>
  <c r="I16" i="40" s="1"/>
  <c r="J16" i="40" s="1"/>
  <c r="K16" i="40" s="1"/>
  <c r="L16" i="40" s="1"/>
  <c r="B17" i="45"/>
  <c r="H21" i="40" l="1"/>
  <c r="I18" i="40" s="1"/>
  <c r="H19" i="40"/>
  <c r="B5" i="45"/>
  <c r="C5" i="45"/>
  <c r="I21" i="40" l="1"/>
  <c r="J18" i="40" s="1"/>
  <c r="I19" i="40"/>
  <c r="B17" i="60"/>
  <c r="D14" i="61"/>
  <c r="C14" i="62"/>
  <c r="B11" i="58"/>
  <c r="K18" i="40" l="1"/>
  <c r="J19" i="40"/>
  <c r="D20" i="61"/>
  <c r="B7" i="45"/>
  <c r="E8" i="60"/>
  <c r="C8" i="60"/>
  <c r="C18" i="25" s="1"/>
  <c r="F8" i="60"/>
  <c r="G8" i="60"/>
  <c r="G18" i="25" s="1"/>
  <c r="D8" i="60"/>
  <c r="H8" i="60"/>
  <c r="C19" i="57"/>
  <c r="C24" i="57" s="1"/>
  <c r="C29" i="57" s="1"/>
  <c r="C32" i="57" s="1"/>
  <c r="B21" i="58"/>
  <c r="B23" i="58" s="1"/>
  <c r="B40" i="58"/>
  <c r="B48" i="58"/>
  <c r="D48" i="58"/>
  <c r="B56" i="58"/>
  <c r="D56" i="58"/>
  <c r="D18" i="25" l="1"/>
  <c r="G11" i="57" s="1"/>
  <c r="E9" i="60"/>
  <c r="E18" i="25"/>
  <c r="F7" i="57"/>
  <c r="F11" i="57"/>
  <c r="D9" i="60"/>
  <c r="G9" i="60"/>
  <c r="H13" i="25"/>
  <c r="H9" i="60"/>
  <c r="F9" i="60"/>
  <c r="G7" i="57"/>
  <c r="H11" i="57"/>
  <c r="H7" i="57"/>
  <c r="J7" i="57"/>
  <c r="J11" i="57"/>
  <c r="E20" i="60"/>
  <c r="I7" i="57"/>
  <c r="I11" i="57"/>
  <c r="C48" i="57" s="1"/>
  <c r="D20" i="60"/>
  <c r="E13" i="60"/>
  <c r="E12" i="60"/>
  <c r="E14" i="60"/>
  <c r="E15" i="60"/>
  <c r="E16" i="60"/>
  <c r="G3" i="25"/>
  <c r="H3" i="25"/>
  <c r="E13" i="25"/>
  <c r="E3" i="25"/>
  <c r="F3" i="25"/>
  <c r="D3" i="25"/>
  <c r="C3" i="25"/>
  <c r="C13" i="25"/>
  <c r="K21" i="40"/>
  <c r="K19" i="40"/>
  <c r="B59" i="58"/>
  <c r="B62" i="58" s="1"/>
  <c r="B64" i="58" s="1"/>
  <c r="C7" i="45"/>
  <c r="C65" i="58"/>
  <c r="D59" i="58"/>
  <c r="B65" i="58"/>
  <c r="C64" i="58"/>
  <c r="D23" i="58"/>
  <c r="C41" i="57" l="1"/>
  <c r="C46" i="57" s="1"/>
  <c r="F13" i="25"/>
  <c r="D13" i="25"/>
  <c r="G13" i="25"/>
  <c r="L21" i="40"/>
  <c r="L19" i="40"/>
  <c r="D7" i="45"/>
  <c r="B7" i="44"/>
  <c r="D3" i="40"/>
  <c r="E3" i="40" s="1"/>
  <c r="F3" i="40" s="1"/>
  <c r="G3" i="40" s="1"/>
  <c r="H3" i="40" s="1"/>
  <c r="I3" i="40" s="1"/>
  <c r="J3" i="40" s="1"/>
  <c r="K3" i="40" s="1"/>
  <c r="L3" i="40" s="1"/>
  <c r="E2" i="61"/>
  <c r="E7" i="45" l="1"/>
  <c r="E18" i="19"/>
  <c r="G12" i="57" s="1"/>
  <c r="I18" i="19"/>
  <c r="F18" i="19"/>
  <c r="G14" i="61"/>
  <c r="G8" i="58" s="1"/>
  <c r="J18" i="19"/>
  <c r="K18" i="19"/>
  <c r="K21" i="19" s="1"/>
  <c r="L18" i="19"/>
  <c r="H18" i="19"/>
  <c r="G18" i="19"/>
  <c r="D18" i="19"/>
  <c r="F12" i="57" s="1"/>
  <c r="J21" i="19" l="1"/>
  <c r="I21" i="19"/>
  <c r="H12" i="57"/>
  <c r="F21" i="19"/>
  <c r="I12" i="57"/>
  <c r="G21" i="19"/>
  <c r="J12" i="57"/>
  <c r="H21" i="19"/>
  <c r="L21" i="19"/>
  <c r="B8" i="60"/>
  <c r="H16" i="61"/>
  <c r="I16" i="61" s="1"/>
  <c r="F7" i="45"/>
  <c r="C49" i="57" l="1"/>
  <c r="C51" i="57" s="1"/>
  <c r="C52" i="57" s="1"/>
  <c r="E7" i="57"/>
  <c r="C9" i="60"/>
  <c r="B13" i="25"/>
  <c r="F20" i="61"/>
  <c r="C3" i="45" s="1"/>
  <c r="F14" i="61"/>
  <c r="F8" i="58" s="1"/>
  <c r="G7" i="45"/>
  <c r="B56" i="57" l="1"/>
  <c r="B63" i="57"/>
  <c r="B41" i="57"/>
  <c r="B46" i="57" s="1"/>
  <c r="B52" i="57" s="1"/>
  <c r="E19" i="57"/>
  <c r="E24" i="57" s="1"/>
  <c r="E29" i="57" s="1"/>
  <c r="E32" i="57" s="1"/>
  <c r="D37" i="58" s="1"/>
  <c r="D40" i="58" s="1"/>
  <c r="G20" i="61"/>
  <c r="D3" i="45" s="1"/>
  <c r="H7" i="45"/>
  <c r="E17" i="60"/>
  <c r="H15" i="61"/>
  <c r="B55" i="57" l="1"/>
  <c r="C58" i="57" s="1"/>
  <c r="E34" i="58"/>
  <c r="I15" i="61"/>
  <c r="I14" i="61" s="1"/>
  <c r="I8" i="58" s="1"/>
  <c r="H14" i="61"/>
  <c r="H8" i="58" s="1"/>
  <c r="Q20" i="61"/>
  <c r="I21" i="57" s="1"/>
  <c r="H20" i="61"/>
  <c r="E3" i="45" s="1"/>
  <c r="R20" i="61"/>
  <c r="J21" i="57" s="1"/>
  <c r="B12" i="62"/>
  <c r="C12" i="62"/>
  <c r="D62" i="58" l="1"/>
  <c r="D64" i="58" s="1"/>
  <c r="D65" i="58"/>
  <c r="C20" i="62"/>
  <c r="H8" i="57" s="1"/>
  <c r="C17" i="62"/>
  <c r="C21" i="62" s="1"/>
  <c r="C19" i="62"/>
  <c r="B19" i="62"/>
  <c r="B17" i="62"/>
  <c r="B21" i="62" s="1"/>
  <c r="B20" i="62"/>
  <c r="I20" i="61"/>
  <c r="F3" i="45" s="1"/>
  <c r="B16" i="62"/>
  <c r="J14" i="61" l="1"/>
  <c r="S20" i="61"/>
  <c r="I3" i="44" s="1"/>
  <c r="D19" i="62"/>
  <c r="G8" i="57"/>
  <c r="D20" i="62"/>
  <c r="F31" i="58"/>
  <c r="C11" i="45"/>
  <c r="D11" i="45"/>
  <c r="G31" i="58" l="1"/>
  <c r="H31" i="58" s="1"/>
  <c r="I31" i="58" s="1"/>
  <c r="D21" i="62"/>
  <c r="B5" i="40"/>
  <c r="C5" i="40" s="1"/>
  <c r="C14" i="45" s="1"/>
  <c r="B22" i="62"/>
  <c r="C22" i="62"/>
  <c r="G4" i="37"/>
  <c r="H4" i="37"/>
  <c r="D5" i="40" l="1"/>
  <c r="D22" i="62"/>
  <c r="F7" i="40"/>
  <c r="E5" i="45" s="1"/>
  <c r="J7" i="40"/>
  <c r="E5" i="40"/>
  <c r="E7" i="40"/>
  <c r="D5" i="45" s="1"/>
  <c r="G7" i="40"/>
  <c r="F5" i="45" s="1"/>
  <c r="K7" i="40"/>
  <c r="I7" i="40"/>
  <c r="H5" i="45" s="1"/>
  <c r="H7" i="40"/>
  <c r="G5" i="45" s="1"/>
  <c r="L7" i="40"/>
  <c r="B11" i="54" l="1"/>
  <c r="H3" i="44"/>
  <c r="F2" i="61"/>
  <c r="G2" i="61" s="1"/>
  <c r="H2" i="61" s="1"/>
  <c r="I2" i="61" s="1"/>
  <c r="J2" i="61" s="1"/>
  <c r="F15" i="58" l="1"/>
  <c r="B3" i="25"/>
  <c r="E15" i="58" s="1"/>
  <c r="D11" i="54"/>
  <c r="C11" i="54"/>
  <c r="G15" i="58" l="1"/>
  <c r="D6" i="35"/>
  <c r="B6" i="25"/>
  <c r="B6" i="35"/>
  <c r="C6" i="35"/>
  <c r="B8" i="35" l="1"/>
  <c r="E6" i="61"/>
  <c r="E5" i="61" l="1"/>
  <c r="I15" i="58"/>
  <c r="G3" i="35"/>
  <c r="G4" i="35" s="1"/>
  <c r="E6" i="35"/>
  <c r="H15" i="58"/>
  <c r="F6" i="35"/>
  <c r="F6" i="61"/>
  <c r="B24" i="44"/>
  <c r="B25" i="44" s="1"/>
  <c r="B26" i="44" s="1"/>
  <c r="B27" i="44" s="1"/>
  <c r="A24" i="44"/>
  <c r="A25" i="44" s="1"/>
  <c r="A26" i="44" s="1"/>
  <c r="A27" i="44" s="1"/>
  <c r="D1" i="44"/>
  <c r="E1" i="44" s="1"/>
  <c r="F1" i="44" s="1"/>
  <c r="G1" i="44" s="1"/>
  <c r="H1" i="44" s="1"/>
  <c r="I1" i="44" s="1"/>
  <c r="G15" i="25"/>
  <c r="G16" i="25" s="1"/>
  <c r="H15" i="25"/>
  <c r="H16" i="25" s="1"/>
  <c r="G4" i="25"/>
  <c r="H4" i="25"/>
  <c r="G6" i="35" l="1"/>
  <c r="G6" i="61"/>
  <c r="C6" i="40"/>
  <c r="D14" i="54"/>
  <c r="E14" i="54" s="1"/>
  <c r="F14" i="54" s="1"/>
  <c r="G14" i="54" s="1"/>
  <c r="H14" i="54" s="1"/>
  <c r="I14" i="54" s="1"/>
  <c r="D1" i="19"/>
  <c r="E1" i="19" s="1"/>
  <c r="F1" i="19" s="1"/>
  <c r="G1" i="19" s="1"/>
  <c r="H1" i="19" s="1"/>
  <c r="I1" i="19" s="1"/>
  <c r="J1" i="19" s="1"/>
  <c r="K1" i="19" s="1"/>
  <c r="L1" i="19" s="1"/>
  <c r="C1" i="60"/>
  <c r="H6" i="35" l="1"/>
  <c r="H3" i="35"/>
  <c r="H4" i="35" s="1"/>
  <c r="B9" i="35"/>
  <c r="H6" i="61"/>
  <c r="G2" i="25" l="1"/>
  <c r="E11" i="54"/>
  <c r="H2" i="25" l="1"/>
  <c r="E14" i="45"/>
  <c r="F14" i="45"/>
  <c r="B3" i="35" l="1"/>
  <c r="F3" i="44" l="1"/>
  <c r="G3" i="44"/>
  <c r="E3" i="44"/>
  <c r="N2" i="61"/>
  <c r="O2" i="61" s="1"/>
  <c r="P2" i="61" s="1"/>
  <c r="Q2" i="61" s="1"/>
  <c r="R2" i="61" s="1"/>
  <c r="S2" i="61" s="1"/>
  <c r="T2" i="61" s="1"/>
  <c r="D1" i="60" l="1"/>
  <c r="E1" i="60" s="1"/>
  <c r="F1" i="60" s="1"/>
  <c r="G1" i="60" s="1"/>
  <c r="H1" i="60" s="1"/>
  <c r="F11" i="54" l="1"/>
  <c r="G11" i="54"/>
  <c r="G15" i="54" l="1"/>
  <c r="H13" i="57"/>
  <c r="G13" i="57"/>
  <c r="B7" i="35"/>
  <c r="I13" i="57" l="1"/>
  <c r="H15" i="54"/>
  <c r="G7" i="35" s="1"/>
  <c r="C7" i="35"/>
  <c r="E7" i="35"/>
  <c r="F7" i="35"/>
  <c r="D7" i="35"/>
  <c r="F2" i="58"/>
  <c r="G2" i="58" s="1"/>
  <c r="H2" i="58" s="1"/>
  <c r="I2" i="58" s="1"/>
  <c r="J2" i="58" s="1"/>
  <c r="K2" i="58" s="1"/>
  <c r="I15" i="54" l="1"/>
  <c r="H7" i="35" s="1"/>
  <c r="J13" i="57"/>
  <c r="C3" i="37"/>
  <c r="D3" i="37" s="1"/>
  <c r="E3" i="37" s="1"/>
  <c r="F3" i="37" s="1"/>
  <c r="G3" i="37" s="1"/>
  <c r="H3" i="37" s="1"/>
  <c r="D14" i="45" l="1"/>
  <c r="B4" i="35" l="1"/>
  <c r="C1" i="35"/>
  <c r="D1" i="35" s="1"/>
  <c r="C8" i="40" l="1"/>
  <c r="F15" i="25"/>
  <c r="E15" i="25"/>
  <c r="D15" i="25"/>
  <c r="C15" i="25"/>
  <c r="C12" i="25"/>
  <c r="D6" i="40" l="1"/>
  <c r="E48" i="58"/>
  <c r="C9" i="35" l="1"/>
  <c r="D8" i="40"/>
  <c r="C1" i="25"/>
  <c r="E8" i="40" l="1"/>
  <c r="F48" i="58"/>
  <c r="E6" i="40" l="1"/>
  <c r="F5" i="40"/>
  <c r="F6" i="40" s="1"/>
  <c r="E9" i="35" s="1"/>
  <c r="D9" i="35" l="1"/>
  <c r="F8" i="40"/>
  <c r="D4" i="32"/>
  <c r="D2" i="32"/>
  <c r="G5" i="40" l="1"/>
  <c r="G6" i="40" s="1"/>
  <c r="B16" i="25"/>
  <c r="B4" i="25"/>
  <c r="E14" i="58" s="1"/>
  <c r="G8" i="40" l="1"/>
  <c r="C6" i="25"/>
  <c r="C8" i="35"/>
  <c r="F9" i="35"/>
  <c r="B2" i="25"/>
  <c r="H5" i="40" l="1"/>
  <c r="H6" i="40" s="1"/>
  <c r="G19" i="57"/>
  <c r="D1" i="25"/>
  <c r="E1" i="25" s="1"/>
  <c r="F1" i="25" s="1"/>
  <c r="G1" i="25" s="1"/>
  <c r="H1" i="25" s="1"/>
  <c r="D12" i="25"/>
  <c r="E12" i="25" s="1"/>
  <c r="F12" i="25" s="1"/>
  <c r="G12" i="25" s="1"/>
  <c r="H12" i="25" s="1"/>
  <c r="H8" i="40" l="1"/>
  <c r="G9" i="35"/>
  <c r="G48" i="58"/>
  <c r="I5" i="40" l="1"/>
  <c r="I8" i="40" s="1"/>
  <c r="H48" i="58"/>
  <c r="I6" i="40" l="1"/>
  <c r="H9" i="35" s="1"/>
  <c r="J5" i="40"/>
  <c r="I48" i="58"/>
  <c r="J8" i="40" l="1"/>
  <c r="K5" i="40" s="1"/>
  <c r="J6" i="40"/>
  <c r="C1" i="45"/>
  <c r="D1" i="45" s="1"/>
  <c r="E1" i="45" s="1"/>
  <c r="F1" i="45" s="1"/>
  <c r="G1" i="45" s="1"/>
  <c r="H1" i="45" s="1"/>
  <c r="K6" i="40" l="1"/>
  <c r="K8" i="40"/>
  <c r="L5" i="40" s="1"/>
  <c r="F3" i="32"/>
  <c r="H3" i="32" s="1"/>
  <c r="J3" i="32" s="1"/>
  <c r="L3" i="32" s="1"/>
  <c r="N3" i="32" s="1"/>
  <c r="O3" i="32" s="1"/>
  <c r="P3" i="32" s="1"/>
  <c r="Q3" i="32" s="1"/>
  <c r="E2" i="32"/>
  <c r="F2" i="32" s="1"/>
  <c r="G2" i="32" s="1"/>
  <c r="H2" i="32" s="1"/>
  <c r="I2" i="32" s="1"/>
  <c r="J2" i="32" s="1"/>
  <c r="K2" i="32" s="1"/>
  <c r="L2" i="32" s="1"/>
  <c r="M2" i="32" s="1"/>
  <c r="N2" i="32" s="1"/>
  <c r="O2" i="32" s="1"/>
  <c r="P2" i="32" s="1"/>
  <c r="Q2" i="32" s="1"/>
  <c r="L6" i="40" l="1"/>
  <c r="L8" i="40"/>
  <c r="E4" i="32"/>
  <c r="D3" i="35" l="1"/>
  <c r="F4" i="32"/>
  <c r="D6" i="25" l="1"/>
  <c r="D8" i="35"/>
  <c r="G4" i="32"/>
  <c r="H4" i="32" s="1"/>
  <c r="E6" i="25" l="1"/>
  <c r="H19" i="57"/>
  <c r="H24" i="57" s="1"/>
  <c r="H29" i="57" s="1"/>
  <c r="H31" i="57" s="1"/>
  <c r="G52" i="58" s="1"/>
  <c r="E8" i="35"/>
  <c r="F3" i="35"/>
  <c r="F4" i="35" s="1"/>
  <c r="I4" i="32"/>
  <c r="D16" i="25"/>
  <c r="D4" i="25"/>
  <c r="G14" i="58" s="1"/>
  <c r="E3" i="35"/>
  <c r="F6" i="25" l="1"/>
  <c r="F8" i="35"/>
  <c r="I19" i="57"/>
  <c r="I24" i="57" s="1"/>
  <c r="I29" i="57" s="1"/>
  <c r="J4" i="32"/>
  <c r="E4" i="35"/>
  <c r="E16" i="25"/>
  <c r="D2" i="25"/>
  <c r="D4" i="35"/>
  <c r="I31" i="57" l="1"/>
  <c r="H52" i="58" s="1"/>
  <c r="G8" i="35"/>
  <c r="K19" i="57"/>
  <c r="G6" i="25"/>
  <c r="J19" i="57"/>
  <c r="J24" i="57" s="1"/>
  <c r="J29" i="57" s="1"/>
  <c r="J31" i="57" s="1"/>
  <c r="I52" i="58" s="1"/>
  <c r="K4" i="32"/>
  <c r="E4" i="25"/>
  <c r="E2" i="25" l="1"/>
  <c r="H14" i="58"/>
  <c r="G12" i="45"/>
  <c r="H8" i="35"/>
  <c r="L19" i="57"/>
  <c r="H6" i="25"/>
  <c r="G5" i="25"/>
  <c r="G7" i="25" s="1"/>
  <c r="L4" i="32"/>
  <c r="D12" i="45"/>
  <c r="H50" i="58"/>
  <c r="E12" i="45"/>
  <c r="G5" i="37" l="1"/>
  <c r="G6" i="37" s="1"/>
  <c r="H12" i="45"/>
  <c r="H5" i="25"/>
  <c r="H7" i="25" s="1"/>
  <c r="H8" i="25" s="1"/>
  <c r="M4" i="32"/>
  <c r="N4" i="32" s="1"/>
  <c r="O4" i="32" s="1"/>
  <c r="P4" i="32" s="1"/>
  <c r="Q4" i="32" s="1"/>
  <c r="F4" i="25"/>
  <c r="F16" i="25"/>
  <c r="F2" i="25" l="1"/>
  <c r="I14" i="58"/>
  <c r="H5" i="37"/>
  <c r="H6" i="37" s="1"/>
  <c r="G6" i="45"/>
  <c r="G10" i="35"/>
  <c r="G11" i="35" s="1"/>
  <c r="G12" i="35" s="1"/>
  <c r="H4" i="45"/>
  <c r="H13" i="45"/>
  <c r="H15" i="45" s="1"/>
  <c r="D5" i="37"/>
  <c r="F12" i="45"/>
  <c r="I50" i="58"/>
  <c r="E1" i="35"/>
  <c r="F1" i="35" s="1"/>
  <c r="G1" i="35" s="1"/>
  <c r="H1" i="35" s="1"/>
  <c r="H2" i="44" l="1"/>
  <c r="H4" i="44" s="1"/>
  <c r="H7" i="44" s="1"/>
  <c r="H6" i="45"/>
  <c r="H8" i="45" s="1"/>
  <c r="H16" i="45" s="1"/>
  <c r="H10" i="35"/>
  <c r="H11" i="35" s="1"/>
  <c r="H12" i="35" s="1"/>
  <c r="F5" i="37"/>
  <c r="E5" i="37"/>
  <c r="I2" i="44" l="1"/>
  <c r="I4" i="44" s="1"/>
  <c r="I7" i="44" s="1"/>
  <c r="F5" i="25"/>
  <c r="F7" i="25" s="1"/>
  <c r="G8" i="25" s="1"/>
  <c r="G4" i="45" s="1"/>
  <c r="H56" i="58"/>
  <c r="H59" i="58" s="1"/>
  <c r="G8" i="45" l="1"/>
  <c r="G13" i="45"/>
  <c r="G15" i="45" s="1"/>
  <c r="I56" i="58"/>
  <c r="I59" i="58" s="1"/>
  <c r="E5" i="25"/>
  <c r="G16" i="45" l="1"/>
  <c r="E7" i="25"/>
  <c r="F8" i="25" l="1"/>
  <c r="F13" i="45" l="1"/>
  <c r="F15" i="45" s="1"/>
  <c r="F4" i="45"/>
  <c r="C3" i="35" l="1"/>
  <c r="C4" i="35" s="1"/>
  <c r="C16" i="25" l="1"/>
  <c r="C4" i="25"/>
  <c r="C2" i="25" l="1"/>
  <c r="F14" i="58"/>
  <c r="F19" i="57"/>
  <c r="B12" i="45" s="1"/>
  <c r="G50" i="58"/>
  <c r="G56" i="58" s="1"/>
  <c r="G59" i="58" s="1"/>
  <c r="D5" i="25"/>
  <c r="F50" i="58" l="1"/>
  <c r="E50" i="58"/>
  <c r="B5" i="25"/>
  <c r="B7" i="25" s="1"/>
  <c r="B8" i="25" s="1"/>
  <c r="D7" i="25"/>
  <c r="E8" i="25" s="1"/>
  <c r="B4" i="37" l="1"/>
  <c r="B13" i="45"/>
  <c r="B15" i="45" s="1"/>
  <c r="B4" i="45"/>
  <c r="E13" i="45"/>
  <c r="E15" i="45" s="1"/>
  <c r="E4" i="45"/>
  <c r="H32" i="57" l="1"/>
  <c r="E2" i="44" s="1"/>
  <c r="C4" i="37"/>
  <c r="B4" i="44"/>
  <c r="C5" i="25"/>
  <c r="C7" i="25" s="1"/>
  <c r="B8" i="44" l="1"/>
  <c r="C22" i="44" s="1"/>
  <c r="D22" i="44" s="1"/>
  <c r="G37" i="58"/>
  <c r="I32" i="57"/>
  <c r="F2" i="44" s="1"/>
  <c r="D4" i="37"/>
  <c r="D6" i="37" s="1"/>
  <c r="D10" i="35" s="1"/>
  <c r="C8" i="25"/>
  <c r="D8" i="25"/>
  <c r="H37" i="58" l="1"/>
  <c r="E4" i="44"/>
  <c r="E7" i="44" s="1"/>
  <c r="D6" i="45"/>
  <c r="J32" i="57"/>
  <c r="E4" i="37"/>
  <c r="E6" i="37" s="1"/>
  <c r="E10" i="35" s="1"/>
  <c r="E11" i="35" s="1"/>
  <c r="E12" i="35" s="1"/>
  <c r="D13" i="45"/>
  <c r="D15" i="45" s="1"/>
  <c r="D4" i="45"/>
  <c r="C13" i="45"/>
  <c r="C4" i="45"/>
  <c r="C25" i="44" l="1"/>
  <c r="G2" i="44"/>
  <c r="G4" i="44" s="1"/>
  <c r="G7" i="44" s="1"/>
  <c r="C27" i="44" s="1"/>
  <c r="F4" i="44"/>
  <c r="F7" i="44" s="1"/>
  <c r="C26" i="44" s="1"/>
  <c r="I37" i="58"/>
  <c r="E6" i="45"/>
  <c r="F4" i="37"/>
  <c r="F6" i="37" s="1"/>
  <c r="F10" i="35" s="1"/>
  <c r="F11" i="35" s="1"/>
  <c r="F12" i="35" s="1"/>
  <c r="F6" i="45" l="1"/>
  <c r="D8" i="45" l="1"/>
  <c r="D16" i="45" s="1"/>
  <c r="E8" i="45" l="1"/>
  <c r="E16" i="45" s="1"/>
  <c r="F8" i="45" l="1"/>
  <c r="F16" i="45" s="1"/>
  <c r="C12" i="45" l="1"/>
  <c r="C15" i="45" s="1"/>
  <c r="D11" i="35" l="1"/>
  <c r="D12" i="35" s="1"/>
  <c r="E14" i="61" l="1"/>
  <c r="E20" i="61"/>
  <c r="N15" i="61"/>
  <c r="N20" i="61" s="1"/>
  <c r="F21" i="57" s="1"/>
  <c r="T15" i="61"/>
  <c r="T20" i="61" s="1"/>
  <c r="C3" i="44" l="1"/>
  <c r="F24" i="57"/>
  <c r="F29" i="57" s="1"/>
  <c r="E8" i="58"/>
  <c r="F31" i="57" l="1"/>
  <c r="F32" i="57" s="1"/>
  <c r="C2" i="44" l="1"/>
  <c r="C4" i="44" s="1"/>
  <c r="C7" i="44" s="1"/>
  <c r="E37" i="58"/>
  <c r="E52" i="58"/>
  <c r="E56" i="58" s="1"/>
  <c r="E59" i="58" s="1"/>
  <c r="B5" i="37"/>
  <c r="B6" i="37" s="1"/>
  <c r="E40" i="58" l="1"/>
  <c r="F34" i="58"/>
  <c r="B10" i="35"/>
  <c r="B11" i="35" s="1"/>
  <c r="B12" i="35" s="1"/>
  <c r="B6" i="45"/>
  <c r="B8" i="45" s="1"/>
  <c r="B16" i="45" s="1"/>
  <c r="B18" i="45" s="1"/>
  <c r="E20" i="58" s="1"/>
  <c r="C23" i="44"/>
  <c r="D23" i="44" s="1"/>
  <c r="C8" i="44"/>
  <c r="E21" i="58" l="1"/>
  <c r="E23" i="58" s="1"/>
  <c r="E65" i="58" s="1"/>
  <c r="C17" i="45"/>
  <c r="E62" i="58"/>
  <c r="E64" i="58" l="1"/>
  <c r="G7" i="61" l="1"/>
  <c r="H7" i="61" s="1"/>
  <c r="O20" i="61"/>
  <c r="G21" i="57" s="1"/>
  <c r="F5" i="61"/>
  <c r="I7" i="61" l="1"/>
  <c r="I5" i="61" s="1"/>
  <c r="H5" i="61"/>
  <c r="G5" i="61"/>
  <c r="D3" i="44"/>
  <c r="G24" i="57"/>
  <c r="G29" i="57" s="1"/>
  <c r="G31" i="57" l="1"/>
  <c r="G32" i="57"/>
  <c r="D2" i="44" l="1"/>
  <c r="D4" i="44" s="1"/>
  <c r="D7" i="44" s="1"/>
  <c r="F37" i="58"/>
  <c r="C5" i="37"/>
  <c r="C6" i="37" s="1"/>
  <c r="F52" i="58"/>
  <c r="F56" i="58" s="1"/>
  <c r="F59" i="58" s="1"/>
  <c r="G34" i="58" l="1"/>
  <c r="F40" i="58"/>
  <c r="C6" i="45"/>
  <c r="C8" i="45" s="1"/>
  <c r="C16" i="45" s="1"/>
  <c r="C18" i="45" s="1"/>
  <c r="C10" i="35"/>
  <c r="C11" i="35" s="1"/>
  <c r="C12" i="35" s="1"/>
  <c r="B11" i="44"/>
  <c r="D8" i="44"/>
  <c r="E8" i="44" s="1"/>
  <c r="F8" i="44" s="1"/>
  <c r="G8" i="44" s="1"/>
  <c r="H8" i="44" s="1"/>
  <c r="I8" i="44" s="1"/>
  <c r="C24" i="44"/>
  <c r="D24" i="44" s="1"/>
  <c r="D25" i="44" s="1"/>
  <c r="D26" i="44" s="1"/>
  <c r="D27" i="44" s="1"/>
  <c r="C30" i="44" s="1"/>
  <c r="B10" i="44"/>
  <c r="D17" i="45" l="1"/>
  <c r="D18" i="45" s="1"/>
  <c r="G20" i="58" s="1"/>
  <c r="F20" i="58"/>
  <c r="F21" i="58" s="1"/>
  <c r="F23" i="58" s="1"/>
  <c r="F62" i="58"/>
  <c r="H34" i="58"/>
  <c r="G40" i="58"/>
  <c r="F64" i="58" l="1"/>
  <c r="G62" i="58"/>
  <c r="H40" i="58"/>
  <c r="I34" i="58"/>
  <c r="I40" i="58" s="1"/>
  <c r="F65" i="58"/>
  <c r="E17" i="45"/>
  <c r="E18" i="45" s="1"/>
  <c r="H20" i="58" s="1"/>
  <c r="G21" i="58"/>
  <c r="G23" i="58" s="1"/>
  <c r="G64" i="58" s="1"/>
  <c r="F17" i="45" l="1"/>
  <c r="F18" i="45" s="1"/>
  <c r="I20" i="58" s="1"/>
  <c r="H21" i="58"/>
  <c r="H23" i="58" s="1"/>
  <c r="H65" i="58" s="1"/>
  <c r="G65" i="58"/>
  <c r="I62" i="58"/>
  <c r="H62" i="58"/>
  <c r="H64" i="58" l="1"/>
  <c r="G17" i="45"/>
  <c r="G18" i="45" s="1"/>
  <c r="H17" i="45" s="1"/>
  <c r="H18" i="45" s="1"/>
  <c r="I21" i="58"/>
  <c r="I23" i="58" s="1"/>
  <c r="I64" i="58" l="1"/>
  <c r="I65" i="5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Joana Cordeiro</author>
  </authors>
  <commentList>
    <comment ref="A3" authorId="0" shapeId="0" xr:uid="{00000000-0006-0000-0400-000001000000}">
      <text>
        <r>
          <rPr>
            <sz val="8"/>
            <color indexed="81"/>
            <rFont val="Tahoma"/>
            <family val="2"/>
          </rPr>
          <t xml:space="preserve">(Prestação de Serviços)/12*PMR
</t>
        </r>
      </text>
    </comment>
    <comment ref="A4" authorId="0" shapeId="0" xr:uid="{00000000-0006-0000-0400-000002000000}">
      <text>
        <r>
          <rPr>
            <sz val="8"/>
            <color indexed="81"/>
            <rFont val="Tahoma"/>
            <family val="2"/>
          </rPr>
          <t>CMVMC/12*DME</t>
        </r>
      </text>
    </comment>
    <comment ref="A6" authorId="0" shapeId="0" xr:uid="{00000000-0006-0000-0400-000003000000}">
      <text>
        <r>
          <rPr>
            <sz val="8"/>
            <color indexed="81"/>
            <rFont val="Tahoma"/>
            <family val="2"/>
          </rPr>
          <t>(Compras + FSE)/12*PMP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Joana Cordeiro</author>
  </authors>
  <commentList>
    <comment ref="A10" authorId="0" shapeId="0" xr:uid="{00000000-0006-0000-0A00-000001000000}">
      <text>
        <r>
          <rPr>
            <sz val="8"/>
            <color indexed="81"/>
            <rFont val="Tahoma"/>
            <family val="2"/>
          </rPr>
          <t>Capital Próprio do Balanço</t>
        </r>
      </text>
    </comment>
  </commentList>
</comments>
</file>

<file path=xl/sharedStrings.xml><?xml version="1.0" encoding="utf-8"?>
<sst xmlns="http://schemas.openxmlformats.org/spreadsheetml/2006/main" count="279" uniqueCount="228">
  <si>
    <t>Total</t>
  </si>
  <si>
    <t>Clientes</t>
  </si>
  <si>
    <t>Total do Activo</t>
  </si>
  <si>
    <t>ACTIVO</t>
  </si>
  <si>
    <t>Fornecedores</t>
  </si>
  <si>
    <t>EBITDA</t>
  </si>
  <si>
    <t>Investimento em Imobilizado</t>
  </si>
  <si>
    <t>Saldo Anual</t>
  </si>
  <si>
    <t>CMVMC</t>
  </si>
  <si>
    <t>Descrição</t>
  </si>
  <si>
    <t>Inflação</t>
  </si>
  <si>
    <t>Necessidades Financeiras de Exploração</t>
  </si>
  <si>
    <t>Existências</t>
  </si>
  <si>
    <t>Recursos Financeiros de Exploração</t>
  </si>
  <si>
    <t>Mapa das Compras</t>
  </si>
  <si>
    <t>+ Existências Finais</t>
  </si>
  <si>
    <t>- Existências Iniciais</t>
  </si>
  <si>
    <t>Compras</t>
  </si>
  <si>
    <t>TIR</t>
  </si>
  <si>
    <t>Índice Acumulado Inflação</t>
  </si>
  <si>
    <t>Fundo Maneio</t>
  </si>
  <si>
    <t>Variação Fundo Maneio</t>
  </si>
  <si>
    <t>Rubricas</t>
  </si>
  <si>
    <t>Recebimentos do Ano</t>
  </si>
  <si>
    <t>Vendas do Ano</t>
  </si>
  <si>
    <t>(+) Total dos Recebimentos</t>
  </si>
  <si>
    <t>Pagamentos do Ano</t>
  </si>
  <si>
    <t>Compras pagas no ano</t>
  </si>
  <si>
    <t>Encargos com Pessoal</t>
  </si>
  <si>
    <t>Fornecimentos e Serviços externos</t>
  </si>
  <si>
    <t>Imposto sobre o Rendimento</t>
  </si>
  <si>
    <t>(-) Total dos Pagamentos</t>
  </si>
  <si>
    <t>(=) Saldo do Ano</t>
  </si>
  <si>
    <t>Provisão para Impostos</t>
  </si>
  <si>
    <t>Capital em dívida (início período)</t>
  </si>
  <si>
    <t>Juro Anual</t>
  </si>
  <si>
    <t>Reembolso Anual</t>
  </si>
  <si>
    <t>Valor em dívida</t>
  </si>
  <si>
    <t>Taxa de juro associada</t>
  </si>
  <si>
    <t>Amortizações</t>
  </si>
  <si>
    <t>Resultado Liquido</t>
  </si>
  <si>
    <t>Investimento em Fundo Maneio</t>
  </si>
  <si>
    <t>Investimento em Capital Fixo</t>
  </si>
  <si>
    <t>VAL</t>
  </si>
  <si>
    <t>Unidade monetária</t>
  </si>
  <si>
    <t>Euros</t>
  </si>
  <si>
    <t>1º Ano actividade</t>
  </si>
  <si>
    <t>Taxa de IVA - Prestação Serviços</t>
  </si>
  <si>
    <t>Taxa de IVA - CMVMC</t>
  </si>
  <si>
    <t>Taxa de IVA - FSE</t>
  </si>
  <si>
    <t>Taxa de IVA - Investimento</t>
  </si>
  <si>
    <t>Taxa de IRC</t>
  </si>
  <si>
    <t xml:space="preserve">Prazo médio de Recebimento (dias) </t>
  </si>
  <si>
    <t xml:space="preserve">Prazo médio de Pagamento (dias) </t>
  </si>
  <si>
    <t xml:space="preserve">Prazo médio de Stock (dias) </t>
  </si>
  <si>
    <t>%</t>
  </si>
  <si>
    <t>Prazo Médio EOEP</t>
  </si>
  <si>
    <t>Cash Flow de Exploração</t>
  </si>
  <si>
    <t>Cash Flow Total</t>
  </si>
  <si>
    <t>Necessidades Financeiras</t>
  </si>
  <si>
    <t>Reembolso de Empréstimos MLP</t>
  </si>
  <si>
    <t xml:space="preserve">   IRC</t>
  </si>
  <si>
    <t>Recursos Financeiros</t>
  </si>
  <si>
    <t>Aumento de Capital</t>
  </si>
  <si>
    <t>Disponibilidades Iniciais</t>
  </si>
  <si>
    <t>Disponibilidades Finais</t>
  </si>
  <si>
    <t>Desinvestimento em Fundo Maneio</t>
  </si>
  <si>
    <t>Cash Flow Acumulado</t>
  </si>
  <si>
    <t>Taxa de Aplicações Sem Risco (Rf)</t>
  </si>
  <si>
    <t>Taxa de Rendibilidade do Mercado Accionista (Rm)</t>
  </si>
  <si>
    <t>Beta Negócio Sem Efeito de Alavanca (Bu)</t>
  </si>
  <si>
    <t>Taxa Rendibilidade Desejada (Keu)</t>
  </si>
  <si>
    <t>PAY BACK PERIOD</t>
  </si>
  <si>
    <t>ANO</t>
  </si>
  <si>
    <t>Cash-Flows</t>
  </si>
  <si>
    <t>Payback Simples</t>
  </si>
  <si>
    <t>Cash Flows 
acumulados</t>
  </si>
  <si>
    <t>ANOS</t>
  </si>
  <si>
    <t>Investimento em Capital Circulante</t>
  </si>
  <si>
    <t>TSU - Entidade - órgãos sociais</t>
  </si>
  <si>
    <t>TSU- Entidade - colaboradores</t>
  </si>
  <si>
    <t>TSU - Pessoal - órgãos sociais</t>
  </si>
  <si>
    <t>TSU - Pessoal - colaboradores</t>
  </si>
  <si>
    <t xml:space="preserve">   Juros de Empréstimos MLP</t>
  </si>
  <si>
    <t>TOTAL €</t>
  </si>
  <si>
    <t>Colecta de IRC 17%</t>
  </si>
  <si>
    <t>Colecta de IRC 21%</t>
  </si>
  <si>
    <t>RUBRICAS</t>
  </si>
  <si>
    <t>RENDIMENTOS E GASTOS</t>
  </si>
  <si>
    <t>Resultado operacional (antes de gastos de financiamento e impostos)</t>
  </si>
  <si>
    <t>Resultado antes de impostos</t>
  </si>
  <si>
    <t>Resultado líquido do período</t>
  </si>
  <si>
    <t>Ganhos/perdas imputados de subsidiárias, associadas e empreend</t>
  </si>
  <si>
    <t>Vendas e serviços prestados</t>
  </si>
  <si>
    <t>Subsídios à exploração</t>
  </si>
  <si>
    <t>Variação nos inventários da produção</t>
  </si>
  <si>
    <t>Custo das mercadorias vendidas e das matérias consumidas</t>
  </si>
  <si>
    <t>Fornecimentos e serviços externos</t>
  </si>
  <si>
    <t>Gastos com o pessoal</t>
  </si>
  <si>
    <t>Outros rendimentos e ganhos</t>
  </si>
  <si>
    <t>Outros gastos e perdas</t>
  </si>
  <si>
    <t>Gastos/reversões de depreciação e de amortização</t>
  </si>
  <si>
    <t>Juros e rendimentos similares obtidos</t>
  </si>
  <si>
    <t>Juros e gastos similares suportados</t>
  </si>
  <si>
    <t>Imposto sobre o rendimento do período</t>
  </si>
  <si>
    <t>Activo não corrente:</t>
  </si>
  <si>
    <t>Activo corrente:</t>
  </si>
  <si>
    <t>CAPITAL PRÓPRIO E PASSIVO</t>
  </si>
  <si>
    <t>Capital próprio:</t>
  </si>
  <si>
    <t>Total do capital próprio</t>
  </si>
  <si>
    <t>Passivo</t>
  </si>
  <si>
    <t>Passivo não corrente:</t>
  </si>
  <si>
    <t>Passivo corrente:</t>
  </si>
  <si>
    <t>Total do passivo</t>
  </si>
  <si>
    <t>Total do Capital Próprio e do Passivo</t>
  </si>
  <si>
    <t>Activos fixos tangíveis</t>
  </si>
  <si>
    <t>Activos intangíveis</t>
  </si>
  <si>
    <t>Inventários</t>
  </si>
  <si>
    <t>Estado e outros entes públicos</t>
  </si>
  <si>
    <t>Diferimentos</t>
  </si>
  <si>
    <t>Caixa e depósitos bancários</t>
  </si>
  <si>
    <t>Capital realizado</t>
  </si>
  <si>
    <t>Acções (quotas) próprias</t>
  </si>
  <si>
    <t>Outros instrumentos de capital próprio</t>
  </si>
  <si>
    <t>Reservas legais</t>
  </si>
  <si>
    <t>Outras reservas</t>
  </si>
  <si>
    <t>Resultados transitados</t>
  </si>
  <si>
    <t>Interesses minoritários</t>
  </si>
  <si>
    <t>Financiamentos obtidos</t>
  </si>
  <si>
    <t>Outras contas a pagar</t>
  </si>
  <si>
    <t>Ativo +  Capital Próprio e Passivo</t>
  </si>
  <si>
    <t>DESIGNAÇÃO</t>
  </si>
  <si>
    <t>Nº</t>
  </si>
  <si>
    <t xml:space="preserve">N </t>
  </si>
  <si>
    <t>Encargos Totais Com o Pessoal</t>
  </si>
  <si>
    <t>Encargos Mensais  pessoal</t>
  </si>
  <si>
    <t>Índice</t>
  </si>
  <si>
    <t xml:space="preserve">Recursos Humanos </t>
  </si>
  <si>
    <t>Investimento</t>
  </si>
  <si>
    <t>Mapa Amortizações</t>
  </si>
  <si>
    <t>Rúbricas</t>
  </si>
  <si>
    <t>Resultados antes de deprec, gastos de finan e impostos</t>
  </si>
  <si>
    <t>Imparidade de invest depreciáveis/amortizáveis (perdas/reversões)</t>
  </si>
  <si>
    <t>Exercício</t>
  </si>
  <si>
    <t>Vencimento
Base</t>
  </si>
  <si>
    <t>Encargos
Sociais</t>
  </si>
  <si>
    <t>Valor
Ano</t>
  </si>
  <si>
    <t>Prestações Suplementares</t>
  </si>
  <si>
    <t>Encargos Financeiros
 ( Juros + Amort Capital)</t>
  </si>
  <si>
    <t>TOTAL</t>
  </si>
  <si>
    <t>Designação</t>
  </si>
  <si>
    <t>INVESTIMENTO TOTAL</t>
  </si>
  <si>
    <t>CAPITAIS PRÓPRIOS</t>
  </si>
  <si>
    <t>SUB TOTAL FES´S</t>
  </si>
  <si>
    <t>Mercado Nacional</t>
  </si>
  <si>
    <t>TOTAL FINANCIAMENTO</t>
  </si>
  <si>
    <t>ATIVO TANGÍVEL</t>
  </si>
  <si>
    <t>ATIVO INTANGÍVEL</t>
  </si>
  <si>
    <t>Empréstimos MLP P2020</t>
  </si>
  <si>
    <t>FINANCIAMENTO REEMBOLSÁVEL P2020</t>
  </si>
  <si>
    <t>Nº DE ANOS REEMBOLSO</t>
  </si>
  <si>
    <t>62- FSE´s Projeto</t>
  </si>
  <si>
    <t>FSE´s PROJETO</t>
  </si>
  <si>
    <t>Valor Mês</t>
  </si>
  <si>
    <t>Adiantamentos a Fornecedores</t>
  </si>
  <si>
    <t>Outras Contas a Receber</t>
  </si>
  <si>
    <t>AUTONOMINA FINANCEIRA</t>
  </si>
  <si>
    <t xml:space="preserve">Adiantamento de Clientes </t>
  </si>
  <si>
    <t>RECURSOS HUMANOS ATUAIS</t>
  </si>
  <si>
    <t>Alemanha</t>
  </si>
  <si>
    <t>FINANCIAMENTO EXISTENTE NA EMPRESA</t>
  </si>
  <si>
    <t>Outros Serviços</t>
  </si>
  <si>
    <t>Serviços especializados e RH related</t>
  </si>
  <si>
    <t>Investimentos Financeiros</t>
  </si>
  <si>
    <t>Imobilizado Existente na Empresa</t>
  </si>
  <si>
    <t xml:space="preserve">TOTAL </t>
  </si>
  <si>
    <t>VOLUME DE NEGÓCIOS POR MERCADO 2022</t>
  </si>
  <si>
    <t>França</t>
  </si>
  <si>
    <t>Marrocos</t>
  </si>
  <si>
    <t>Espanha</t>
  </si>
  <si>
    <t>Novos produtos</t>
  </si>
  <si>
    <t>Produtos atuais</t>
  </si>
  <si>
    <t>621 - Subcontratos</t>
  </si>
  <si>
    <t>Técnico Informática</t>
  </si>
  <si>
    <t>Consumo de Tokens</t>
  </si>
  <si>
    <t>Consultoria (Integração e Formação)</t>
  </si>
  <si>
    <t>Validação de Despesas (Outros Serviços de Consultoria)</t>
  </si>
  <si>
    <t>INVESTIMENTO
2026</t>
  </si>
  <si>
    <t>INVESTIMENTO
2027</t>
  </si>
  <si>
    <t>Contratação RH</t>
  </si>
  <si>
    <t>Validação de Despesas</t>
  </si>
  <si>
    <t>FINANCIAMENTO P2020 FUNDO PERDIDO 75% DO VALOR GLOBAL</t>
  </si>
  <si>
    <t xml:space="preserve">FINANCIAMENTO PRR GLOBAL </t>
  </si>
  <si>
    <t>FINANCIAMENTO P2020 REEMBOLSÁVEL  0% DO VALOR GLOBAL</t>
  </si>
  <si>
    <t>VBP</t>
  </si>
  <si>
    <t>Pré-Projeto</t>
  </si>
  <si>
    <t>Pós-Projeto</t>
  </si>
  <si>
    <t>Volume de Negócios</t>
  </si>
  <si>
    <t>Trabalhos para a própria entidade</t>
  </si>
  <si>
    <t>Rendimentos Suplementares</t>
  </si>
  <si>
    <t>Subsídios à Exploração</t>
  </si>
  <si>
    <t>CI</t>
  </si>
  <si>
    <t>FSE</t>
  </si>
  <si>
    <t>Impostos Indiretos</t>
  </si>
  <si>
    <t>VAB</t>
  </si>
  <si>
    <t>X</t>
  </si>
  <si>
    <t>Pré-Projeto
2024</t>
  </si>
  <si>
    <t>Pós-Projeto
2028</t>
  </si>
  <si>
    <t>Crescimento VAB</t>
  </si>
  <si>
    <t>Crescimento de 30% do VAB</t>
  </si>
  <si>
    <t xml:space="preserve">622 - Serviços Especializados  </t>
  </si>
  <si>
    <t>623 - Materiais</t>
  </si>
  <si>
    <t>624 - Energia e Fluidos</t>
  </si>
  <si>
    <t>625- Deslocações, Estadas e transportes</t>
  </si>
  <si>
    <t xml:space="preserve">626 - Serviços Diversos </t>
  </si>
  <si>
    <t>Desenvolvimento e Banco de Dados</t>
  </si>
  <si>
    <t>Licenças e Ferramentas</t>
  </si>
  <si>
    <t>Consultoria (Integração e formação)</t>
  </si>
  <si>
    <t>Outros encargos mensais</t>
  </si>
  <si>
    <t>Nota: Encargos patronais alterados para 20% por causa do IES 2024. Futuramente corrigir para 23,75%</t>
  </si>
  <si>
    <t>Imparidade de dividas a receber (perdas/reversões)</t>
  </si>
  <si>
    <t>Aumentos/reduções de justo valor</t>
  </si>
  <si>
    <t>Propriedades de investimento</t>
  </si>
  <si>
    <t>Participações Financeiras - Método da equivalência patrimonial</t>
  </si>
  <si>
    <t>Estado E Outros Entes Públicos</t>
  </si>
  <si>
    <t>Outras variações no capital próprio</t>
  </si>
  <si>
    <t>Investimento de reposição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</si>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</sst>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6" formatCode="#,##0\ &quot;€&quot;;[Red]\-#,##0\ &quot;€&quot;"/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_ * #,##0_)_€_ ;_ * \(#,##0\)_€_ ;_ * &quot;-&quot;_)_€_ ;_ @_ "/>
    <numFmt numFmtId="166" formatCode="#,##0\ &quot;€&quot;"/>
    <numFmt numFmtId="167" formatCode="0.0"/>
    <numFmt numFmtId="168" formatCode="_(* #,##0_);_(* \(#,##0\);_(* &quot;-&quot;_);_(@_)"/>
    <numFmt numFmtId="169" formatCode="#,###.00;\(#,###.00\);"/>
    <numFmt numFmtId="170" formatCode="_-* #,##0.0000\ &quot;€&quot;_-;\-* #,##0.0000\ &quot;€&quot;_-;_-* &quot;-&quot;??\ &quot;€&quot;_-;_-@_-"/>
    <numFmt numFmtId="171" formatCode="_-* #,##0.000\ &quot;€&quot;_-;\-* #,##0.000\ &quot;€&quot;_-;_-* &quot;-&quot;??\ &quot;€&quot;_-;_-@_-"/>
    <numFmt numFmtId="172" formatCode="#,##0.00\ &quot;€&quot;"/>
    <numFmt numFmtId="173" formatCode="#,##0.0000"/>
    <numFmt numFmtId="174" formatCode="_-* #,##0.00000000000\ &quot;€&quot;_-;\-* #,##0.00000000000\ &quot;€&quot;_-;_-* &quot;-&quot;??\ &quot;€&quot;_-;_-@_-"/>
  </numFmts>
  <fonts count="4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8"/>
      <name val="Verdana"/>
      <family val="2"/>
    </font>
    <font>
      <sz val="8"/>
      <name val="Verdana"/>
      <family val="2"/>
    </font>
    <font>
      <sz val="8"/>
      <color indexed="81"/>
      <name val="Tahoma"/>
      <family val="2"/>
    </font>
    <font>
      <sz val="10"/>
      <name val="Arial"/>
      <family val="2"/>
    </font>
    <font>
      <sz val="12"/>
      <name val="Times New Roman"/>
      <family val="1"/>
    </font>
    <font>
      <b/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2"/>
      <color theme="0" tint="-0.34998626667073579"/>
      <name val="Calibri"/>
      <family val="2"/>
      <scheme val="minor"/>
    </font>
    <font>
      <i/>
      <sz val="8"/>
      <name val="Verdana"/>
      <family val="2"/>
    </font>
    <font>
      <sz val="11"/>
      <color rgb="FFFF0000"/>
      <name val="Calibri"/>
      <family val="2"/>
      <scheme val="minor"/>
    </font>
    <font>
      <u/>
      <sz val="10"/>
      <color indexed="12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12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8"/>
      <color rgb="FFFF0000"/>
      <name val="Verdana"/>
      <family val="2"/>
    </font>
    <font>
      <b/>
      <sz val="12"/>
      <name val="Arial"/>
      <family val="2"/>
    </font>
    <font>
      <i/>
      <sz val="1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  <font>
      <sz val="12"/>
      <name val="Lintel"/>
      <family val="3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indexed="8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indexed="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499984740745262"/>
        <bgColor indexed="64"/>
      </patternFill>
    </fill>
  </fills>
  <borders count="7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48">
    <xf numFmtId="0" fontId="0" fillId="0" borderId="0"/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6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3" fillId="0" borderId="0"/>
    <xf numFmtId="44" fontId="13" fillId="0" borderId="0" applyFont="0" applyFill="0" applyBorder="0" applyAlignment="0" applyProtection="0"/>
    <xf numFmtId="0" fontId="7" fillId="0" borderId="0"/>
    <xf numFmtId="4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6" fillId="0" borderId="0"/>
    <xf numFmtId="44" fontId="6" fillId="0" borderId="0" applyFont="0" applyFill="0" applyBorder="0" applyAlignment="0" applyProtection="0"/>
    <xf numFmtId="0" fontId="8" fillId="0" borderId="0"/>
    <xf numFmtId="9" fontId="13" fillId="0" borderId="0" applyFont="0" applyFill="0" applyBorder="0" applyAlignment="0" applyProtection="0"/>
    <xf numFmtId="168" fontId="13" fillId="0" borderId="0" applyFont="0" applyFill="0" applyBorder="0" applyAlignment="0" applyProtection="0"/>
    <xf numFmtId="0" fontId="6" fillId="0" borderId="0"/>
    <xf numFmtId="0" fontId="13" fillId="0" borderId="0"/>
    <xf numFmtId="0" fontId="5" fillId="0" borderId="0"/>
    <xf numFmtId="44" fontId="5" fillId="0" borderId="0" applyFont="0" applyFill="0" applyBorder="0" applyAlignment="0" applyProtection="0"/>
    <xf numFmtId="0" fontId="22" fillId="0" borderId="0" applyNumberFormat="0" applyFill="0" applyBorder="0" applyAlignment="0" applyProtection="0">
      <alignment vertical="top"/>
      <protection locked="0"/>
    </xf>
    <xf numFmtId="0" fontId="27" fillId="0" borderId="0">
      <protection locked="0"/>
    </xf>
    <xf numFmtId="0" fontId="8" fillId="0" borderId="0">
      <protection locked="0"/>
    </xf>
    <xf numFmtId="0" fontId="4" fillId="0" borderId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44" fontId="8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" fillId="0" borderId="0"/>
    <xf numFmtId="0" fontId="8" fillId="0" borderId="0"/>
    <xf numFmtId="0" fontId="1" fillId="0" borderId="0"/>
    <xf numFmtId="44" fontId="1" fillId="0" borderId="0" applyFont="0" applyFill="0" applyBorder="0" applyAlignment="0" applyProtection="0"/>
    <xf numFmtId="0" fontId="8" fillId="0" borderId="0">
      <protection locked="0"/>
    </xf>
    <xf numFmtId="0" fontId="1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</cellStyleXfs>
  <cellXfs count="515">
    <xf numFmtId="0" fontId="0" fillId="0" borderId="0" xfId="0"/>
    <xf numFmtId="0" fontId="11" fillId="2" borderId="0" xfId="0" applyFont="1" applyFill="1" applyAlignment="1">
      <alignment vertical="center"/>
    </xf>
    <xf numFmtId="0" fontId="11" fillId="2" borderId="0" xfId="0" applyFont="1" applyFill="1" applyAlignment="1">
      <alignment horizontal="left" vertical="center"/>
    </xf>
    <xf numFmtId="0" fontId="11" fillId="2" borderId="0" xfId="0" applyFont="1" applyFill="1"/>
    <xf numFmtId="0" fontId="11" fillId="0" borderId="0" xfId="0" applyFont="1"/>
    <xf numFmtId="0" fontId="11" fillId="0" borderId="0" xfId="0" applyFont="1" applyAlignment="1">
      <alignment vertical="center"/>
    </xf>
    <xf numFmtId="0" fontId="10" fillId="2" borderId="0" xfId="0" applyFont="1" applyFill="1" applyAlignment="1">
      <alignment vertical="center"/>
    </xf>
    <xf numFmtId="0" fontId="17" fillId="0" borderId="10" xfId="0" applyFont="1" applyBorder="1"/>
    <xf numFmtId="0" fontId="17" fillId="0" borderId="8" xfId="0" applyFont="1" applyBorder="1"/>
    <xf numFmtId="0" fontId="17" fillId="0" borderId="13" xfId="0" applyFont="1" applyBorder="1" applyAlignment="1">
      <alignment vertical="center"/>
    </xf>
    <xf numFmtId="0" fontId="17" fillId="0" borderId="14" xfId="0" applyFont="1" applyBorder="1" applyAlignment="1">
      <alignment vertical="center"/>
    </xf>
    <xf numFmtId="0" fontId="17" fillId="0" borderId="16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4" borderId="0" xfId="0" applyFont="1" applyFill="1" applyProtection="1">
      <protection hidden="1"/>
    </xf>
    <xf numFmtId="0" fontId="19" fillId="0" borderId="0" xfId="0" applyFont="1" applyAlignment="1" applyProtection="1">
      <alignment wrapText="1"/>
      <protection hidden="1"/>
    </xf>
    <xf numFmtId="0" fontId="20" fillId="2" borderId="0" xfId="0" applyFont="1" applyFill="1" applyAlignment="1">
      <alignment vertical="center"/>
    </xf>
    <xf numFmtId="0" fontId="18" fillId="4" borderId="6" xfId="0" applyFont="1" applyFill="1" applyBorder="1" applyProtection="1">
      <protection hidden="1"/>
    </xf>
    <xf numFmtId="6" fontId="18" fillId="0" borderId="15" xfId="0" applyNumberFormat="1" applyFont="1" applyBorder="1" applyAlignment="1">
      <alignment vertical="center"/>
    </xf>
    <xf numFmtId="0" fontId="18" fillId="0" borderId="15" xfId="0" applyFont="1" applyBorder="1" applyAlignment="1">
      <alignment horizontal="left" vertical="center"/>
    </xf>
    <xf numFmtId="0" fontId="17" fillId="0" borderId="15" xfId="0" applyFont="1" applyBorder="1" applyAlignment="1">
      <alignment horizontal="left" vertical="center"/>
    </xf>
    <xf numFmtId="0" fontId="18" fillId="5" borderId="6" xfId="0" applyFont="1" applyFill="1" applyBorder="1" applyAlignment="1">
      <alignment horizontal="left" vertical="center" indent="1"/>
    </xf>
    <xf numFmtId="0" fontId="17" fillId="0" borderId="15" xfId="0" applyFont="1" applyBorder="1" applyAlignment="1">
      <alignment vertical="center"/>
    </xf>
    <xf numFmtId="44" fontId="18" fillId="0" borderId="15" xfId="2" applyFont="1" applyBorder="1" applyAlignment="1">
      <alignment vertical="center"/>
    </xf>
    <xf numFmtId="0" fontId="8" fillId="0" borderId="0" xfId="13"/>
    <xf numFmtId="3" fontId="8" fillId="0" borderId="0" xfId="13" applyNumberFormat="1"/>
    <xf numFmtId="0" fontId="18" fillId="4" borderId="15" xfId="0" applyFont="1" applyFill="1" applyBorder="1" applyAlignment="1">
      <alignment horizontal="left" vertical="center"/>
    </xf>
    <xf numFmtId="0" fontId="17" fillId="4" borderId="15" xfId="0" applyFont="1" applyFill="1" applyBorder="1" applyAlignment="1">
      <alignment horizontal="left" vertical="center"/>
    </xf>
    <xf numFmtId="0" fontId="18" fillId="4" borderId="8" xfId="0" applyFont="1" applyFill="1" applyBorder="1" applyAlignment="1">
      <alignment horizontal="left" vertical="center"/>
    </xf>
    <xf numFmtId="0" fontId="17" fillId="0" borderId="0" xfId="0" applyFont="1" applyAlignment="1">
      <alignment horizontal="center"/>
    </xf>
    <xf numFmtId="0" fontId="18" fillId="2" borderId="0" xfId="0" applyFont="1" applyFill="1"/>
    <xf numFmtId="10" fontId="21" fillId="0" borderId="10" xfId="4" applyNumberFormat="1" applyFont="1" applyBorder="1" applyAlignment="1">
      <alignment horizontal="center"/>
    </xf>
    <xf numFmtId="10" fontId="21" fillId="0" borderId="11" xfId="4" applyNumberFormat="1" applyFont="1" applyBorder="1" applyAlignment="1">
      <alignment horizontal="center"/>
    </xf>
    <xf numFmtId="0" fontId="18" fillId="0" borderId="8" xfId="0" applyFont="1" applyBorder="1" applyAlignment="1">
      <alignment horizontal="center"/>
    </xf>
    <xf numFmtId="2" fontId="18" fillId="0" borderId="8" xfId="0" applyNumberFormat="1" applyFont="1" applyBorder="1" applyAlignment="1">
      <alignment horizontal="center"/>
    </xf>
    <xf numFmtId="2" fontId="18" fillId="0" borderId="12" xfId="0" applyNumberFormat="1" applyFont="1" applyBorder="1" applyAlignment="1">
      <alignment horizont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18" fillId="2" borderId="0" xfId="0" applyFont="1" applyFill="1" applyAlignment="1">
      <alignment vertical="center"/>
    </xf>
    <xf numFmtId="4" fontId="18" fillId="0" borderId="0" xfId="0" applyNumberFormat="1" applyFont="1" applyAlignment="1">
      <alignment vertical="center"/>
    </xf>
    <xf numFmtId="0" fontId="18" fillId="0" borderId="6" xfId="0" applyFont="1" applyBorder="1" applyAlignment="1" applyProtection="1">
      <alignment horizontal="right"/>
      <protection hidden="1"/>
    </xf>
    <xf numFmtId="9" fontId="18" fillId="0" borderId="0" xfId="3" applyFont="1" applyProtection="1">
      <protection hidden="1"/>
    </xf>
    <xf numFmtId="2" fontId="18" fillId="0" borderId="0" xfId="3" applyNumberFormat="1" applyFont="1" applyProtection="1">
      <protection hidden="1"/>
    </xf>
    <xf numFmtId="0" fontId="18" fillId="0" borderId="0" xfId="0" applyFont="1" applyAlignment="1" applyProtection="1">
      <alignment wrapText="1"/>
      <protection hidden="1"/>
    </xf>
    <xf numFmtId="0" fontId="18" fillId="0" borderId="6" xfId="0" applyFont="1" applyBorder="1" applyAlignment="1" applyProtection="1">
      <alignment horizontal="right"/>
      <protection locked="0"/>
    </xf>
    <xf numFmtId="0" fontId="18" fillId="0" borderId="0" xfId="0" applyFont="1" applyAlignment="1" applyProtection="1">
      <alignment horizontal="right"/>
      <protection locked="0"/>
    </xf>
    <xf numFmtId="0" fontId="18" fillId="0" borderId="0" xfId="0" applyFont="1" applyAlignment="1" applyProtection="1">
      <alignment horizontal="right"/>
      <protection hidden="1"/>
    </xf>
    <xf numFmtId="167" fontId="24" fillId="0" borderId="0" xfId="0" applyNumberFormat="1" applyFont="1" applyAlignment="1" applyProtection="1">
      <alignment horizontal="right"/>
      <protection hidden="1"/>
    </xf>
    <xf numFmtId="0" fontId="18" fillId="0" borderId="6" xfId="0" applyFont="1" applyBorder="1" applyProtection="1">
      <protection locked="0"/>
    </xf>
    <xf numFmtId="0" fontId="18" fillId="0" borderId="0" xfId="0" applyFont="1" applyProtection="1">
      <protection locked="0"/>
    </xf>
    <xf numFmtId="9" fontId="18" fillId="0" borderId="6" xfId="0" applyNumberFormat="1" applyFont="1" applyBorder="1" applyProtection="1">
      <protection locked="0"/>
    </xf>
    <xf numFmtId="0" fontId="18" fillId="0" borderId="0" xfId="0" applyFont="1" applyProtection="1">
      <protection hidden="1"/>
    </xf>
    <xf numFmtId="9" fontId="24" fillId="0" borderId="0" xfId="3" applyFont="1" applyAlignment="1" applyProtection="1">
      <alignment horizontal="left" indent="1"/>
      <protection hidden="1"/>
    </xf>
    <xf numFmtId="9" fontId="18" fillId="0" borderId="0" xfId="0" applyNumberFormat="1" applyFont="1" applyProtection="1">
      <protection locked="0"/>
    </xf>
    <xf numFmtId="10" fontId="18" fillId="0" borderId="6" xfId="0" applyNumberFormat="1" applyFont="1" applyBorder="1" applyProtection="1">
      <protection locked="0"/>
    </xf>
    <xf numFmtId="10" fontId="18" fillId="0" borderId="0" xfId="0" applyNumberFormat="1" applyFont="1" applyProtection="1">
      <protection locked="0"/>
    </xf>
    <xf numFmtId="0" fontId="18" fillId="2" borderId="0" xfId="0" applyFont="1" applyFill="1" applyAlignment="1">
      <alignment horizontal="left" vertical="center"/>
    </xf>
    <xf numFmtId="0" fontId="18" fillId="2" borderId="0" xfId="0" applyFont="1" applyFill="1" applyAlignment="1">
      <alignment horizontal="center" vertical="center"/>
    </xf>
    <xf numFmtId="166" fontId="17" fillId="0" borderId="10" xfId="0" applyNumberFormat="1" applyFont="1" applyBorder="1" applyAlignment="1">
      <alignment vertical="center"/>
    </xf>
    <xf numFmtId="166" fontId="18" fillId="0" borderId="15" xfId="0" applyNumberFormat="1" applyFont="1" applyBorder="1" applyAlignment="1">
      <alignment vertical="center"/>
    </xf>
    <xf numFmtId="166" fontId="17" fillId="0" borderId="15" xfId="0" applyNumberFormat="1" applyFont="1" applyBorder="1" applyAlignment="1">
      <alignment vertical="center"/>
    </xf>
    <xf numFmtId="166" fontId="18" fillId="0" borderId="0" xfId="0" applyNumberFormat="1" applyFont="1" applyAlignment="1">
      <alignment vertical="center"/>
    </xf>
    <xf numFmtId="0" fontId="26" fillId="0" borderId="0" xfId="0" applyFont="1" applyAlignment="1" applyProtection="1">
      <alignment wrapText="1"/>
      <protection hidden="1"/>
    </xf>
    <xf numFmtId="0" fontId="17" fillId="2" borderId="0" xfId="0" applyFont="1" applyFill="1" applyAlignment="1">
      <alignment vertical="center"/>
    </xf>
    <xf numFmtId="0" fontId="18" fillId="2" borderId="0" xfId="0" applyFont="1" applyFill="1" applyAlignment="1">
      <alignment horizontal="left" vertical="center" wrapText="1"/>
    </xf>
    <xf numFmtId="166" fontId="18" fillId="2" borderId="0" xfId="0" applyNumberFormat="1" applyFont="1" applyFill="1" applyAlignment="1">
      <alignment horizontal="left" vertical="center" wrapText="1"/>
    </xf>
    <xf numFmtId="0" fontId="18" fillId="2" borderId="0" xfId="0" applyFont="1" applyFill="1" applyAlignment="1">
      <alignment vertical="center" wrapText="1"/>
    </xf>
    <xf numFmtId="3" fontId="18" fillId="6" borderId="0" xfId="13" applyNumberFormat="1" applyFont="1" applyFill="1"/>
    <xf numFmtId="3" fontId="18" fillId="0" borderId="0" xfId="13" applyNumberFormat="1" applyFont="1"/>
    <xf numFmtId="3" fontId="18" fillId="6" borderId="0" xfId="13" applyNumberFormat="1" applyFont="1" applyFill="1" applyAlignment="1">
      <alignment vertical="center"/>
    </xf>
    <xf numFmtId="6" fontId="18" fillId="0" borderId="15" xfId="2" applyNumberFormat="1" applyFont="1" applyBorder="1" applyAlignment="1">
      <alignment vertical="center"/>
    </xf>
    <xf numFmtId="44" fontId="18" fillId="0" borderId="15" xfId="2" applyFont="1" applyBorder="1" applyAlignment="1">
      <alignment horizontal="left" vertical="center"/>
    </xf>
    <xf numFmtId="44" fontId="17" fillId="0" borderId="15" xfId="0" applyNumberFormat="1" applyFont="1" applyBorder="1" applyAlignment="1">
      <alignment horizontal="left" vertical="center"/>
    </xf>
    <xf numFmtId="44" fontId="18" fillId="4" borderId="15" xfId="2" applyFont="1" applyFill="1" applyBorder="1" applyAlignment="1">
      <alignment vertical="center"/>
    </xf>
    <xf numFmtId="0" fontId="18" fillId="4" borderId="0" xfId="0" applyFont="1" applyFill="1" applyAlignment="1">
      <alignment vertical="center"/>
    </xf>
    <xf numFmtId="0" fontId="18" fillId="4" borderId="14" xfId="0" applyFont="1" applyFill="1" applyBorder="1" applyAlignment="1">
      <alignment horizontal="left" vertical="center" indent="1"/>
    </xf>
    <xf numFmtId="6" fontId="18" fillId="4" borderId="15" xfId="0" applyNumberFormat="1" applyFont="1" applyFill="1" applyBorder="1" applyAlignment="1">
      <alignment vertical="center"/>
    </xf>
    <xf numFmtId="0" fontId="18" fillId="4" borderId="14" xfId="0" applyFont="1" applyFill="1" applyBorder="1" applyAlignment="1">
      <alignment vertical="center"/>
    </xf>
    <xf numFmtId="0" fontId="18" fillId="4" borderId="14" xfId="0" applyFont="1" applyFill="1" applyBorder="1" applyAlignment="1">
      <alignment horizontal="left" vertical="center"/>
    </xf>
    <xf numFmtId="6" fontId="17" fillId="4" borderId="15" xfId="0" applyNumberFormat="1" applyFont="1" applyFill="1" applyBorder="1" applyAlignment="1">
      <alignment vertical="center"/>
    </xf>
    <xf numFmtId="44" fontId="18" fillId="4" borderId="15" xfId="0" applyNumberFormat="1" applyFont="1" applyFill="1" applyBorder="1" applyAlignment="1">
      <alignment vertical="center"/>
    </xf>
    <xf numFmtId="6" fontId="17" fillId="4" borderId="6" xfId="0" applyNumberFormat="1" applyFont="1" applyFill="1" applyBorder="1" applyAlignment="1">
      <alignment vertical="center"/>
    </xf>
    <xf numFmtId="0" fontId="18" fillId="4" borderId="10" xfId="0" applyFont="1" applyFill="1" applyBorder="1" applyAlignment="1">
      <alignment vertical="center"/>
    </xf>
    <xf numFmtId="44" fontId="18" fillId="4" borderId="10" xfId="0" applyNumberFormat="1" applyFont="1" applyFill="1" applyBorder="1" applyAlignment="1">
      <alignment vertical="center"/>
    </xf>
    <xf numFmtId="44" fontId="18" fillId="4" borderId="15" xfId="2" applyFont="1" applyFill="1" applyBorder="1" applyAlignment="1">
      <alignment horizontal="left" vertical="center" indent="1"/>
    </xf>
    <xf numFmtId="44" fontId="17" fillId="4" borderId="15" xfId="2" applyFont="1" applyFill="1" applyBorder="1" applyAlignment="1">
      <alignment vertical="center"/>
    </xf>
    <xf numFmtId="44" fontId="17" fillId="4" borderId="15" xfId="2" applyFont="1" applyFill="1" applyBorder="1" applyAlignment="1">
      <alignment horizontal="left" vertical="center"/>
    </xf>
    <xf numFmtId="44" fontId="18" fillId="4" borderId="8" xfId="2" applyFont="1" applyFill="1" applyBorder="1" applyAlignment="1">
      <alignment horizontal="left" vertical="center"/>
    </xf>
    <xf numFmtId="44" fontId="18" fillId="4" borderId="0" xfId="2" applyFont="1" applyFill="1" applyAlignment="1">
      <alignment vertical="center"/>
    </xf>
    <xf numFmtId="10" fontId="18" fillId="2" borderId="0" xfId="0" applyNumberFormat="1" applyFont="1" applyFill="1" applyAlignment="1">
      <alignment vertical="center"/>
    </xf>
    <xf numFmtId="0" fontId="27" fillId="0" borderId="0" xfId="21" applyProtection="1"/>
    <xf numFmtId="0" fontId="8" fillId="0" borderId="0" xfId="22" applyProtection="1"/>
    <xf numFmtId="0" fontId="29" fillId="0" borderId="21" xfId="21" applyFont="1" applyBorder="1" applyProtection="1"/>
    <xf numFmtId="3" fontId="31" fillId="0" borderId="0" xfId="13" applyNumberFormat="1" applyFont="1" applyAlignment="1">
      <alignment horizontal="center"/>
    </xf>
    <xf numFmtId="3" fontId="17" fillId="4" borderId="39" xfId="13" applyNumberFormat="1" applyFont="1" applyFill="1" applyBorder="1" applyAlignment="1">
      <alignment vertical="center"/>
    </xf>
    <xf numFmtId="3" fontId="30" fillId="4" borderId="39" xfId="13" applyNumberFormat="1" applyFont="1" applyFill="1" applyBorder="1" applyAlignment="1">
      <alignment horizontal="center" vertical="center"/>
    </xf>
    <xf numFmtId="0" fontId="30" fillId="0" borderId="0" xfId="23" applyFont="1"/>
    <xf numFmtId="0" fontId="4" fillId="0" borderId="0" xfId="23"/>
    <xf numFmtId="0" fontId="4" fillId="0" borderId="0" xfId="23" applyAlignment="1">
      <alignment horizontal="left"/>
    </xf>
    <xf numFmtId="0" fontId="15" fillId="0" borderId="0" xfId="13" applyFont="1" applyAlignment="1">
      <alignment horizontal="center"/>
    </xf>
    <xf numFmtId="0" fontId="28" fillId="0" borderId="2" xfId="21" applyFont="1" applyBorder="1" applyAlignment="1" applyProtection="1">
      <alignment horizontal="left"/>
    </xf>
    <xf numFmtId="0" fontId="8" fillId="0" borderId="0" xfId="21" applyFont="1" applyAlignment="1" applyProtection="1">
      <alignment horizontal="right"/>
    </xf>
    <xf numFmtId="169" fontId="27" fillId="0" borderId="0" xfId="21" applyNumberFormat="1" applyProtection="1"/>
    <xf numFmtId="4" fontId="27" fillId="0" borderId="0" xfId="21" applyNumberFormat="1" applyProtection="1"/>
    <xf numFmtId="44" fontId="14" fillId="2" borderId="0" xfId="0" applyNumberFormat="1" applyFont="1" applyFill="1" applyAlignment="1">
      <alignment vertical="center"/>
    </xf>
    <xf numFmtId="44" fontId="18" fillId="4" borderId="43" xfId="2" applyFont="1" applyFill="1" applyBorder="1" applyAlignment="1">
      <alignment vertical="center"/>
    </xf>
    <xf numFmtId="3" fontId="17" fillId="0" borderId="0" xfId="13" applyNumberFormat="1" applyFont="1" applyAlignment="1">
      <alignment vertical="center"/>
    </xf>
    <xf numFmtId="0" fontId="8" fillId="0" borderId="0" xfId="22" applyAlignment="1" applyProtection="1">
      <alignment horizontal="left"/>
    </xf>
    <xf numFmtId="0" fontId="32" fillId="2" borderId="0" xfId="0" applyFont="1" applyFill="1" applyAlignment="1">
      <alignment vertical="center"/>
    </xf>
    <xf numFmtId="10" fontId="17" fillId="2" borderId="32" xfId="3" applyNumberFormat="1" applyFont="1" applyFill="1" applyBorder="1" applyAlignment="1">
      <alignment horizontal="right" vertical="center"/>
    </xf>
    <xf numFmtId="44" fontId="18" fillId="5" borderId="6" xfId="2" applyFont="1" applyFill="1" applyBorder="1" applyAlignment="1">
      <alignment vertical="center"/>
    </xf>
    <xf numFmtId="44" fontId="17" fillId="4" borderId="15" xfId="0" applyNumberFormat="1" applyFont="1" applyFill="1" applyBorder="1" applyAlignment="1">
      <alignment vertical="center"/>
    </xf>
    <xf numFmtId="0" fontId="8" fillId="0" borderId="0" xfId="0" applyFont="1"/>
    <xf numFmtId="0" fontId="17" fillId="8" borderId="6" xfId="0" applyFont="1" applyFill="1" applyBorder="1" applyAlignment="1">
      <alignment horizontal="center" vertical="center"/>
    </xf>
    <xf numFmtId="0" fontId="17" fillId="8" borderId="9" xfId="0" applyFont="1" applyFill="1" applyBorder="1" applyAlignment="1">
      <alignment horizontal="center" vertical="center"/>
    </xf>
    <xf numFmtId="0" fontId="17" fillId="8" borderId="6" xfId="0" applyFont="1" applyFill="1" applyBorder="1" applyAlignment="1" applyProtection="1">
      <alignment horizontal="center" wrapText="1"/>
      <protection hidden="1"/>
    </xf>
    <xf numFmtId="0" fontId="33" fillId="7" borderId="0" xfId="20" applyFont="1" applyFill="1" applyAlignment="1" applyProtection="1">
      <alignment horizontal="center" vertical="center"/>
    </xf>
    <xf numFmtId="44" fontId="3" fillId="4" borderId="43" xfId="2" applyFont="1" applyFill="1" applyBorder="1" applyAlignment="1">
      <alignment vertical="center"/>
    </xf>
    <xf numFmtId="44" fontId="3" fillId="4" borderId="39" xfId="2" applyFont="1" applyFill="1" applyBorder="1" applyAlignment="1">
      <alignment vertical="center"/>
    </xf>
    <xf numFmtId="3" fontId="30" fillId="0" borderId="0" xfId="13" applyNumberFormat="1" applyFont="1" applyAlignment="1">
      <alignment horizontal="center"/>
    </xf>
    <xf numFmtId="44" fontId="18" fillId="0" borderId="28" xfId="2" applyFont="1" applyBorder="1"/>
    <xf numFmtId="3" fontId="34" fillId="0" borderId="0" xfId="13" applyNumberFormat="1" applyFont="1"/>
    <xf numFmtId="0" fontId="18" fillId="0" borderId="0" xfId="13" applyFont="1"/>
    <xf numFmtId="44" fontId="18" fillId="0" borderId="15" xfId="2" applyFont="1" applyBorder="1"/>
    <xf numFmtId="0" fontId="17" fillId="0" borderId="0" xfId="13" applyFont="1" applyAlignment="1">
      <alignment horizontal="center"/>
    </xf>
    <xf numFmtId="0" fontId="17" fillId="8" borderId="23" xfId="0" applyFont="1" applyFill="1" applyBorder="1" applyAlignment="1">
      <alignment horizontal="center" vertical="center"/>
    </xf>
    <xf numFmtId="0" fontId="17" fillId="8" borderId="24" xfId="0" applyFont="1" applyFill="1" applyBorder="1" applyAlignment="1">
      <alignment horizontal="center" vertical="center"/>
    </xf>
    <xf numFmtId="0" fontId="17" fillId="8" borderId="26" xfId="0" applyFont="1" applyFill="1" applyBorder="1" applyAlignment="1">
      <alignment vertical="center"/>
    </xf>
    <xf numFmtId="166" fontId="17" fillId="8" borderId="31" xfId="2" applyNumberFormat="1" applyFont="1" applyFill="1" applyBorder="1" applyAlignment="1">
      <alignment vertical="center"/>
    </xf>
    <xf numFmtId="166" fontId="17" fillId="3" borderId="15" xfId="0" applyNumberFormat="1" applyFont="1" applyFill="1" applyBorder="1" applyAlignment="1">
      <alignment vertical="center"/>
    </xf>
    <xf numFmtId="0" fontId="18" fillId="8" borderId="33" xfId="0" applyFont="1" applyFill="1" applyBorder="1" applyAlignment="1">
      <alignment vertical="center"/>
    </xf>
    <xf numFmtId="0" fontId="17" fillId="8" borderId="27" xfId="0" applyFont="1" applyFill="1" applyBorder="1" applyAlignment="1">
      <alignment horizontal="center" vertical="center"/>
    </xf>
    <xf numFmtId="0" fontId="17" fillId="4" borderId="44" xfId="0" applyFont="1" applyFill="1" applyBorder="1" applyAlignment="1">
      <alignment vertical="center"/>
    </xf>
    <xf numFmtId="0" fontId="18" fillId="4" borderId="34" xfId="0" applyFont="1" applyFill="1" applyBorder="1" applyAlignment="1">
      <alignment horizontal="left" vertical="center" indent="1"/>
    </xf>
    <xf numFmtId="0" fontId="17" fillId="4" borderId="34" xfId="0" applyFont="1" applyFill="1" applyBorder="1" applyAlignment="1">
      <alignment vertical="center"/>
    </xf>
    <xf numFmtId="0" fontId="17" fillId="3" borderId="34" xfId="0" applyFont="1" applyFill="1" applyBorder="1" applyAlignment="1">
      <alignment horizontal="right" vertical="center"/>
    </xf>
    <xf numFmtId="0" fontId="17" fillId="8" borderId="45" xfId="0" applyFont="1" applyFill="1" applyBorder="1" applyAlignment="1">
      <alignment horizontal="right" vertical="center"/>
    </xf>
    <xf numFmtId="166" fontId="17" fillId="8" borderId="29" xfId="0" applyNumberFormat="1" applyFont="1" applyFill="1" applyBorder="1" applyAlignment="1">
      <alignment vertical="center"/>
    </xf>
    <xf numFmtId="0" fontId="17" fillId="8" borderId="4" xfId="0" applyFont="1" applyFill="1" applyBorder="1" applyAlignment="1">
      <alignment horizontal="center" vertical="center"/>
    </xf>
    <xf numFmtId="0" fontId="18" fillId="8" borderId="22" xfId="0" applyFont="1" applyFill="1" applyBorder="1" applyAlignment="1">
      <alignment vertical="center"/>
    </xf>
    <xf numFmtId="0" fontId="17" fillId="4" borderId="1" xfId="0" applyFont="1" applyFill="1" applyBorder="1" applyAlignment="1">
      <alignment horizontal="left" vertical="center"/>
    </xf>
    <xf numFmtId="0" fontId="17" fillId="4" borderId="1" xfId="0" quotePrefix="1" applyFont="1" applyFill="1" applyBorder="1" applyAlignment="1">
      <alignment horizontal="left" vertical="center"/>
    </xf>
    <xf numFmtId="0" fontId="17" fillId="3" borderId="28" xfId="0" applyFont="1" applyFill="1" applyBorder="1" applyAlignment="1">
      <alignment horizontal="right" vertical="center"/>
    </xf>
    <xf numFmtId="166" fontId="17" fillId="3" borderId="29" xfId="0" applyNumberFormat="1" applyFont="1" applyFill="1" applyBorder="1" applyAlignment="1">
      <alignment vertical="center"/>
    </xf>
    <xf numFmtId="1" fontId="30" fillId="9" borderId="37" xfId="13" applyNumberFormat="1" applyFont="1" applyFill="1" applyBorder="1" applyAlignment="1">
      <alignment horizontal="center" vertical="center"/>
    </xf>
    <xf numFmtId="3" fontId="17" fillId="8" borderId="26" xfId="13" applyNumberFormat="1" applyFont="1" applyFill="1" applyBorder="1" applyAlignment="1">
      <alignment horizontal="right" vertical="center"/>
    </xf>
    <xf numFmtId="3" fontId="30" fillId="8" borderId="36" xfId="2" applyNumberFormat="1" applyFont="1" applyFill="1" applyBorder="1" applyAlignment="1">
      <alignment horizontal="center" vertical="center"/>
    </xf>
    <xf numFmtId="44" fontId="17" fillId="8" borderId="31" xfId="2" applyFont="1" applyFill="1" applyBorder="1" applyAlignment="1">
      <alignment horizontal="right" vertical="center"/>
    </xf>
    <xf numFmtId="44" fontId="17" fillId="8" borderId="35" xfId="2" applyFont="1" applyFill="1" applyBorder="1" applyAlignment="1">
      <alignment horizontal="right" vertical="center"/>
    </xf>
    <xf numFmtId="3" fontId="17" fillId="8" borderId="22" xfId="13" applyNumberFormat="1" applyFont="1" applyFill="1" applyBorder="1" applyAlignment="1">
      <alignment horizontal="center" vertical="center"/>
    </xf>
    <xf numFmtId="44" fontId="23" fillId="3" borderId="6" xfId="2" applyFont="1" applyFill="1" applyBorder="1" applyAlignment="1">
      <alignment horizontal="left" vertical="center" indent="1"/>
    </xf>
    <xf numFmtId="0" fontId="17" fillId="8" borderId="37" xfId="0" applyFont="1" applyFill="1" applyBorder="1" applyAlignment="1">
      <alignment vertical="center"/>
    </xf>
    <xf numFmtId="0" fontId="17" fillId="3" borderId="6" xfId="0" applyFont="1" applyFill="1" applyBorder="1" applyAlignment="1">
      <alignment horizontal="center" vertical="center"/>
    </xf>
    <xf numFmtId="0" fontId="17" fillId="8" borderId="17" xfId="0" applyFont="1" applyFill="1" applyBorder="1" applyAlignment="1">
      <alignment horizontal="center" vertical="center"/>
    </xf>
    <xf numFmtId="0" fontId="17" fillId="8" borderId="47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left" vertical="center"/>
    </xf>
    <xf numFmtId="6" fontId="18" fillId="0" borderId="18" xfId="2" applyNumberFormat="1" applyFont="1" applyBorder="1" applyAlignment="1">
      <alignment vertical="center"/>
    </xf>
    <xf numFmtId="0" fontId="17" fillId="3" borderId="48" xfId="0" applyFont="1" applyFill="1" applyBorder="1" applyAlignment="1">
      <alignment horizontal="left" vertical="center"/>
    </xf>
    <xf numFmtId="6" fontId="17" fillId="3" borderId="29" xfId="2" applyNumberFormat="1" applyFont="1" applyFill="1" applyBorder="1" applyAlignment="1">
      <alignment vertical="center"/>
    </xf>
    <xf numFmtId="6" fontId="17" fillId="3" borderId="30" xfId="2" applyNumberFormat="1" applyFont="1" applyFill="1" applyBorder="1" applyAlignment="1">
      <alignment vertical="center"/>
    </xf>
    <xf numFmtId="0" fontId="17" fillId="8" borderId="6" xfId="0" applyFont="1" applyFill="1" applyBorder="1" applyAlignment="1">
      <alignment vertical="center"/>
    </xf>
    <xf numFmtId="0" fontId="17" fillId="3" borderId="6" xfId="0" applyFont="1" applyFill="1" applyBorder="1" applyAlignment="1">
      <alignment vertical="center"/>
    </xf>
    <xf numFmtId="44" fontId="17" fillId="3" borderId="6" xfId="0" applyNumberFormat="1" applyFont="1" applyFill="1" applyBorder="1" applyAlignment="1">
      <alignment horizontal="right" vertical="center"/>
    </xf>
    <xf numFmtId="44" fontId="17" fillId="3" borderId="6" xfId="2" applyFont="1" applyFill="1" applyBorder="1" applyAlignment="1">
      <alignment horizontal="left" vertical="center" indent="1"/>
    </xf>
    <xf numFmtId="0" fontId="17" fillId="8" borderId="6" xfId="0" applyFont="1" applyFill="1" applyBorder="1" applyAlignment="1">
      <alignment horizontal="right" vertical="center"/>
    </xf>
    <xf numFmtId="0" fontId="18" fillId="8" borderId="17" xfId="0" applyFont="1" applyFill="1" applyBorder="1" applyAlignment="1">
      <alignment vertical="center"/>
    </xf>
    <xf numFmtId="0" fontId="17" fillId="4" borderId="6" xfId="0" applyFont="1" applyFill="1" applyBorder="1" applyAlignment="1">
      <alignment horizontal="right" vertical="center"/>
    </xf>
    <xf numFmtId="6" fontId="18" fillId="3" borderId="6" xfId="0" applyNumberFormat="1" applyFont="1" applyFill="1" applyBorder="1" applyAlignment="1">
      <alignment vertical="center"/>
    </xf>
    <xf numFmtId="6" fontId="17" fillId="8" borderId="6" xfId="0" applyNumberFormat="1" applyFont="1" applyFill="1" applyBorder="1" applyAlignment="1">
      <alignment vertical="center"/>
    </xf>
    <xf numFmtId="0" fontId="17" fillId="0" borderId="1" xfId="21" applyFont="1" applyBorder="1" applyProtection="1"/>
    <xf numFmtId="0" fontId="18" fillId="0" borderId="15" xfId="21" applyFont="1" applyBorder="1" applyProtection="1"/>
    <xf numFmtId="0" fontId="17" fillId="0" borderId="1" xfId="21" applyFont="1" applyBorder="1" applyAlignment="1" applyProtection="1">
      <alignment horizontal="center"/>
    </xf>
    <xf numFmtId="0" fontId="18" fillId="0" borderId="1" xfId="21" applyFont="1" applyBorder="1" applyProtection="1"/>
    <xf numFmtId="44" fontId="18" fillId="0" borderId="15" xfId="21" applyNumberFormat="1" applyFont="1" applyBorder="1" applyProtection="1"/>
    <xf numFmtId="169" fontId="18" fillId="0" borderId="15" xfId="21" applyNumberFormat="1" applyFont="1" applyBorder="1" applyAlignment="1" applyProtection="1">
      <alignment horizontal="right"/>
    </xf>
    <xf numFmtId="169" fontId="18" fillId="0" borderId="15" xfId="21" applyNumberFormat="1" applyFont="1" applyBorder="1" applyProtection="1"/>
    <xf numFmtId="0" fontId="18" fillId="0" borderId="1" xfId="21" applyFont="1" applyBorder="1" applyAlignment="1" applyProtection="1">
      <alignment horizontal="left"/>
    </xf>
    <xf numFmtId="0" fontId="17" fillId="0" borderId="1" xfId="21" applyFont="1" applyBorder="1" applyAlignment="1" applyProtection="1">
      <alignment horizontal="left" wrapText="1"/>
    </xf>
    <xf numFmtId="169" fontId="17" fillId="0" borderId="15" xfId="21" applyNumberFormat="1" applyFont="1" applyBorder="1" applyAlignment="1" applyProtection="1">
      <alignment horizontal="right" vertical="center"/>
    </xf>
    <xf numFmtId="0" fontId="17" fillId="0" borderId="1" xfId="21" applyFont="1" applyBorder="1" applyAlignment="1" applyProtection="1">
      <alignment horizontal="right"/>
    </xf>
    <xf numFmtId="169" fontId="17" fillId="0" borderId="15" xfId="21" applyNumberFormat="1" applyFont="1" applyBorder="1" applyAlignment="1" applyProtection="1">
      <alignment horizontal="right"/>
    </xf>
    <xf numFmtId="9" fontId="17" fillId="0" borderId="1" xfId="21" applyNumberFormat="1" applyFont="1" applyBorder="1" applyAlignment="1" applyProtection="1">
      <alignment horizontal="center"/>
    </xf>
    <xf numFmtId="0" fontId="18" fillId="0" borderId="1" xfId="21" applyFont="1" applyBorder="1" applyAlignment="1" applyProtection="1">
      <alignment horizontal="right"/>
    </xf>
    <xf numFmtId="0" fontId="17" fillId="8" borderId="46" xfId="21" applyFont="1" applyFill="1" applyBorder="1" applyAlignment="1" applyProtection="1">
      <alignment horizontal="center" vertical="center"/>
    </xf>
    <xf numFmtId="0" fontId="18" fillId="8" borderId="22" xfId="21" applyFont="1" applyFill="1" applyBorder="1" applyAlignment="1" applyProtection="1">
      <alignment vertical="center"/>
    </xf>
    <xf numFmtId="0" fontId="17" fillId="8" borderId="23" xfId="21" applyFont="1" applyFill="1" applyBorder="1" applyAlignment="1" applyProtection="1">
      <alignment horizontal="center" vertical="center"/>
    </xf>
    <xf numFmtId="0" fontId="17" fillId="0" borderId="14" xfId="22" applyFont="1" applyBorder="1" applyAlignment="1" applyProtection="1">
      <alignment horizontal="left"/>
    </xf>
    <xf numFmtId="0" fontId="18" fillId="0" borderId="14" xfId="22" applyFont="1" applyBorder="1" applyAlignment="1" applyProtection="1">
      <alignment horizontal="left"/>
    </xf>
    <xf numFmtId="0" fontId="18" fillId="0" borderId="16" xfId="22" applyFont="1" applyBorder="1" applyAlignment="1" applyProtection="1">
      <alignment horizontal="left"/>
    </xf>
    <xf numFmtId="0" fontId="17" fillId="0" borderId="16" xfId="22" applyFont="1" applyBorder="1" applyAlignment="1" applyProtection="1">
      <alignment horizontal="left"/>
    </xf>
    <xf numFmtId="0" fontId="25" fillId="0" borderId="14" xfId="22" applyFont="1" applyBorder="1" applyAlignment="1" applyProtection="1">
      <alignment horizontal="left"/>
    </xf>
    <xf numFmtId="0" fontId="17" fillId="8" borderId="17" xfId="0" applyFont="1" applyFill="1" applyBorder="1" applyAlignment="1">
      <alignment vertical="center"/>
    </xf>
    <xf numFmtId="0" fontId="17" fillId="8" borderId="14" xfId="0" applyFont="1" applyFill="1" applyBorder="1" applyAlignment="1">
      <alignment horizontal="right" vertical="center"/>
    </xf>
    <xf numFmtId="0" fontId="17" fillId="8" borderId="16" xfId="0" applyFont="1" applyFill="1" applyBorder="1" applyAlignment="1">
      <alignment horizontal="right" vertical="center"/>
    </xf>
    <xf numFmtId="164" fontId="17" fillId="3" borderId="19" xfId="5" applyFont="1" applyFill="1" applyBorder="1" applyAlignment="1">
      <alignment vertical="center"/>
    </xf>
    <xf numFmtId="0" fontId="17" fillId="3" borderId="9" xfId="0" applyFont="1" applyFill="1" applyBorder="1" applyAlignment="1">
      <alignment vertical="center"/>
    </xf>
    <xf numFmtId="44" fontId="17" fillId="8" borderId="6" xfId="2" applyFont="1" applyFill="1" applyBorder="1" applyAlignment="1">
      <alignment horizontal="left" vertical="center" indent="1"/>
    </xf>
    <xf numFmtId="0" fontId="17" fillId="8" borderId="6" xfId="22" applyFont="1" applyFill="1" applyBorder="1" applyAlignment="1" applyProtection="1">
      <alignment horizontal="center" vertical="center"/>
    </xf>
    <xf numFmtId="0" fontId="17" fillId="8" borderId="6" xfId="0" applyFont="1" applyFill="1" applyBorder="1" applyAlignment="1">
      <alignment horizontal="center" vertical="center" wrapText="1"/>
    </xf>
    <xf numFmtId="3" fontId="30" fillId="9" borderId="4" xfId="13" applyNumberFormat="1" applyFont="1" applyFill="1" applyBorder="1" applyAlignment="1">
      <alignment horizontal="center" vertical="center"/>
    </xf>
    <xf numFmtId="3" fontId="17" fillId="9" borderId="26" xfId="13" applyNumberFormat="1" applyFont="1" applyFill="1" applyBorder="1" applyAlignment="1">
      <alignment horizontal="center" vertical="center" wrapText="1"/>
    </xf>
    <xf numFmtId="3" fontId="17" fillId="9" borderId="31" xfId="13" applyNumberFormat="1" applyFont="1" applyFill="1" applyBorder="1" applyAlignment="1">
      <alignment horizontal="center" vertical="center" wrapText="1"/>
    </xf>
    <xf numFmtId="3" fontId="17" fillId="9" borderId="32" xfId="13" applyNumberFormat="1" applyFont="1" applyFill="1" applyBorder="1" applyAlignment="1">
      <alignment horizontal="center" vertical="center"/>
    </xf>
    <xf numFmtId="3" fontId="17" fillId="9" borderId="35" xfId="13" applyNumberFormat="1" applyFont="1" applyFill="1" applyBorder="1" applyAlignment="1">
      <alignment horizontal="center" vertical="center" wrapText="1"/>
    </xf>
    <xf numFmtId="169" fontId="21" fillId="0" borderId="15" xfId="21" applyNumberFormat="1" applyFont="1" applyBorder="1" applyAlignment="1" applyProtection="1">
      <alignment horizontal="right"/>
    </xf>
    <xf numFmtId="44" fontId="18" fillId="4" borderId="10" xfId="0" applyNumberFormat="1" applyFont="1" applyFill="1" applyBorder="1" applyAlignment="1">
      <alignment horizontal="center" vertical="center"/>
    </xf>
    <xf numFmtId="44" fontId="18" fillId="4" borderId="15" xfId="0" applyNumberFormat="1" applyFont="1" applyFill="1" applyBorder="1" applyAlignment="1">
      <alignment horizontal="center" vertical="center"/>
    </xf>
    <xf numFmtId="44" fontId="17" fillId="4" borderId="15" xfId="0" applyNumberFormat="1" applyFont="1" applyFill="1" applyBorder="1" applyAlignment="1">
      <alignment horizontal="center" vertical="center"/>
    </xf>
    <xf numFmtId="44" fontId="18" fillId="4" borderId="15" xfId="2" applyFont="1" applyFill="1" applyBorder="1" applyAlignment="1">
      <alignment horizontal="center" vertical="center"/>
    </xf>
    <xf numFmtId="44" fontId="17" fillId="4" borderId="15" xfId="2" applyFont="1" applyFill="1" applyBorder="1" applyAlignment="1">
      <alignment horizontal="center" vertical="center"/>
    </xf>
    <xf numFmtId="44" fontId="18" fillId="4" borderId="8" xfId="2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10" fontId="18" fillId="0" borderId="10" xfId="0" applyNumberFormat="1" applyFont="1" applyBorder="1" applyAlignment="1">
      <alignment horizontal="center" vertical="center"/>
    </xf>
    <xf numFmtId="10" fontId="18" fillId="0" borderId="15" xfId="0" applyNumberFormat="1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10" fontId="17" fillId="3" borderId="6" xfId="0" applyNumberFormat="1" applyFont="1" applyFill="1" applyBorder="1" applyAlignment="1">
      <alignment horizontal="center" vertical="center"/>
    </xf>
    <xf numFmtId="0" fontId="17" fillId="3" borderId="17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8" fillId="2" borderId="6" xfId="0" applyFont="1" applyFill="1" applyBorder="1" applyAlignment="1">
      <alignment horizontal="center" vertical="center"/>
    </xf>
    <xf numFmtId="44" fontId="18" fillId="2" borderId="6" xfId="0" applyNumberFormat="1" applyFont="1" applyFill="1" applyBorder="1" applyAlignment="1">
      <alignment horizontal="right" vertical="center"/>
    </xf>
    <xf numFmtId="44" fontId="18" fillId="2" borderId="6" xfId="0" applyNumberFormat="1" applyFont="1" applyFill="1" applyBorder="1" applyAlignment="1">
      <alignment vertical="center"/>
    </xf>
    <xf numFmtId="0" fontId="30" fillId="0" borderId="0" xfId="23" applyFont="1" applyAlignment="1">
      <alignment horizontal="left"/>
    </xf>
    <xf numFmtId="3" fontId="17" fillId="4" borderId="49" xfId="13" applyNumberFormat="1" applyFont="1" applyFill="1" applyBorder="1" applyAlignment="1">
      <alignment vertical="center"/>
    </xf>
    <xf numFmtId="3" fontId="30" fillId="4" borderId="49" xfId="13" applyNumberFormat="1" applyFont="1" applyFill="1" applyBorder="1" applyAlignment="1">
      <alignment horizontal="center" vertical="center"/>
    </xf>
    <xf numFmtId="44" fontId="3" fillId="4" borderId="49" xfId="2" applyFont="1" applyFill="1" applyBorder="1" applyAlignment="1">
      <alignment vertical="center"/>
    </xf>
    <xf numFmtId="44" fontId="3" fillId="4" borderId="50" xfId="2" applyFont="1" applyFill="1" applyBorder="1" applyAlignment="1">
      <alignment vertical="center"/>
    </xf>
    <xf numFmtId="44" fontId="18" fillId="4" borderId="50" xfId="2" applyFont="1" applyFill="1" applyBorder="1" applyAlignment="1">
      <alignment vertical="center"/>
    </xf>
    <xf numFmtId="44" fontId="18" fillId="6" borderId="15" xfId="2" applyFont="1" applyFill="1" applyBorder="1" applyAlignment="1">
      <alignment vertical="center"/>
    </xf>
    <xf numFmtId="0" fontId="17" fillId="6" borderId="14" xfId="13" applyFont="1" applyFill="1" applyBorder="1" applyAlignment="1">
      <alignment horizontal="center" vertical="center"/>
    </xf>
    <xf numFmtId="0" fontId="18" fillId="6" borderId="15" xfId="13" applyFont="1" applyFill="1" applyBorder="1" applyAlignment="1">
      <alignment vertical="center"/>
    </xf>
    <xf numFmtId="0" fontId="18" fillId="6" borderId="16" xfId="13" applyFont="1" applyFill="1" applyBorder="1" applyAlignment="1">
      <alignment vertical="center"/>
    </xf>
    <xf numFmtId="0" fontId="17" fillId="9" borderId="6" xfId="13" applyFont="1" applyFill="1" applyBorder="1" applyAlignment="1">
      <alignment vertical="center"/>
    </xf>
    <xf numFmtId="44" fontId="17" fillId="9" borderId="6" xfId="13" applyNumberFormat="1" applyFont="1" applyFill="1" applyBorder="1" applyAlignment="1">
      <alignment vertical="center"/>
    </xf>
    <xf numFmtId="44" fontId="18" fillId="6" borderId="14" xfId="2" applyFont="1" applyFill="1" applyBorder="1" applyAlignment="1">
      <alignment vertical="center"/>
    </xf>
    <xf numFmtId="9" fontId="17" fillId="0" borderId="15" xfId="13" applyNumberFormat="1" applyFont="1" applyBorder="1" applyAlignment="1">
      <alignment horizontal="center"/>
    </xf>
    <xf numFmtId="44" fontId="18" fillId="0" borderId="8" xfId="2" applyFont="1" applyBorder="1"/>
    <xf numFmtId="0" fontId="17" fillId="11" borderId="8" xfId="13" applyFont="1" applyFill="1" applyBorder="1" applyAlignment="1">
      <alignment horizontal="center"/>
    </xf>
    <xf numFmtId="44" fontId="17" fillId="11" borderId="8" xfId="2" applyFont="1" applyFill="1" applyBorder="1"/>
    <xf numFmtId="44" fontId="17" fillId="4" borderId="6" xfId="2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left" vertical="center"/>
    </xf>
    <xf numFmtId="44" fontId="10" fillId="2" borderId="6" xfId="2" applyFont="1" applyFill="1" applyBorder="1" applyAlignment="1">
      <alignment horizontal="left" vertical="center"/>
    </xf>
    <xf numFmtId="0" fontId="11" fillId="11" borderId="6" xfId="0" applyFont="1" applyFill="1" applyBorder="1" applyAlignment="1">
      <alignment horizontal="left" vertical="center"/>
    </xf>
    <xf numFmtId="44" fontId="10" fillId="11" borderId="6" xfId="2" applyFont="1" applyFill="1" applyBorder="1" applyAlignment="1">
      <alignment horizontal="left" vertical="center"/>
    </xf>
    <xf numFmtId="169" fontId="18" fillId="0" borderId="40" xfId="22" applyNumberFormat="1" applyFont="1" applyBorder="1" applyAlignment="1" applyProtection="1">
      <alignment horizontal="center"/>
    </xf>
    <xf numFmtId="0" fontId="18" fillId="13" borderId="15" xfId="0" applyFont="1" applyFill="1" applyBorder="1" applyAlignment="1">
      <alignment vertical="center" wrapText="1"/>
    </xf>
    <xf numFmtId="44" fontId="18" fillId="13" borderId="15" xfId="2" applyFont="1" applyFill="1" applyBorder="1" applyAlignment="1">
      <alignment vertical="center"/>
    </xf>
    <xf numFmtId="0" fontId="17" fillId="4" borderId="6" xfId="23" applyFont="1" applyFill="1" applyBorder="1" applyAlignment="1">
      <alignment horizontal="center" vertical="center"/>
    </xf>
    <xf numFmtId="44" fontId="30" fillId="0" borderId="0" xfId="2" applyFont="1" applyAlignment="1">
      <alignment horizontal="center"/>
    </xf>
    <xf numFmtId="0" fontId="4" fillId="0" borderId="0" xfId="23" applyAlignment="1">
      <alignment horizontal="center"/>
    </xf>
    <xf numFmtId="0" fontId="10" fillId="2" borderId="6" xfId="0" applyFont="1" applyFill="1" applyBorder="1" applyAlignment="1">
      <alignment horizontal="center" vertical="center"/>
    </xf>
    <xf numFmtId="44" fontId="15" fillId="5" borderId="6" xfId="2" applyFont="1" applyFill="1" applyBorder="1" applyAlignment="1">
      <alignment horizontal="center" vertical="center" wrapText="1"/>
    </xf>
    <xf numFmtId="44" fontId="0" fillId="0" borderId="0" xfId="0" applyNumberFormat="1"/>
    <xf numFmtId="0" fontId="36" fillId="5" borderId="0" xfId="0" applyFont="1" applyFill="1" applyAlignment="1">
      <alignment vertical="center"/>
    </xf>
    <xf numFmtId="44" fontId="15" fillId="5" borderId="0" xfId="0" applyNumberFormat="1" applyFont="1" applyFill="1"/>
    <xf numFmtId="0" fontId="36" fillId="14" borderId="0" xfId="0" applyFont="1" applyFill="1" applyAlignment="1">
      <alignment vertical="center"/>
    </xf>
    <xf numFmtId="44" fontId="15" fillId="14" borderId="0" xfId="2" applyFont="1" applyFill="1"/>
    <xf numFmtId="0" fontId="36" fillId="8" borderId="0" xfId="0" applyFont="1" applyFill="1" applyAlignment="1">
      <alignment vertical="center"/>
    </xf>
    <xf numFmtId="44" fontId="15" fillId="8" borderId="0" xfId="2" applyFont="1" applyFill="1"/>
    <xf numFmtId="0" fontId="36" fillId="10" borderId="0" xfId="0" applyFont="1" applyFill="1" applyAlignment="1">
      <alignment vertical="center"/>
    </xf>
    <xf numFmtId="44" fontId="15" fillId="10" borderId="0" xfId="0" applyNumberFormat="1" applyFont="1" applyFill="1"/>
    <xf numFmtId="44" fontId="15" fillId="8" borderId="6" xfId="2" applyFont="1" applyFill="1" applyBorder="1" applyAlignment="1">
      <alignment vertical="center"/>
    </xf>
    <xf numFmtId="44" fontId="30" fillId="10" borderId="0" xfId="23" applyNumberFormat="1" applyFont="1" applyFill="1" applyAlignment="1">
      <alignment horizontal="center"/>
    </xf>
    <xf numFmtId="0" fontId="30" fillId="11" borderId="6" xfId="23" applyFont="1" applyFill="1" applyBorder="1" applyAlignment="1">
      <alignment horizontal="right"/>
    </xf>
    <xf numFmtId="0" fontId="17" fillId="11" borderId="6" xfId="23" applyFont="1" applyFill="1" applyBorder="1" applyAlignment="1">
      <alignment horizontal="center" vertical="center"/>
    </xf>
    <xf numFmtId="9" fontId="30" fillId="0" borderId="0" xfId="23" applyNumberFormat="1" applyFont="1" applyAlignment="1">
      <alignment horizontal="center"/>
    </xf>
    <xf numFmtId="44" fontId="30" fillId="11" borderId="6" xfId="2" applyFont="1" applyFill="1" applyBorder="1" applyAlignment="1">
      <alignment horizontal="center"/>
    </xf>
    <xf numFmtId="0" fontId="15" fillId="5" borderId="17" xfId="0" applyFont="1" applyFill="1" applyBorder="1" applyAlignment="1">
      <alignment horizontal="center" vertical="center"/>
    </xf>
    <xf numFmtId="44" fontId="8" fillId="0" borderId="52" xfId="2" applyBorder="1"/>
    <xf numFmtId="44" fontId="8" fillId="0" borderId="53" xfId="2" applyBorder="1"/>
    <xf numFmtId="0" fontId="35" fillId="0" borderId="54" xfId="0" applyFont="1" applyBorder="1" applyAlignment="1">
      <alignment vertical="center"/>
    </xf>
    <xf numFmtId="0" fontId="15" fillId="8" borderId="17" xfId="0" applyFont="1" applyFill="1" applyBorder="1" applyAlignment="1">
      <alignment vertical="center"/>
    </xf>
    <xf numFmtId="44" fontId="15" fillId="5" borderId="9" xfId="2" applyFont="1" applyFill="1" applyBorder="1" applyAlignment="1">
      <alignment horizontal="center" vertical="center" wrapText="1"/>
    </xf>
    <xf numFmtId="44" fontId="0" fillId="0" borderId="55" xfId="2" applyFont="1" applyBorder="1"/>
    <xf numFmtId="44" fontId="0" fillId="0" borderId="56" xfId="2" applyFont="1" applyBorder="1"/>
    <xf numFmtId="44" fontId="0" fillId="0" borderId="57" xfId="2" applyFont="1" applyBorder="1"/>
    <xf numFmtId="0" fontId="36" fillId="4" borderId="0" xfId="0" applyFont="1" applyFill="1" applyAlignment="1">
      <alignment vertical="center"/>
    </xf>
    <xf numFmtId="44" fontId="15" fillId="4" borderId="0" xfId="2" applyFont="1" applyFill="1"/>
    <xf numFmtId="0" fontId="36" fillId="15" borderId="0" xfId="0" applyFont="1" applyFill="1" applyAlignment="1">
      <alignment vertical="center"/>
    </xf>
    <xf numFmtId="44" fontId="15" fillId="15" borderId="0" xfId="2" applyFont="1" applyFill="1"/>
    <xf numFmtId="0" fontId="15" fillId="10" borderId="0" xfId="0" applyFont="1" applyFill="1"/>
    <xf numFmtId="0" fontId="17" fillId="8" borderId="0" xfId="13" applyFont="1" applyFill="1" applyAlignment="1">
      <alignment horizontal="center" vertical="center"/>
    </xf>
    <xf numFmtId="44" fontId="17" fillId="9" borderId="8" xfId="13" applyNumberFormat="1" applyFont="1" applyFill="1" applyBorder="1" applyAlignment="1">
      <alignment vertical="center"/>
    </xf>
    <xf numFmtId="9" fontId="17" fillId="10" borderId="10" xfId="13" applyNumberFormat="1" applyFont="1" applyFill="1" applyBorder="1" applyAlignment="1">
      <alignment horizontal="center"/>
    </xf>
    <xf numFmtId="44" fontId="18" fillId="10" borderId="10" xfId="2" applyFont="1" applyFill="1" applyBorder="1"/>
    <xf numFmtId="0" fontId="17" fillId="10" borderId="9" xfId="13" applyFont="1" applyFill="1" applyBorder="1" applyAlignment="1">
      <alignment horizontal="center" vertical="center"/>
    </xf>
    <xf numFmtId="9" fontId="17" fillId="10" borderId="6" xfId="13" applyNumberFormat="1" applyFont="1" applyFill="1" applyBorder="1" applyAlignment="1">
      <alignment horizontal="center"/>
    </xf>
    <xf numFmtId="44" fontId="18" fillId="10" borderId="6" xfId="2" applyFont="1" applyFill="1" applyBorder="1"/>
    <xf numFmtId="0" fontId="18" fillId="10" borderId="26" xfId="0" applyFont="1" applyFill="1" applyBorder="1" applyAlignment="1">
      <alignment horizontal="center" vertical="center"/>
    </xf>
    <xf numFmtId="0" fontId="18" fillId="10" borderId="32" xfId="0" applyFont="1" applyFill="1" applyBorder="1" applyAlignment="1">
      <alignment horizontal="center" vertical="center"/>
    </xf>
    <xf numFmtId="0" fontId="17" fillId="8" borderId="25" xfId="0" applyFont="1" applyFill="1" applyBorder="1" applyAlignment="1">
      <alignment horizontal="center" vertical="center"/>
    </xf>
    <xf numFmtId="0" fontId="17" fillId="8" borderId="15" xfId="0" applyFont="1" applyFill="1" applyBorder="1" applyAlignment="1">
      <alignment horizontal="center" vertical="center"/>
    </xf>
    <xf numFmtId="0" fontId="17" fillId="0" borderId="10" xfId="0" applyFont="1" applyBorder="1" applyAlignment="1">
      <alignment vertical="center"/>
    </xf>
    <xf numFmtId="6" fontId="18" fillId="0" borderId="10" xfId="0" applyNumberFormat="1" applyFont="1" applyBorder="1" applyAlignment="1">
      <alignment vertical="center"/>
    </xf>
    <xf numFmtId="0" fontId="18" fillId="5" borderId="6" xfId="0" applyFont="1" applyFill="1" applyBorder="1" applyAlignment="1">
      <alignment horizontal="left" vertical="center"/>
    </xf>
    <xf numFmtId="0" fontId="17" fillId="0" borderId="8" xfId="0" applyFont="1" applyBorder="1" applyAlignment="1">
      <alignment horizontal="left" vertical="center"/>
    </xf>
    <xf numFmtId="0" fontId="18" fillId="0" borderId="8" xfId="0" applyFont="1" applyBorder="1" applyAlignment="1">
      <alignment horizontal="left" vertical="center" indent="1"/>
    </xf>
    <xf numFmtId="44" fontId="18" fillId="0" borderId="8" xfId="2" applyFont="1" applyBorder="1" applyAlignment="1">
      <alignment vertical="center"/>
    </xf>
    <xf numFmtId="6" fontId="18" fillId="0" borderId="13" xfId="0" applyNumberFormat="1" applyFont="1" applyBorder="1" applyAlignment="1">
      <alignment vertical="center"/>
    </xf>
    <xf numFmtId="44" fontId="18" fillId="0" borderId="14" xfId="2" applyFont="1" applyBorder="1" applyAlignment="1">
      <alignment vertical="center"/>
    </xf>
    <xf numFmtId="44" fontId="18" fillId="5" borderId="17" xfId="2" applyFont="1" applyFill="1" applyBorder="1" applyAlignment="1">
      <alignment vertical="center"/>
    </xf>
    <xf numFmtId="44" fontId="18" fillId="0" borderId="16" xfId="2" applyFont="1" applyBorder="1" applyAlignment="1">
      <alignment vertical="center"/>
    </xf>
    <xf numFmtId="44" fontId="18" fillId="5" borderId="9" xfId="2" applyFont="1" applyFill="1" applyBorder="1" applyAlignment="1">
      <alignment vertical="center"/>
    </xf>
    <xf numFmtId="6" fontId="18" fillId="0" borderId="11" xfId="0" applyNumberFormat="1" applyFont="1" applyBorder="1" applyAlignment="1">
      <alignment vertical="center"/>
    </xf>
    <xf numFmtId="44" fontId="18" fillId="0" borderId="3" xfId="2" applyFont="1" applyBorder="1" applyAlignment="1">
      <alignment vertical="center"/>
    </xf>
    <xf numFmtId="44" fontId="18" fillId="0" borderId="12" xfId="2" applyFont="1" applyBorder="1" applyAlignment="1">
      <alignment vertical="center"/>
    </xf>
    <xf numFmtId="9" fontId="17" fillId="4" borderId="6" xfId="0" applyNumberFormat="1" applyFont="1" applyFill="1" applyBorder="1" applyAlignment="1">
      <alignment horizontal="left" vertical="center"/>
    </xf>
    <xf numFmtId="44" fontId="17" fillId="4" borderId="6" xfId="2" applyFont="1" applyFill="1" applyBorder="1" applyAlignment="1">
      <alignment horizontal="left" vertical="center"/>
    </xf>
    <xf numFmtId="0" fontId="8" fillId="0" borderId="0" xfId="22" applyAlignment="1" applyProtection="1">
      <alignment horizontal="center"/>
    </xf>
    <xf numFmtId="0" fontId="15" fillId="0" borderId="0" xfId="22" applyFont="1" applyAlignment="1" applyProtection="1">
      <alignment horizontal="center"/>
    </xf>
    <xf numFmtId="0" fontId="17" fillId="8" borderId="24" xfId="21" applyFont="1" applyFill="1" applyBorder="1" applyAlignment="1" applyProtection="1">
      <alignment horizontal="center" vertical="center"/>
    </xf>
    <xf numFmtId="0" fontId="18" fillId="0" borderId="18" xfId="21" applyFont="1" applyBorder="1" applyProtection="1"/>
    <xf numFmtId="44" fontId="18" fillId="0" borderId="18" xfId="21" applyNumberFormat="1" applyFont="1" applyBorder="1" applyProtection="1"/>
    <xf numFmtId="169" fontId="21" fillId="0" borderId="18" xfId="21" applyNumberFormat="1" applyFont="1" applyBorder="1" applyAlignment="1" applyProtection="1">
      <alignment horizontal="right"/>
    </xf>
    <xf numFmtId="169" fontId="18" fillId="0" borderId="18" xfId="21" applyNumberFormat="1" applyFont="1" applyBorder="1" applyProtection="1"/>
    <xf numFmtId="169" fontId="17" fillId="0" borderId="18" xfId="21" applyNumberFormat="1" applyFont="1" applyBorder="1" applyAlignment="1" applyProtection="1">
      <alignment horizontal="right" vertical="center"/>
    </xf>
    <xf numFmtId="169" fontId="17" fillId="0" borderId="18" xfId="21" applyNumberFormat="1" applyFont="1" applyBorder="1" applyAlignment="1" applyProtection="1">
      <alignment horizontal="right"/>
    </xf>
    <xf numFmtId="169" fontId="18" fillId="0" borderId="18" xfId="21" applyNumberFormat="1" applyFont="1" applyBorder="1" applyAlignment="1" applyProtection="1">
      <alignment horizontal="right"/>
    </xf>
    <xf numFmtId="0" fontId="29" fillId="0" borderId="60" xfId="21" applyFont="1" applyBorder="1" applyProtection="1"/>
    <xf numFmtId="169" fontId="18" fillId="0" borderId="15" xfId="21" applyNumberFormat="1" applyFont="1" applyBorder="1" applyAlignment="1" applyProtection="1">
      <alignment horizontal="center" vertical="center"/>
    </xf>
    <xf numFmtId="0" fontId="17" fillId="8" borderId="58" xfId="21" applyFont="1" applyFill="1" applyBorder="1" applyAlignment="1" applyProtection="1">
      <alignment horizontal="center" vertical="center"/>
    </xf>
    <xf numFmtId="0" fontId="18" fillId="0" borderId="41" xfId="22" applyFont="1" applyBorder="1" applyAlignment="1" applyProtection="1">
      <alignment horizontal="center"/>
    </xf>
    <xf numFmtId="0" fontId="18" fillId="0" borderId="40" xfId="22" applyFont="1" applyBorder="1" applyAlignment="1" applyProtection="1">
      <alignment horizontal="center"/>
    </xf>
    <xf numFmtId="169" fontId="18" fillId="0" borderId="61" xfId="22" applyNumberFormat="1" applyFont="1" applyBorder="1" applyAlignment="1" applyProtection="1">
      <alignment horizontal="center"/>
    </xf>
    <xf numFmtId="169" fontId="18" fillId="0" borderId="42" xfId="22" applyNumberFormat="1" applyFont="1" applyBorder="1" applyAlignment="1" applyProtection="1">
      <alignment horizontal="center"/>
    </xf>
    <xf numFmtId="169" fontId="17" fillId="0" borderId="40" xfId="22" applyNumberFormat="1" applyFont="1" applyBorder="1" applyAlignment="1" applyProtection="1">
      <alignment horizontal="center"/>
    </xf>
    <xf numFmtId="0" fontId="18" fillId="0" borderId="42" xfId="22" applyFont="1" applyBorder="1" applyAlignment="1" applyProtection="1">
      <alignment horizontal="center"/>
    </xf>
    <xf numFmtId="4" fontId="18" fillId="0" borderId="40" xfId="22" applyNumberFormat="1" applyFont="1" applyBorder="1" applyAlignment="1" applyProtection="1">
      <alignment horizontal="center"/>
    </xf>
    <xf numFmtId="169" fontId="17" fillId="0" borderId="42" xfId="22" applyNumberFormat="1" applyFont="1" applyBorder="1" applyAlignment="1" applyProtection="1">
      <alignment horizontal="center"/>
    </xf>
    <xf numFmtId="169" fontId="25" fillId="0" borderId="40" xfId="22" applyNumberFormat="1" applyFont="1" applyBorder="1" applyAlignment="1" applyProtection="1">
      <alignment horizontal="center"/>
    </xf>
    <xf numFmtId="44" fontId="18" fillId="0" borderId="42" xfId="2" applyFont="1" applyBorder="1" applyAlignment="1">
      <alignment horizontal="center"/>
    </xf>
    <xf numFmtId="170" fontId="18" fillId="0" borderId="42" xfId="2" applyNumberFormat="1" applyFont="1" applyBorder="1" applyAlignment="1">
      <alignment horizontal="center"/>
    </xf>
    <xf numFmtId="0" fontId="15" fillId="11" borderId="0" xfId="22" applyFont="1" applyFill="1" applyAlignment="1" applyProtection="1">
      <alignment horizontal="center"/>
    </xf>
    <xf numFmtId="10" fontId="15" fillId="11" borderId="0" xfId="3" applyNumberFormat="1" applyFont="1" applyFill="1" applyAlignment="1">
      <alignment horizontal="center"/>
    </xf>
    <xf numFmtId="44" fontId="17" fillId="4" borderId="6" xfId="23" applyNumberFormat="1" applyFont="1" applyFill="1" applyBorder="1" applyAlignment="1">
      <alignment horizontal="center" vertical="center"/>
    </xf>
    <xf numFmtId="9" fontId="4" fillId="0" borderId="0" xfId="3" applyFont="1"/>
    <xf numFmtId="0" fontId="38" fillId="0" borderId="0" xfId="0" applyFont="1" applyAlignment="1">
      <alignment horizontal="left" vertical="center" indent="1"/>
    </xf>
    <xf numFmtId="0" fontId="37" fillId="0" borderId="0" xfId="0" applyFont="1" applyAlignment="1">
      <alignment vertical="center"/>
    </xf>
    <xf numFmtId="0" fontId="38" fillId="0" borderId="0" xfId="0" applyFont="1" applyAlignment="1">
      <alignment vertical="center"/>
    </xf>
    <xf numFmtId="0" fontId="17" fillId="17" borderId="10" xfId="21" applyFont="1" applyFill="1" applyBorder="1" applyProtection="1"/>
    <xf numFmtId="0" fontId="17" fillId="17" borderId="15" xfId="21" applyFont="1" applyFill="1" applyBorder="1" applyAlignment="1" applyProtection="1">
      <alignment horizontal="center"/>
    </xf>
    <xf numFmtId="169" fontId="18" fillId="17" borderId="15" xfId="21" applyNumberFormat="1" applyFont="1" applyFill="1" applyBorder="1" applyAlignment="1" applyProtection="1">
      <alignment horizontal="center" vertical="center"/>
    </xf>
    <xf numFmtId="0" fontId="18" fillId="17" borderId="15" xfId="21" applyFont="1" applyFill="1" applyBorder="1" applyProtection="1"/>
    <xf numFmtId="169" fontId="21" fillId="17" borderId="15" xfId="21" applyNumberFormat="1" applyFont="1" applyFill="1" applyBorder="1" applyAlignment="1" applyProtection="1">
      <alignment horizontal="right"/>
    </xf>
    <xf numFmtId="169" fontId="18" fillId="17" borderId="15" xfId="21" applyNumberFormat="1" applyFont="1" applyFill="1" applyBorder="1" applyAlignment="1" applyProtection="1">
      <alignment horizontal="right" vertical="center"/>
    </xf>
    <xf numFmtId="0" fontId="18" fillId="17" borderId="15" xfId="21" applyFont="1" applyFill="1" applyBorder="1" applyAlignment="1" applyProtection="1">
      <alignment horizontal="left"/>
    </xf>
    <xf numFmtId="169" fontId="17" fillId="17" borderId="15" xfId="21" applyNumberFormat="1" applyFont="1" applyFill="1" applyBorder="1" applyAlignment="1" applyProtection="1">
      <alignment horizontal="right" vertical="center"/>
    </xf>
    <xf numFmtId="169" fontId="17" fillId="17" borderId="15" xfId="21" applyNumberFormat="1" applyFont="1" applyFill="1" applyBorder="1" applyAlignment="1" applyProtection="1">
      <alignment horizontal="right"/>
    </xf>
    <xf numFmtId="9" fontId="17" fillId="17" borderId="15" xfId="21" applyNumberFormat="1" applyFont="1" applyFill="1" applyBorder="1" applyAlignment="1" applyProtection="1">
      <alignment horizontal="center"/>
    </xf>
    <xf numFmtId="0" fontId="28" fillId="17" borderId="21" xfId="21" applyFont="1" applyFill="1" applyBorder="1" applyAlignment="1" applyProtection="1">
      <alignment horizontal="left"/>
    </xf>
    <xf numFmtId="0" fontId="28" fillId="17" borderId="59" xfId="21" applyFont="1" applyFill="1" applyBorder="1" applyAlignment="1" applyProtection="1">
      <alignment horizontal="left"/>
    </xf>
    <xf numFmtId="171" fontId="18" fillId="0" borderId="42" xfId="2" applyNumberFormat="1" applyFont="1" applyBorder="1" applyAlignment="1">
      <alignment horizontal="center"/>
    </xf>
    <xf numFmtId="0" fontId="17" fillId="16" borderId="6" xfId="22" applyFont="1" applyFill="1" applyBorder="1" applyAlignment="1" applyProtection="1">
      <alignment horizontal="center" vertical="center"/>
    </xf>
    <xf numFmtId="0" fontId="18" fillId="16" borderId="41" xfId="22" applyFont="1" applyFill="1" applyBorder="1" applyAlignment="1" applyProtection="1">
      <alignment horizontal="center"/>
    </xf>
    <xf numFmtId="169" fontId="18" fillId="16" borderId="40" xfId="22" applyNumberFormat="1" applyFont="1" applyFill="1" applyBorder="1" applyAlignment="1" applyProtection="1">
      <alignment horizontal="center"/>
    </xf>
    <xf numFmtId="169" fontId="18" fillId="16" borderId="42" xfId="22" applyNumberFormat="1" applyFont="1" applyFill="1" applyBorder="1" applyAlignment="1" applyProtection="1">
      <alignment horizontal="center"/>
    </xf>
    <xf numFmtId="169" fontId="18" fillId="16" borderId="41" xfId="22" applyNumberFormat="1" applyFont="1" applyFill="1" applyBorder="1" applyAlignment="1" applyProtection="1">
      <alignment horizontal="center"/>
    </xf>
    <xf numFmtId="169" fontId="17" fillId="16" borderId="40" xfId="22" applyNumberFormat="1" applyFont="1" applyFill="1" applyBorder="1" applyAlignment="1" applyProtection="1">
      <alignment horizontal="center"/>
    </xf>
    <xf numFmtId="0" fontId="18" fillId="16" borderId="42" xfId="22" applyFont="1" applyFill="1" applyBorder="1" applyAlignment="1" applyProtection="1">
      <alignment horizontal="center"/>
    </xf>
    <xf numFmtId="169" fontId="21" fillId="16" borderId="41" xfId="22" applyNumberFormat="1" applyFont="1" applyFill="1" applyBorder="1" applyAlignment="1" applyProtection="1">
      <alignment horizontal="center"/>
    </xf>
    <xf numFmtId="169" fontId="21" fillId="16" borderId="40" xfId="22" applyNumberFormat="1" applyFont="1" applyFill="1" applyBorder="1" applyAlignment="1" applyProtection="1">
      <alignment horizontal="center"/>
    </xf>
    <xf numFmtId="169" fontId="17" fillId="16" borderId="42" xfId="22" applyNumberFormat="1" applyFont="1" applyFill="1" applyBorder="1" applyAlignment="1" applyProtection="1">
      <alignment horizontal="center"/>
    </xf>
    <xf numFmtId="0" fontId="18" fillId="16" borderId="14" xfId="22" applyFont="1" applyFill="1" applyBorder="1" applyAlignment="1" applyProtection="1">
      <alignment horizontal="center"/>
    </xf>
    <xf numFmtId="169" fontId="25" fillId="16" borderId="40" xfId="22" applyNumberFormat="1" applyFont="1" applyFill="1" applyBorder="1" applyAlignment="1" applyProtection="1">
      <alignment horizontal="center"/>
    </xf>
    <xf numFmtId="44" fontId="18" fillId="16" borderId="42" xfId="2" applyFont="1" applyFill="1" applyBorder="1" applyAlignment="1">
      <alignment horizontal="center"/>
    </xf>
    <xf numFmtId="10" fontId="15" fillId="16" borderId="0" xfId="3" applyNumberFormat="1" applyFont="1" applyFill="1" applyAlignment="1">
      <alignment horizontal="center"/>
    </xf>
    <xf numFmtId="0" fontId="8" fillId="16" borderId="0" xfId="22" applyFill="1" applyAlignment="1" applyProtection="1">
      <alignment horizontal="center"/>
    </xf>
    <xf numFmtId="0" fontId="8" fillId="4" borderId="0" xfId="22" applyFill="1" applyAlignment="1" applyProtection="1">
      <alignment horizontal="center"/>
    </xf>
    <xf numFmtId="0" fontId="33" fillId="4" borderId="0" xfId="20" applyFont="1" applyFill="1" applyAlignment="1" applyProtection="1">
      <alignment horizontal="center" vertical="center"/>
    </xf>
    <xf numFmtId="0" fontId="11" fillId="2" borderId="0" xfId="0" applyFont="1" applyFill="1" applyAlignment="1">
      <alignment horizontal="right" vertical="center"/>
    </xf>
    <xf numFmtId="166" fontId="17" fillId="3" borderId="63" xfId="0" applyNumberFormat="1" applyFont="1" applyFill="1" applyBorder="1" applyAlignment="1">
      <alignment vertical="center"/>
    </xf>
    <xf numFmtId="166" fontId="18" fillId="0" borderId="3" xfId="0" applyNumberFormat="1" applyFont="1" applyBorder="1" applyAlignment="1">
      <alignment vertical="center"/>
    </xf>
    <xf numFmtId="166" fontId="18" fillId="0" borderId="65" xfId="0" applyNumberFormat="1" applyFont="1" applyBorder="1" applyAlignment="1">
      <alignment vertical="center"/>
    </xf>
    <xf numFmtId="166" fontId="17" fillId="3" borderId="66" xfId="0" applyNumberFormat="1" applyFont="1" applyFill="1" applyBorder="1" applyAlignment="1">
      <alignment vertical="center"/>
    </xf>
    <xf numFmtId="166" fontId="18" fillId="0" borderId="14" xfId="0" applyNumberFormat="1" applyFont="1" applyBorder="1" applyAlignment="1">
      <alignment vertical="center"/>
    </xf>
    <xf numFmtId="0" fontId="17" fillId="8" borderId="64" xfId="0" applyFont="1" applyFill="1" applyBorder="1" applyAlignment="1">
      <alignment horizontal="center" vertical="center"/>
    </xf>
    <xf numFmtId="0" fontId="17" fillId="8" borderId="62" xfId="0" applyFont="1" applyFill="1" applyBorder="1" applyAlignment="1">
      <alignment horizontal="center" vertical="center"/>
    </xf>
    <xf numFmtId="0" fontId="17" fillId="8" borderId="67" xfId="0" applyFont="1" applyFill="1" applyBorder="1" applyAlignment="1">
      <alignment horizontal="center" vertical="center"/>
    </xf>
    <xf numFmtId="166" fontId="17" fillId="0" borderId="68" xfId="0" applyNumberFormat="1" applyFont="1" applyBorder="1" applyAlignment="1">
      <alignment vertical="center"/>
    </xf>
    <xf numFmtId="166" fontId="17" fillId="0" borderId="65" xfId="0" applyNumberFormat="1" applyFont="1" applyBorder="1" applyAlignment="1">
      <alignment vertical="center"/>
    </xf>
    <xf numFmtId="166" fontId="17" fillId="3" borderId="65" xfId="0" applyNumberFormat="1" applyFont="1" applyFill="1" applyBorder="1" applyAlignment="1">
      <alignment vertical="center"/>
    </xf>
    <xf numFmtId="166" fontId="17" fillId="8" borderId="66" xfId="0" applyNumberFormat="1" applyFont="1" applyFill="1" applyBorder="1" applyAlignment="1">
      <alignment vertical="center"/>
    </xf>
    <xf numFmtId="0" fontId="17" fillId="8" borderId="69" xfId="0" applyFont="1" applyFill="1" applyBorder="1" applyAlignment="1">
      <alignment horizontal="center" vertical="center"/>
    </xf>
    <xf numFmtId="166" fontId="17" fillId="0" borderId="13" xfId="0" applyNumberFormat="1" applyFont="1" applyBorder="1" applyAlignment="1">
      <alignment vertical="center"/>
    </xf>
    <xf numFmtId="166" fontId="17" fillId="0" borderId="14" xfId="0" applyNumberFormat="1" applyFont="1" applyBorder="1" applyAlignment="1">
      <alignment vertical="center"/>
    </xf>
    <xf numFmtId="166" fontId="17" fillId="3" borderId="14" xfId="0" applyNumberFormat="1" applyFont="1" applyFill="1" applyBorder="1" applyAlignment="1">
      <alignment vertical="center"/>
    </xf>
    <xf numFmtId="166" fontId="17" fillId="8" borderId="63" xfId="0" applyNumberFormat="1" applyFont="1" applyFill="1" applyBorder="1" applyAlignment="1">
      <alignment vertical="center"/>
    </xf>
    <xf numFmtId="169" fontId="18" fillId="16" borderId="61" xfId="22" applyNumberFormat="1" applyFont="1" applyFill="1" applyBorder="1" applyAlignment="1" applyProtection="1">
      <alignment horizontal="center"/>
    </xf>
    <xf numFmtId="0" fontId="17" fillId="10" borderId="14" xfId="13" applyFont="1" applyFill="1" applyBorder="1" applyAlignment="1">
      <alignment horizontal="center" vertical="center"/>
    </xf>
    <xf numFmtId="9" fontId="17" fillId="10" borderId="15" xfId="13" applyNumberFormat="1" applyFont="1" applyFill="1" applyBorder="1" applyAlignment="1">
      <alignment horizontal="center"/>
    </xf>
    <xf numFmtId="44" fontId="18" fillId="10" borderId="15" xfId="2" applyFont="1" applyFill="1" applyBorder="1"/>
    <xf numFmtId="9" fontId="17" fillId="10" borderId="3" xfId="13" applyNumberFormat="1" applyFont="1" applyFill="1" applyBorder="1" applyAlignment="1">
      <alignment horizontal="center"/>
    </xf>
    <xf numFmtId="0" fontId="17" fillId="10" borderId="6" xfId="13" applyFont="1" applyFill="1" applyBorder="1" applyAlignment="1">
      <alignment horizontal="center" vertical="center"/>
    </xf>
    <xf numFmtId="44" fontId="17" fillId="10" borderId="6" xfId="13" applyNumberFormat="1" applyFont="1" applyFill="1" applyBorder="1" applyAlignment="1">
      <alignment horizontal="center" vertical="center"/>
    </xf>
    <xf numFmtId="8" fontId="18" fillId="0" borderId="0" xfId="0" applyNumberFormat="1" applyFont="1" applyAlignment="1">
      <alignment horizontal="center" vertical="center"/>
    </xf>
    <xf numFmtId="10" fontId="18" fillId="0" borderId="15" xfId="3" applyNumberFormat="1" applyFont="1" applyBorder="1" applyProtection="1"/>
    <xf numFmtId="44" fontId="4" fillId="0" borderId="0" xfId="23" applyNumberFormat="1" applyAlignment="1">
      <alignment horizontal="center"/>
    </xf>
    <xf numFmtId="44" fontId="11" fillId="2" borderId="0" xfId="0" applyNumberFormat="1" applyFont="1" applyFill="1" applyAlignment="1">
      <alignment horizontal="left" vertical="center"/>
    </xf>
    <xf numFmtId="44" fontId="17" fillId="0" borderId="6" xfId="2" applyFont="1" applyFill="1" applyBorder="1" applyAlignment="1">
      <alignment horizontal="center" vertical="center"/>
    </xf>
    <xf numFmtId="10" fontId="30" fillId="0" borderId="0" xfId="3" applyNumberFormat="1" applyFont="1" applyAlignment="1">
      <alignment horizontal="center"/>
    </xf>
    <xf numFmtId="4" fontId="18" fillId="0" borderId="40" xfId="2" applyNumberFormat="1" applyFont="1" applyBorder="1" applyAlignment="1">
      <alignment horizontal="center"/>
    </xf>
    <xf numFmtId="0" fontId="30" fillId="18" borderId="6" xfId="0" applyFont="1" applyFill="1" applyBorder="1" applyAlignment="1">
      <alignment horizontal="center"/>
    </xf>
    <xf numFmtId="0" fontId="0" fillId="0" borderId="6" xfId="0" applyBorder="1"/>
    <xf numFmtId="172" fontId="0" fillId="0" borderId="6" xfId="0" applyNumberFormat="1" applyBorder="1" applyAlignment="1">
      <alignment horizontal="center"/>
    </xf>
    <xf numFmtId="0" fontId="30" fillId="0" borderId="6" xfId="0" applyFont="1" applyBorder="1" applyAlignment="1">
      <alignment horizontal="center"/>
    </xf>
    <xf numFmtId="172" fontId="30" fillId="0" borderId="6" xfId="0" applyNumberFormat="1" applyFont="1" applyBorder="1" applyAlignment="1">
      <alignment horizontal="center"/>
    </xf>
    <xf numFmtId="0" fontId="39" fillId="19" borderId="6" xfId="0" applyFont="1" applyFill="1" applyBorder="1" applyAlignment="1">
      <alignment horizontal="center"/>
    </xf>
    <xf numFmtId="172" fontId="39" fillId="19" borderId="6" xfId="0" applyNumberFormat="1" applyFont="1" applyFill="1" applyBorder="1" applyAlignment="1">
      <alignment horizontal="center"/>
    </xf>
    <xf numFmtId="0" fontId="8" fillId="0" borderId="0" xfId="21" applyFont="1" applyProtection="1"/>
    <xf numFmtId="0" fontId="30" fillId="18" borderId="6" xfId="0" applyFont="1" applyFill="1" applyBorder="1" applyAlignment="1">
      <alignment horizontal="center" wrapText="1"/>
    </xf>
    <xf numFmtId="0" fontId="30" fillId="18" borderId="6" xfId="0" applyFont="1" applyFill="1" applyBorder="1" applyAlignment="1">
      <alignment horizontal="center" vertical="center"/>
    </xf>
    <xf numFmtId="172" fontId="27" fillId="0" borderId="13" xfId="21" applyNumberFormat="1" applyBorder="1" applyProtection="1"/>
    <xf numFmtId="0" fontId="27" fillId="0" borderId="11" xfId="21" applyBorder="1" applyProtection="1"/>
    <xf numFmtId="172" fontId="27" fillId="0" borderId="14" xfId="21" applyNumberFormat="1" applyBorder="1" applyProtection="1"/>
    <xf numFmtId="0" fontId="15" fillId="0" borderId="3" xfId="21" applyFont="1" applyBorder="1" applyAlignment="1" applyProtection="1">
      <alignment horizontal="center"/>
    </xf>
    <xf numFmtId="0" fontId="27" fillId="0" borderId="14" xfId="21" applyBorder="1" applyProtection="1"/>
    <xf numFmtId="0" fontId="27" fillId="0" borderId="3" xfId="21" applyBorder="1" applyProtection="1"/>
    <xf numFmtId="0" fontId="15" fillId="0" borderId="14" xfId="21" applyFont="1" applyBorder="1" applyAlignment="1" applyProtection="1">
      <alignment horizontal="center"/>
    </xf>
    <xf numFmtId="0" fontId="17" fillId="17" borderId="0" xfId="21" applyFont="1" applyFill="1" applyProtection="1"/>
    <xf numFmtId="0" fontId="17" fillId="17" borderId="0" xfId="21" applyFont="1" applyFill="1" applyAlignment="1" applyProtection="1">
      <alignment horizontal="center"/>
    </xf>
    <xf numFmtId="10" fontId="18" fillId="0" borderId="18" xfId="3" applyNumberFormat="1" applyFont="1" applyBorder="1" applyProtection="1"/>
    <xf numFmtId="169" fontId="18" fillId="0" borderId="18" xfId="21" applyNumberFormat="1" applyFont="1" applyBorder="1" applyAlignment="1" applyProtection="1">
      <alignment horizontal="center" vertical="center"/>
    </xf>
    <xf numFmtId="9" fontId="17" fillId="15" borderId="6" xfId="0" applyNumberFormat="1" applyFont="1" applyFill="1" applyBorder="1" applyAlignment="1">
      <alignment horizontal="left" vertical="center"/>
    </xf>
    <xf numFmtId="4" fontId="18" fillId="6" borderId="0" xfId="13" applyNumberFormat="1" applyFont="1" applyFill="1"/>
    <xf numFmtId="4" fontId="40" fillId="6" borderId="0" xfId="13" applyNumberFormat="1" applyFont="1" applyFill="1"/>
    <xf numFmtId="173" fontId="18" fillId="6" borderId="0" xfId="13" applyNumberFormat="1" applyFont="1" applyFill="1"/>
    <xf numFmtId="44" fontId="3" fillId="10" borderId="43" xfId="2" applyFont="1" applyFill="1" applyBorder="1" applyAlignment="1">
      <alignment vertical="center"/>
    </xf>
    <xf numFmtId="3" fontId="18" fillId="10" borderId="0" xfId="13" applyNumberFormat="1" applyFont="1" applyFill="1"/>
    <xf numFmtId="4" fontId="18" fillId="0" borderId="0" xfId="13" applyNumberFormat="1" applyFont="1"/>
    <xf numFmtId="4" fontId="40" fillId="10" borderId="0" xfId="13" applyNumberFormat="1" applyFont="1" applyFill="1"/>
    <xf numFmtId="174" fontId="18" fillId="0" borderId="15" xfId="2" applyNumberFormat="1" applyFont="1" applyBorder="1"/>
    <xf numFmtId="169" fontId="18" fillId="0" borderId="15" xfId="21" applyNumberFormat="1" applyFont="1" applyBorder="1" applyAlignment="1" applyProtection="1">
      <alignment horizontal="right" vertical="center"/>
    </xf>
    <xf numFmtId="4" fontId="18" fillId="0" borderId="15" xfId="21" applyNumberFormat="1" applyFont="1" applyBorder="1" applyAlignment="1" applyProtection="1">
      <alignment horizontal="right" vertical="center"/>
    </xf>
    <xf numFmtId="4" fontId="18" fillId="0" borderId="15" xfId="21" applyNumberFormat="1" applyFont="1" applyBorder="1" applyAlignment="1" applyProtection="1">
      <alignment horizontal="right"/>
    </xf>
    <xf numFmtId="4" fontId="18" fillId="0" borderId="15" xfId="21" applyNumberFormat="1" applyFont="1" applyBorder="1" applyProtection="1"/>
    <xf numFmtId="4" fontId="18" fillId="16" borderId="41" xfId="22" applyNumberFormat="1" applyFont="1" applyFill="1" applyBorder="1" applyAlignment="1" applyProtection="1">
      <alignment horizontal="center"/>
    </xf>
    <xf numFmtId="10" fontId="27" fillId="0" borderId="0" xfId="3" applyNumberFormat="1" applyFont="1" applyProtection="1"/>
    <xf numFmtId="0" fontId="17" fillId="15" borderId="6" xfId="22" applyFont="1" applyFill="1" applyBorder="1" applyAlignment="1" applyProtection="1">
      <alignment horizontal="center" vertical="center"/>
    </xf>
    <xf numFmtId="0" fontId="18" fillId="15" borderId="41" xfId="22" applyFont="1" applyFill="1" applyBorder="1" applyAlignment="1" applyProtection="1">
      <alignment horizontal="center"/>
    </xf>
    <xf numFmtId="0" fontId="18" fillId="15" borderId="40" xfId="22" applyFont="1" applyFill="1" applyBorder="1" applyAlignment="1" applyProtection="1">
      <alignment horizontal="center"/>
    </xf>
    <xf numFmtId="169" fontId="18" fillId="15" borderId="40" xfId="22" applyNumberFormat="1" applyFont="1" applyFill="1" applyBorder="1" applyAlignment="1" applyProtection="1">
      <alignment horizontal="center"/>
    </xf>
    <xf numFmtId="169" fontId="18" fillId="15" borderId="61" xfId="22" applyNumberFormat="1" applyFont="1" applyFill="1" applyBorder="1" applyAlignment="1" applyProtection="1">
      <alignment horizontal="center"/>
    </xf>
    <xf numFmtId="169" fontId="18" fillId="15" borderId="42" xfId="22" applyNumberFormat="1" applyFont="1" applyFill="1" applyBorder="1" applyAlignment="1" applyProtection="1">
      <alignment horizontal="center"/>
    </xf>
    <xf numFmtId="4" fontId="18" fillId="15" borderId="40" xfId="2" applyNumberFormat="1" applyFont="1" applyFill="1" applyBorder="1" applyAlignment="1">
      <alignment horizontal="center"/>
    </xf>
    <xf numFmtId="169" fontId="17" fillId="15" borderId="40" xfId="22" applyNumberFormat="1" applyFont="1" applyFill="1" applyBorder="1" applyAlignment="1" applyProtection="1">
      <alignment horizontal="center"/>
    </xf>
    <xf numFmtId="0" fontId="18" fillId="15" borderId="42" xfId="22" applyFont="1" applyFill="1" applyBorder="1" applyAlignment="1" applyProtection="1">
      <alignment horizontal="center"/>
    </xf>
    <xf numFmtId="169" fontId="17" fillId="15" borderId="42" xfId="22" applyNumberFormat="1" applyFont="1" applyFill="1" applyBorder="1" applyAlignment="1" applyProtection="1">
      <alignment horizontal="center"/>
    </xf>
    <xf numFmtId="0" fontId="17" fillId="15" borderId="23" xfId="21" applyFont="1" applyFill="1" applyBorder="1" applyAlignment="1" applyProtection="1">
      <alignment horizontal="center" vertical="center"/>
    </xf>
    <xf numFmtId="0" fontId="18" fillId="15" borderId="15" xfId="21" applyFont="1" applyFill="1" applyBorder="1" applyProtection="1"/>
    <xf numFmtId="10" fontId="18" fillId="15" borderId="15" xfId="3" applyNumberFormat="1" applyFont="1" applyFill="1" applyBorder="1" applyProtection="1"/>
    <xf numFmtId="169" fontId="18" fillId="15" borderId="15" xfId="21" applyNumberFormat="1" applyFont="1" applyFill="1" applyBorder="1" applyAlignment="1" applyProtection="1">
      <alignment horizontal="right" vertical="center"/>
    </xf>
    <xf numFmtId="4" fontId="18" fillId="15" borderId="15" xfId="21" applyNumberFormat="1" applyFont="1" applyFill="1" applyBorder="1" applyAlignment="1" applyProtection="1">
      <alignment horizontal="right" vertical="center"/>
    </xf>
    <xf numFmtId="4" fontId="18" fillId="15" borderId="15" xfId="21" applyNumberFormat="1" applyFont="1" applyFill="1" applyBorder="1" applyAlignment="1" applyProtection="1">
      <alignment horizontal="right"/>
    </xf>
    <xf numFmtId="44" fontId="18" fillId="15" borderId="15" xfId="21" applyNumberFormat="1" applyFont="1" applyFill="1" applyBorder="1" applyProtection="1"/>
    <xf numFmtId="169" fontId="21" fillId="15" borderId="15" xfId="21" applyNumberFormat="1" applyFont="1" applyFill="1" applyBorder="1" applyAlignment="1" applyProtection="1">
      <alignment horizontal="right"/>
    </xf>
    <xf numFmtId="169" fontId="18" fillId="15" borderId="15" xfId="21" applyNumberFormat="1" applyFont="1" applyFill="1" applyBorder="1" applyProtection="1"/>
    <xf numFmtId="169" fontId="17" fillId="15" borderId="15" xfId="21" applyNumberFormat="1" applyFont="1" applyFill="1" applyBorder="1" applyAlignment="1" applyProtection="1">
      <alignment horizontal="right" vertical="center"/>
    </xf>
    <xf numFmtId="169" fontId="17" fillId="15" borderId="15" xfId="21" applyNumberFormat="1" applyFont="1" applyFill="1" applyBorder="1" applyAlignment="1" applyProtection="1">
      <alignment horizontal="right"/>
    </xf>
    <xf numFmtId="169" fontId="18" fillId="15" borderId="15" xfId="21" applyNumberFormat="1" applyFont="1" applyFill="1" applyBorder="1" applyAlignment="1" applyProtection="1">
      <alignment horizontal="right"/>
    </xf>
    <xf numFmtId="0" fontId="29" fillId="15" borderId="21" xfId="21" applyFont="1" applyFill="1" applyBorder="1" applyProtection="1"/>
    <xf numFmtId="0" fontId="8" fillId="0" borderId="0" xfId="21" applyFont="1" applyAlignment="1" applyProtection="1">
      <alignment horizontal="center"/>
    </xf>
    <xf numFmtId="0" fontId="23" fillId="4" borderId="10" xfId="0" applyFont="1" applyFill="1" applyBorder="1" applyAlignment="1">
      <alignment horizontal="center"/>
    </xf>
    <xf numFmtId="0" fontId="23" fillId="4" borderId="15" xfId="0" applyFont="1" applyFill="1" applyBorder="1" applyAlignment="1">
      <alignment horizontal="center"/>
    </xf>
    <xf numFmtId="0" fontId="23" fillId="4" borderId="8" xfId="0" applyFont="1" applyFill="1" applyBorder="1" applyAlignment="1">
      <alignment horizontal="center"/>
    </xf>
    <xf numFmtId="0" fontId="30" fillId="11" borderId="0" xfId="23" applyFont="1" applyFill="1" applyAlignment="1">
      <alignment horizontal="center"/>
    </xf>
    <xf numFmtId="1" fontId="17" fillId="9" borderId="33" xfId="13" applyNumberFormat="1" applyFont="1" applyFill="1" applyBorder="1" applyAlignment="1">
      <alignment horizontal="center" vertical="center" wrapText="1"/>
    </xf>
    <xf numFmtId="1" fontId="17" fillId="9" borderId="7" xfId="13" applyNumberFormat="1" applyFont="1" applyFill="1" applyBorder="1" applyAlignment="1">
      <alignment horizontal="center" vertical="center"/>
    </xf>
    <xf numFmtId="3" fontId="30" fillId="0" borderId="0" xfId="13" applyNumberFormat="1" applyFont="1" applyAlignment="1">
      <alignment horizontal="right"/>
    </xf>
    <xf numFmtId="1" fontId="17" fillId="9" borderId="37" xfId="13" applyNumberFormat="1" applyFont="1" applyFill="1" applyBorder="1" applyAlignment="1">
      <alignment horizontal="center" vertical="center"/>
    </xf>
    <xf numFmtId="1" fontId="17" fillId="9" borderId="5" xfId="13" applyNumberFormat="1" applyFont="1" applyFill="1" applyBorder="1" applyAlignment="1">
      <alignment horizontal="center" vertical="center"/>
    </xf>
    <xf numFmtId="1" fontId="17" fillId="9" borderId="38" xfId="13" applyNumberFormat="1" applyFont="1" applyFill="1" applyBorder="1" applyAlignment="1">
      <alignment horizontal="center" vertical="center"/>
    </xf>
    <xf numFmtId="3" fontId="17" fillId="9" borderId="33" xfId="13" applyNumberFormat="1" applyFont="1" applyFill="1" applyBorder="1" applyAlignment="1">
      <alignment horizontal="center" vertical="center"/>
    </xf>
    <xf numFmtId="3" fontId="17" fillId="9" borderId="7" xfId="13" applyNumberFormat="1" applyFont="1" applyFill="1" applyBorder="1" applyAlignment="1">
      <alignment horizontal="center" vertical="center"/>
    </xf>
    <xf numFmtId="1" fontId="17" fillId="9" borderId="10" xfId="13" applyNumberFormat="1" applyFont="1" applyFill="1" applyBorder="1" applyAlignment="1">
      <alignment horizontal="center" vertical="center"/>
    </xf>
    <xf numFmtId="1" fontId="17" fillId="9" borderId="8" xfId="13" applyNumberFormat="1" applyFont="1" applyFill="1" applyBorder="1" applyAlignment="1">
      <alignment horizontal="center" vertical="center"/>
    </xf>
    <xf numFmtId="1" fontId="17" fillId="9" borderId="13" xfId="13" applyNumberFormat="1" applyFont="1" applyFill="1" applyBorder="1" applyAlignment="1">
      <alignment horizontal="center" vertical="center"/>
    </xf>
    <xf numFmtId="1" fontId="17" fillId="9" borderId="16" xfId="13" applyNumberFormat="1" applyFont="1" applyFill="1" applyBorder="1" applyAlignment="1">
      <alignment horizontal="center" vertical="center"/>
    </xf>
    <xf numFmtId="0" fontId="33" fillId="7" borderId="0" xfId="20" applyFont="1" applyFill="1" applyAlignment="1" applyProtection="1">
      <alignment horizontal="center" vertical="center"/>
    </xf>
    <xf numFmtId="0" fontId="17" fillId="8" borderId="13" xfId="13" applyFont="1" applyFill="1" applyBorder="1" applyAlignment="1">
      <alignment horizontal="center" vertical="center"/>
    </xf>
    <xf numFmtId="0" fontId="17" fillId="8" borderId="20" xfId="13" applyFont="1" applyFill="1" applyBorder="1" applyAlignment="1">
      <alignment horizontal="center" vertical="center"/>
    </xf>
    <xf numFmtId="0" fontId="25" fillId="9" borderId="10" xfId="20" applyFont="1" applyFill="1" applyBorder="1" applyAlignment="1" applyProtection="1">
      <alignment horizontal="center" vertical="center"/>
    </xf>
    <xf numFmtId="0" fontId="17" fillId="9" borderId="8" xfId="13" applyFont="1" applyFill="1" applyBorder="1" applyAlignment="1">
      <alignment horizontal="center" vertical="center"/>
    </xf>
    <xf numFmtId="0" fontId="25" fillId="9" borderId="11" xfId="20" applyFont="1" applyFill="1" applyBorder="1" applyAlignment="1" applyProtection="1">
      <alignment horizontal="center" vertical="center"/>
    </xf>
    <xf numFmtId="0" fontId="17" fillId="9" borderId="12" xfId="13" applyFont="1" applyFill="1" applyBorder="1" applyAlignment="1">
      <alignment horizontal="center" vertical="center"/>
    </xf>
    <xf numFmtId="1" fontId="17" fillId="9" borderId="6" xfId="13" applyNumberFormat="1" applyFont="1" applyFill="1" applyBorder="1" applyAlignment="1">
      <alignment horizontal="center" vertical="center"/>
    </xf>
    <xf numFmtId="1" fontId="18" fillId="8" borderId="6" xfId="13" applyNumberFormat="1" applyFont="1" applyFill="1" applyBorder="1" applyAlignment="1">
      <alignment horizontal="center" vertical="center"/>
    </xf>
    <xf numFmtId="0" fontId="17" fillId="10" borderId="17" xfId="13" applyFont="1" applyFill="1" applyBorder="1" applyAlignment="1">
      <alignment horizontal="center" vertical="center"/>
    </xf>
    <xf numFmtId="0" fontId="17" fillId="10" borderId="19" xfId="13" applyFont="1" applyFill="1" applyBorder="1" applyAlignment="1">
      <alignment horizontal="center" vertical="center"/>
    </xf>
    <xf numFmtId="0" fontId="17" fillId="10" borderId="9" xfId="13" applyFont="1" applyFill="1" applyBorder="1" applyAlignment="1">
      <alignment horizontal="center" vertical="center"/>
    </xf>
    <xf numFmtId="0" fontId="25" fillId="9" borderId="8" xfId="20" applyFont="1" applyFill="1" applyBorder="1" applyAlignment="1" applyProtection="1">
      <alignment horizontal="center" vertical="center"/>
    </xf>
    <xf numFmtId="0" fontId="17" fillId="10" borderId="13" xfId="13" applyFont="1" applyFill="1" applyBorder="1" applyAlignment="1">
      <alignment horizontal="center" vertical="center"/>
    </xf>
    <xf numFmtId="0" fontId="17" fillId="10" borderId="20" xfId="13" applyFont="1" applyFill="1" applyBorder="1" applyAlignment="1">
      <alignment horizontal="center" vertical="center"/>
    </xf>
    <xf numFmtId="0" fontId="17" fillId="10" borderId="11" xfId="13" applyFont="1" applyFill="1" applyBorder="1" applyAlignment="1">
      <alignment horizontal="center" vertical="center"/>
    </xf>
    <xf numFmtId="1" fontId="17" fillId="12" borderId="10" xfId="13" applyNumberFormat="1" applyFont="1" applyFill="1" applyBorder="1" applyAlignment="1">
      <alignment horizontal="center" vertical="center"/>
    </xf>
    <xf numFmtId="1" fontId="17" fillId="11" borderId="15" xfId="13" applyNumberFormat="1" applyFont="1" applyFill="1" applyBorder="1" applyAlignment="1">
      <alignment horizontal="center" vertical="center"/>
    </xf>
    <xf numFmtId="0" fontId="17" fillId="12" borderId="10" xfId="13" applyFont="1" applyFill="1" applyBorder="1" applyAlignment="1">
      <alignment horizontal="center" vertical="center"/>
    </xf>
    <xf numFmtId="0" fontId="17" fillId="12" borderId="15" xfId="13" applyFont="1" applyFill="1" applyBorder="1" applyAlignment="1">
      <alignment horizontal="center" vertical="center"/>
    </xf>
    <xf numFmtId="0" fontId="17" fillId="11" borderId="16" xfId="13" applyFont="1" applyFill="1" applyBorder="1" applyAlignment="1">
      <alignment horizontal="center" vertical="center"/>
    </xf>
    <xf numFmtId="0" fontId="17" fillId="11" borderId="51" xfId="13" applyFont="1" applyFill="1" applyBorder="1" applyAlignment="1">
      <alignment horizontal="center" vertical="center"/>
    </xf>
    <xf numFmtId="0" fontId="10" fillId="10" borderId="13" xfId="0" applyFont="1" applyFill="1" applyBorder="1" applyAlignment="1">
      <alignment horizontal="center" vertical="center"/>
    </xf>
    <xf numFmtId="0" fontId="10" fillId="10" borderId="20" xfId="0" applyFont="1" applyFill="1" applyBorder="1" applyAlignment="1">
      <alignment horizontal="center" vertical="center"/>
    </xf>
    <xf numFmtId="0" fontId="10" fillId="10" borderId="11" xfId="0" applyFont="1" applyFill="1" applyBorder="1" applyAlignment="1">
      <alignment horizontal="center" vertical="center"/>
    </xf>
    <xf numFmtId="0" fontId="10" fillId="10" borderId="16" xfId="0" applyFont="1" applyFill="1" applyBorder="1" applyAlignment="1">
      <alignment horizontal="center" vertical="center"/>
    </xf>
    <xf numFmtId="0" fontId="10" fillId="10" borderId="51" xfId="0" applyFont="1" applyFill="1" applyBorder="1" applyAlignment="1">
      <alignment horizontal="center" vertical="center"/>
    </xf>
    <xf numFmtId="0" fontId="10" fillId="10" borderId="12" xfId="0" applyFont="1" applyFill="1" applyBorder="1" applyAlignment="1">
      <alignment horizontal="center" vertical="center"/>
    </xf>
    <xf numFmtId="0" fontId="8" fillId="0" borderId="16" xfId="21" applyFont="1" applyBorder="1" applyAlignment="1" applyProtection="1">
      <alignment horizontal="center"/>
    </xf>
    <xf numFmtId="0" fontId="8" fillId="0" borderId="12" xfId="21" applyFont="1" applyBorder="1" applyAlignment="1" applyProtection="1">
      <alignment horizontal="center"/>
    </xf>
    <xf numFmtId="0" fontId="17" fillId="8" borderId="6" xfId="22" applyFont="1" applyFill="1" applyBorder="1" applyAlignment="1" applyProtection="1">
      <alignment horizontal="left" vertical="center"/>
    </xf>
    <xf numFmtId="0" fontId="18" fillId="8" borderId="6" xfId="22" applyFont="1" applyFill="1" applyBorder="1" applyAlignment="1" applyProtection="1">
      <alignment horizontal="left" vertical="center"/>
    </xf>
    <xf numFmtId="0" fontId="17" fillId="8" borderId="16" xfId="22" applyFont="1" applyFill="1" applyBorder="1" applyAlignment="1" applyProtection="1">
      <alignment horizontal="center" vertical="center"/>
    </xf>
    <xf numFmtId="0" fontId="17" fillId="8" borderId="51" xfId="22" applyFont="1" applyFill="1" applyBorder="1" applyAlignment="1" applyProtection="1">
      <alignment horizontal="center" vertical="center"/>
    </xf>
    <xf numFmtId="0" fontId="19" fillId="0" borderId="20" xfId="0" applyFont="1" applyBorder="1" applyAlignment="1" applyProtection="1">
      <alignment horizontal="left" wrapText="1"/>
      <protection hidden="1"/>
    </xf>
    <xf numFmtId="0" fontId="17" fillId="2" borderId="0" xfId="0" applyFont="1" applyFill="1" applyAlignment="1">
      <alignment horizontal="center" vertical="center"/>
    </xf>
    <xf numFmtId="10" fontId="17" fillId="3" borderId="14" xfId="2" applyNumberFormat="1" applyFont="1" applyFill="1" applyBorder="1" applyAlignment="1">
      <alignment horizontal="center" vertical="center"/>
    </xf>
    <xf numFmtId="10" fontId="17" fillId="3" borderId="3" xfId="2" applyNumberFormat="1" applyFont="1" applyFill="1" applyBorder="1" applyAlignment="1">
      <alignment horizontal="center" vertical="center"/>
    </xf>
    <xf numFmtId="8" fontId="17" fillId="3" borderId="16" xfId="2" applyNumberFormat="1" applyFont="1" applyFill="1" applyBorder="1" applyAlignment="1">
      <alignment horizontal="center" vertical="center"/>
    </xf>
    <xf numFmtId="44" fontId="17" fillId="3" borderId="12" xfId="2" applyFont="1" applyFill="1" applyBorder="1" applyAlignment="1">
      <alignment horizontal="center" vertical="center"/>
    </xf>
  </cellXfs>
  <cellStyles count="48">
    <cellStyle name="Comma" xfId="5" builtinId="3"/>
    <cellStyle name="Currency" xfId="2" builtinId="4"/>
    <cellStyle name="Euro" xfId="1" xr:uid="{00000000-0005-0000-0000-000001000000}"/>
    <cellStyle name="Hyperlink" xfId="20" builtinId="8"/>
    <cellStyle name="Moeda 2" xfId="7" xr:uid="{00000000-0005-0000-0000-000004000000}"/>
    <cellStyle name="Moeda 2 2" xfId="30" xr:uid="{0F097DDC-40CB-49B5-863E-C1411E822DCB}"/>
    <cellStyle name="Moeda 3" xfId="9" xr:uid="{00000000-0005-0000-0000-000005000000}"/>
    <cellStyle name="Moeda 3 2" xfId="32" xr:uid="{27AF1046-A619-4BE1-ABB0-71869C71E400}"/>
    <cellStyle name="Moeda 4" xfId="12" xr:uid="{00000000-0005-0000-0000-000006000000}"/>
    <cellStyle name="Moeda 4 2" xfId="35" xr:uid="{A7A0832E-6A0A-442F-80D1-E6E3D6D49276}"/>
    <cellStyle name="Moeda 5" xfId="19" xr:uid="{00000000-0005-0000-0000-000007000000}"/>
    <cellStyle name="Moeda 5 2" xfId="41" xr:uid="{31CF87E5-7CB9-436C-AF23-CC7ACE2C9A97}"/>
    <cellStyle name="Moeda 6" xfId="25" xr:uid="{00000000-0005-0000-0000-000008000000}"/>
    <cellStyle name="Moeda 6 2" xfId="45" xr:uid="{E7243F54-5612-49AC-82D5-C3B7B6803325}"/>
    <cellStyle name="Moeda 7" xfId="27" xr:uid="{6DCE2330-74B6-4C31-816A-DD92666889B6}"/>
    <cellStyle name="Moeda 7 2" xfId="47" xr:uid="{544CC3FB-4BE7-4388-81F4-BAF65A0A4EAF}"/>
    <cellStyle name="Normal" xfId="0" builtinId="0"/>
    <cellStyle name="Normal 2" xfId="6" xr:uid="{00000000-0005-0000-0000-00000A000000}"/>
    <cellStyle name="Normal 2 2" xfId="16" xr:uid="{00000000-0005-0000-0000-00000B000000}"/>
    <cellStyle name="Normal 2 2 2" xfId="38" xr:uid="{6D2BE09B-7D24-4DB4-ADC1-09D555DD79F5}"/>
    <cellStyle name="Normal 2 3" xfId="29" xr:uid="{F769887F-8342-4ECB-AFFE-28602CB06EC8}"/>
    <cellStyle name="Normal 3" xfId="8" xr:uid="{00000000-0005-0000-0000-00000C000000}"/>
    <cellStyle name="Normal 3 2" xfId="13" xr:uid="{00000000-0005-0000-0000-00000D000000}"/>
    <cellStyle name="Normal 3 3" xfId="17" xr:uid="{00000000-0005-0000-0000-00000E000000}"/>
    <cellStyle name="Normal 3 3 2" xfId="39" xr:uid="{07BC0036-9397-4091-AF1A-F7D2737DF17B}"/>
    <cellStyle name="Normal 3 4" xfId="31" xr:uid="{3D5A26B3-889F-45A9-8FFA-15E63FD3C404}"/>
    <cellStyle name="Normal 4" xfId="11" xr:uid="{00000000-0005-0000-0000-00000F000000}"/>
    <cellStyle name="Normal 4 2" xfId="34" xr:uid="{659589C5-C7B7-40C7-8874-F9CFEBF76031}"/>
    <cellStyle name="Normal 5" xfId="18" xr:uid="{00000000-0005-0000-0000-000010000000}"/>
    <cellStyle name="Normal 5 2" xfId="40" xr:uid="{FCF68361-28BA-4FF8-B372-84DF558F02AA}"/>
    <cellStyle name="Normal 6" xfId="21" xr:uid="{00000000-0005-0000-0000-000011000000}"/>
    <cellStyle name="Normal 6 2" xfId="42" xr:uid="{3590849D-A391-4020-9CF7-408EAA8C29C1}"/>
    <cellStyle name="Normal 7" xfId="22" xr:uid="{00000000-0005-0000-0000-000012000000}"/>
    <cellStyle name="Normal 8" xfId="23" xr:uid="{00000000-0005-0000-0000-000013000000}"/>
    <cellStyle name="Normal 8 2" xfId="43" xr:uid="{E96D56CD-E88D-4267-BDE3-2970264BFBB7}"/>
    <cellStyle name="Normal 9" xfId="26" xr:uid="{3A009D24-7A4C-4EBE-A794-CE21466BD4A8}"/>
    <cellStyle name="Normal 9 2" xfId="46" xr:uid="{7B2E5CFB-1EE4-4825-BFE1-A36C7045775C}"/>
    <cellStyle name="Percent" xfId="3" builtinId="5"/>
    <cellStyle name="Percentagem 2" xfId="4" xr:uid="{00000000-0005-0000-0000-000015000000}"/>
    <cellStyle name="Percentagem 2 2" xfId="14" xr:uid="{00000000-0005-0000-0000-000016000000}"/>
    <cellStyle name="Percentagem 2 2 2" xfId="36" xr:uid="{AAFC1421-FD49-4B83-B721-338F79C6A8CA}"/>
    <cellStyle name="Percentagem 2 3" xfId="28" xr:uid="{B90A3931-0984-4437-AD48-9B2AF10B491A}"/>
    <cellStyle name="Percentagem 3" xfId="10" xr:uid="{00000000-0005-0000-0000-000017000000}"/>
    <cellStyle name="Percentagem 3 2" xfId="33" xr:uid="{C6A22745-4FC0-4495-BA9E-111AF1332EF1}"/>
    <cellStyle name="Percentagem 4" xfId="24" xr:uid="{00000000-0005-0000-0000-000018000000}"/>
    <cellStyle name="Percentagem 4 2" xfId="44" xr:uid="{2721872B-9E33-44F1-9B38-7BF0C31DB5F1}"/>
    <cellStyle name="Separador de milhares [0] 2" xfId="15" xr:uid="{00000000-0005-0000-0000-000019000000}"/>
    <cellStyle name="Separador de milhares [0] 2 2" xfId="37" xr:uid="{67048E60-20DC-4BD8-9CBD-738C6AE3CE95}"/>
  </cellStyles>
  <dxfs count="3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2D1C66"/>
      <rgbColor rgb="00F6BE00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66"/>
      <rgbColor rgb="00FFFF99"/>
      <rgbColor rgb="0099CCFF"/>
      <rgbColor rgb="00FF99CC"/>
      <rgbColor rgb="00CC99FF"/>
      <rgbColor rgb="00FEA348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99"/>
      <color rgb="FFF8F8F8"/>
      <color rgb="FFF49D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'Plano Financeiro '!A1"/><Relationship Id="rId13" Type="http://schemas.openxmlformats.org/officeDocument/2006/relationships/hyperlink" Target="#'Avalia&#231;&#227;o Investimento'!A1"/><Relationship Id="rId3" Type="http://schemas.openxmlformats.org/officeDocument/2006/relationships/hyperlink" Target="#'Fornecimento  Servi&#231;os Externos'!A1"/><Relationship Id="rId7" Type="http://schemas.openxmlformats.org/officeDocument/2006/relationships/hyperlink" Target="#Amortiza&#231;&#245;es!A1"/><Relationship Id="rId12" Type="http://schemas.openxmlformats.org/officeDocument/2006/relationships/hyperlink" Target="#'Balan&#231;o SNC'!A1"/><Relationship Id="rId2" Type="http://schemas.openxmlformats.org/officeDocument/2006/relationships/hyperlink" Target="#'Capital Circulante'!A1"/><Relationship Id="rId1" Type="http://schemas.openxmlformats.org/officeDocument/2006/relationships/hyperlink" Target="#Pressupostos!A1"/><Relationship Id="rId6" Type="http://schemas.openxmlformats.org/officeDocument/2006/relationships/hyperlink" Target="#'63_G. Pess.'!A1"/><Relationship Id="rId11" Type="http://schemas.openxmlformats.org/officeDocument/2006/relationships/hyperlink" Target="#'DR SNC'!A1"/><Relationship Id="rId5" Type="http://schemas.openxmlformats.org/officeDocument/2006/relationships/hyperlink" Target="#'Servi&#231;o da Divida Emp. Bancario'!A1"/><Relationship Id="rId10" Type="http://schemas.openxmlformats.org/officeDocument/2006/relationships/hyperlink" Target="#'Mov dos Impostos S Rendi'!A1"/><Relationship Id="rId4" Type="http://schemas.openxmlformats.org/officeDocument/2006/relationships/hyperlink" Target="#'Previs&#227;o Receitas'!A1"/><Relationship Id="rId9" Type="http://schemas.openxmlformats.org/officeDocument/2006/relationships/hyperlink" Target="#'Or&#231;amento da Tesouraria'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1</xdr:row>
      <xdr:rowOff>0</xdr:rowOff>
    </xdr:from>
    <xdr:to>
      <xdr:col>12</xdr:col>
      <xdr:colOff>28575</xdr:colOff>
      <xdr:row>3</xdr:row>
      <xdr:rowOff>95250</xdr:rowOff>
    </xdr:to>
    <xdr:sp macro="" textlink="">
      <xdr:nvSpPr>
        <xdr:cNvPr id="7" name="CaixaDeTexto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4286250" y="1609725"/>
          <a:ext cx="3057525" cy="4286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PT" sz="1100" b="1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Pressupostos</a:t>
          </a:r>
        </a:p>
        <a:p>
          <a:pPr algn="ctr"/>
          <a:r>
            <a:rPr lang="pt-PT" b="1"/>
            <a:t> </a:t>
          </a:r>
          <a:endParaRPr lang="pt-PT" sz="1100" b="1"/>
        </a:p>
      </xdr:txBody>
    </xdr:sp>
    <xdr:clientData/>
  </xdr:twoCellAnchor>
  <xdr:twoCellAnchor>
    <xdr:from>
      <xdr:col>12</xdr:col>
      <xdr:colOff>600075</xdr:colOff>
      <xdr:row>4</xdr:row>
      <xdr:rowOff>133350</xdr:rowOff>
    </xdr:from>
    <xdr:to>
      <xdr:col>18</xdr:col>
      <xdr:colOff>0</xdr:colOff>
      <xdr:row>7</xdr:row>
      <xdr:rowOff>76200</xdr:rowOff>
    </xdr:to>
    <xdr:sp macro="" textlink="">
      <xdr:nvSpPr>
        <xdr:cNvPr id="8" name="CaixaDeTexto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7915275" y="2238375"/>
          <a:ext cx="3057525" cy="4286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PT" sz="1100" b="1"/>
            <a:t>Capital Circulante</a:t>
          </a:r>
        </a:p>
      </xdr:txBody>
    </xdr:sp>
    <xdr:clientData/>
  </xdr:twoCellAnchor>
  <xdr:twoCellAnchor>
    <xdr:from>
      <xdr:col>7</xdr:col>
      <xdr:colOff>9525</xdr:colOff>
      <xdr:row>5</xdr:row>
      <xdr:rowOff>9525</xdr:rowOff>
    </xdr:from>
    <xdr:to>
      <xdr:col>12</xdr:col>
      <xdr:colOff>19050</xdr:colOff>
      <xdr:row>7</xdr:row>
      <xdr:rowOff>114300</xdr:rowOff>
    </xdr:to>
    <xdr:sp macro="" textlink="">
      <xdr:nvSpPr>
        <xdr:cNvPr id="9" name="CaixaDeTexto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4276725" y="819150"/>
          <a:ext cx="3057525" cy="4286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PT" sz="1100" b="1"/>
            <a:t>Fornecimento e Serviços Externos</a:t>
          </a:r>
        </a:p>
      </xdr:txBody>
    </xdr:sp>
    <xdr:clientData/>
  </xdr:twoCellAnchor>
  <xdr:twoCellAnchor>
    <xdr:from>
      <xdr:col>0</xdr:col>
      <xdr:colOff>590550</xdr:colOff>
      <xdr:row>5</xdr:row>
      <xdr:rowOff>19050</xdr:rowOff>
    </xdr:from>
    <xdr:to>
      <xdr:col>5</xdr:col>
      <xdr:colOff>600075</xdr:colOff>
      <xdr:row>7</xdr:row>
      <xdr:rowOff>123825</xdr:rowOff>
    </xdr:to>
    <xdr:sp macro="" textlink="">
      <xdr:nvSpPr>
        <xdr:cNvPr id="10" name="CaixaDeTexto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590550" y="2286000"/>
          <a:ext cx="3057525" cy="4286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PT" sz="1100" b="1"/>
            <a:t>Previsão das Receitas</a:t>
          </a:r>
        </a:p>
      </xdr:txBody>
    </xdr:sp>
    <xdr:clientData/>
  </xdr:twoCellAnchor>
  <xdr:twoCellAnchor>
    <xdr:from>
      <xdr:col>13</xdr:col>
      <xdr:colOff>0</xdr:colOff>
      <xdr:row>9</xdr:row>
      <xdr:rowOff>133350</xdr:rowOff>
    </xdr:from>
    <xdr:to>
      <xdr:col>18</xdr:col>
      <xdr:colOff>9525</xdr:colOff>
      <xdr:row>12</xdr:row>
      <xdr:rowOff>76200</xdr:rowOff>
    </xdr:to>
    <xdr:sp macro="" textlink="">
      <xdr:nvSpPr>
        <xdr:cNvPr id="11" name="CaixaDeTexto 10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7924800" y="1590675"/>
          <a:ext cx="3057525" cy="4286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pt-PT" sz="1100" b="1">
              <a:solidFill>
                <a:schemeClr val="dk1"/>
              </a:solidFill>
              <a:latin typeface="+mn-lt"/>
              <a:ea typeface="+mn-ea"/>
              <a:cs typeface="+mn-cs"/>
            </a:rPr>
            <a:t>Serviço da dívida</a:t>
          </a:r>
        </a:p>
      </xdr:txBody>
    </xdr:sp>
    <xdr:clientData/>
  </xdr:twoCellAnchor>
  <xdr:twoCellAnchor>
    <xdr:from>
      <xdr:col>1</xdr:col>
      <xdr:colOff>0</xdr:colOff>
      <xdr:row>9</xdr:row>
      <xdr:rowOff>142875</xdr:rowOff>
    </xdr:from>
    <xdr:to>
      <xdr:col>6</xdr:col>
      <xdr:colOff>9525</xdr:colOff>
      <xdr:row>12</xdr:row>
      <xdr:rowOff>85725</xdr:rowOff>
    </xdr:to>
    <xdr:sp macro="" textlink="">
      <xdr:nvSpPr>
        <xdr:cNvPr id="12" name="CaixaDeTexto 1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609600" y="1600200"/>
          <a:ext cx="3057525" cy="4286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pt-PT" sz="1100" b="1">
              <a:solidFill>
                <a:schemeClr val="dk1"/>
              </a:solidFill>
              <a:latin typeface="+mn-lt"/>
              <a:ea typeface="+mn-ea"/>
              <a:cs typeface="+mn-cs"/>
            </a:rPr>
            <a:t>Gastos com Pessoal</a:t>
          </a:r>
        </a:p>
      </xdr:txBody>
    </xdr:sp>
    <xdr:clientData/>
  </xdr:twoCellAnchor>
  <xdr:twoCellAnchor>
    <xdr:from>
      <xdr:col>7</xdr:col>
      <xdr:colOff>9525</xdr:colOff>
      <xdr:row>9</xdr:row>
      <xdr:rowOff>142875</xdr:rowOff>
    </xdr:from>
    <xdr:to>
      <xdr:col>12</xdr:col>
      <xdr:colOff>19050</xdr:colOff>
      <xdr:row>12</xdr:row>
      <xdr:rowOff>85725</xdr:rowOff>
    </xdr:to>
    <xdr:sp macro="" textlink="">
      <xdr:nvSpPr>
        <xdr:cNvPr id="13" name="CaixaDeTexto 12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4276725" y="1600200"/>
          <a:ext cx="3057525" cy="4286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pt-PT" sz="1100" b="1">
              <a:solidFill>
                <a:schemeClr val="dk1"/>
              </a:solidFill>
              <a:latin typeface="+mn-lt"/>
              <a:ea typeface="+mn-ea"/>
              <a:cs typeface="+mn-cs"/>
            </a:rPr>
            <a:t>Investimento e Amortizações</a:t>
          </a:r>
        </a:p>
      </xdr:txBody>
    </xdr:sp>
    <xdr:clientData/>
  </xdr:twoCellAnchor>
  <xdr:twoCellAnchor>
    <xdr:from>
      <xdr:col>13</xdr:col>
      <xdr:colOff>9525</xdr:colOff>
      <xdr:row>15</xdr:row>
      <xdr:rowOff>9525</xdr:rowOff>
    </xdr:from>
    <xdr:to>
      <xdr:col>18</xdr:col>
      <xdr:colOff>19050</xdr:colOff>
      <xdr:row>17</xdr:row>
      <xdr:rowOff>114300</xdr:rowOff>
    </xdr:to>
    <xdr:sp macro="" textlink="">
      <xdr:nvSpPr>
        <xdr:cNvPr id="14" name="CaixaDeTexto 13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7934325" y="2438400"/>
          <a:ext cx="3057525" cy="4286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pt-PT" sz="1100" b="1">
              <a:solidFill>
                <a:schemeClr val="dk1"/>
              </a:solidFill>
              <a:latin typeface="+mn-lt"/>
              <a:ea typeface="+mn-ea"/>
              <a:cs typeface="+mn-cs"/>
            </a:rPr>
            <a:t>Plano Financeiro</a:t>
          </a:r>
        </a:p>
      </xdr:txBody>
    </xdr:sp>
    <xdr:clientData/>
  </xdr:twoCellAnchor>
  <xdr:twoCellAnchor>
    <xdr:from>
      <xdr:col>6</xdr:col>
      <xdr:colOff>600075</xdr:colOff>
      <xdr:row>15</xdr:row>
      <xdr:rowOff>9525</xdr:rowOff>
    </xdr:from>
    <xdr:to>
      <xdr:col>12</xdr:col>
      <xdr:colOff>0</xdr:colOff>
      <xdr:row>17</xdr:row>
      <xdr:rowOff>114300</xdr:rowOff>
    </xdr:to>
    <xdr:sp macro="" textlink="">
      <xdr:nvSpPr>
        <xdr:cNvPr id="15" name="CaixaDeTexto 1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4257675" y="2438400"/>
          <a:ext cx="3057525" cy="4286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pt-PT" sz="1100" b="1">
              <a:solidFill>
                <a:schemeClr val="dk1"/>
              </a:solidFill>
              <a:latin typeface="+mn-lt"/>
              <a:ea typeface="+mn-ea"/>
              <a:cs typeface="+mn-cs"/>
            </a:rPr>
            <a:t>Orçamento Tesouraria</a:t>
          </a:r>
        </a:p>
      </xdr:txBody>
    </xdr:sp>
    <xdr:clientData/>
  </xdr:twoCellAnchor>
  <xdr:twoCellAnchor>
    <xdr:from>
      <xdr:col>1</xdr:col>
      <xdr:colOff>0</xdr:colOff>
      <xdr:row>15</xdr:row>
      <xdr:rowOff>0</xdr:rowOff>
    </xdr:from>
    <xdr:to>
      <xdr:col>6</xdr:col>
      <xdr:colOff>9525</xdr:colOff>
      <xdr:row>17</xdr:row>
      <xdr:rowOff>104775</xdr:rowOff>
    </xdr:to>
    <xdr:sp macro="" textlink="">
      <xdr:nvSpPr>
        <xdr:cNvPr id="16" name="CaixaDeTexto 15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609600" y="2428875"/>
          <a:ext cx="3057525" cy="4286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pt-PT" sz="1100" b="1">
              <a:solidFill>
                <a:schemeClr val="dk1"/>
              </a:solidFill>
              <a:latin typeface="+mn-lt"/>
              <a:ea typeface="+mn-ea"/>
              <a:cs typeface="+mn-cs"/>
            </a:rPr>
            <a:t>Movimento dos Impostos</a:t>
          </a:r>
        </a:p>
      </xdr:txBody>
    </xdr:sp>
    <xdr:clientData/>
  </xdr:twoCellAnchor>
  <xdr:twoCellAnchor>
    <xdr:from>
      <xdr:col>0</xdr:col>
      <xdr:colOff>590550</xdr:colOff>
      <xdr:row>20</xdr:row>
      <xdr:rowOff>0</xdr:rowOff>
    </xdr:from>
    <xdr:to>
      <xdr:col>5</xdr:col>
      <xdr:colOff>600075</xdr:colOff>
      <xdr:row>22</xdr:row>
      <xdr:rowOff>104775</xdr:rowOff>
    </xdr:to>
    <xdr:sp macro="" textlink="">
      <xdr:nvSpPr>
        <xdr:cNvPr id="17" name="CaixaDeTexto 16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590550" y="3238500"/>
          <a:ext cx="3057525" cy="4286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pt-PT" sz="1100" b="1">
              <a:solidFill>
                <a:schemeClr val="dk1"/>
              </a:solidFill>
              <a:latin typeface="+mn-lt"/>
              <a:ea typeface="+mn-ea"/>
              <a:cs typeface="+mn-cs"/>
            </a:rPr>
            <a:t>Demonstração de Resultados</a:t>
          </a:r>
        </a:p>
      </xdr:txBody>
    </xdr:sp>
    <xdr:clientData/>
  </xdr:twoCellAnchor>
  <xdr:twoCellAnchor>
    <xdr:from>
      <xdr:col>7</xdr:col>
      <xdr:colOff>9525</xdr:colOff>
      <xdr:row>19</xdr:row>
      <xdr:rowOff>152400</xdr:rowOff>
    </xdr:from>
    <xdr:to>
      <xdr:col>12</xdr:col>
      <xdr:colOff>19050</xdr:colOff>
      <xdr:row>22</xdr:row>
      <xdr:rowOff>95250</xdr:rowOff>
    </xdr:to>
    <xdr:sp macro="" textlink="">
      <xdr:nvSpPr>
        <xdr:cNvPr id="18" name="CaixaDeTexto 17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4276725" y="3228975"/>
          <a:ext cx="3057525" cy="4286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pt-PT" sz="1100" b="1">
              <a:solidFill>
                <a:schemeClr val="dk1"/>
              </a:solidFill>
              <a:latin typeface="+mn-lt"/>
              <a:ea typeface="+mn-ea"/>
              <a:cs typeface="+mn-cs"/>
            </a:rPr>
            <a:t>Balanço</a:t>
          </a:r>
        </a:p>
      </xdr:txBody>
    </xdr:sp>
    <xdr:clientData/>
  </xdr:twoCellAnchor>
  <xdr:twoCellAnchor>
    <xdr:from>
      <xdr:col>13</xdr:col>
      <xdr:colOff>0</xdr:colOff>
      <xdr:row>19</xdr:row>
      <xdr:rowOff>142875</xdr:rowOff>
    </xdr:from>
    <xdr:to>
      <xdr:col>18</xdr:col>
      <xdr:colOff>9525</xdr:colOff>
      <xdr:row>22</xdr:row>
      <xdr:rowOff>85725</xdr:rowOff>
    </xdr:to>
    <xdr:sp macro="" textlink="">
      <xdr:nvSpPr>
        <xdr:cNvPr id="19" name="CaixaDeTexto 18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924800" y="3219450"/>
          <a:ext cx="3057525" cy="428625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r>
            <a:rPr lang="pt-PT" sz="1100" b="1">
              <a:solidFill>
                <a:schemeClr val="dk1"/>
              </a:solidFill>
              <a:latin typeface="+mn-lt"/>
              <a:ea typeface="+mn-ea"/>
              <a:cs typeface="+mn-cs"/>
            </a:rPr>
            <a:t>Avaliação Investimento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6686550" y="15240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 txBox="1"/>
      </xdr:nvSpPr>
      <xdr:spPr>
        <a:xfrm>
          <a:off x="6867525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 txBox="1"/>
      </xdr:nvSpPr>
      <xdr:spPr>
        <a:xfrm>
          <a:off x="6867525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 txBox="1"/>
      </xdr:nvSpPr>
      <xdr:spPr>
        <a:xfrm>
          <a:off x="6867525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 txBox="1"/>
      </xdr:nvSpPr>
      <xdr:spPr>
        <a:xfrm>
          <a:off x="6905625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 txBox="1"/>
      </xdr:nvSpPr>
      <xdr:spPr>
        <a:xfrm>
          <a:off x="8648700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 txBox="1"/>
      </xdr:nvSpPr>
      <xdr:spPr>
        <a:xfrm>
          <a:off x="8648700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 txBox="1"/>
      </xdr:nvSpPr>
      <xdr:spPr>
        <a:xfrm>
          <a:off x="8848725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11" name="CaixaDeTexto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 txBox="1"/>
      </xdr:nvSpPr>
      <xdr:spPr>
        <a:xfrm>
          <a:off x="8648700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12" name="CaixaDeTexto 11">
          <a:extLst>
            <a:ext uri="{FF2B5EF4-FFF2-40B4-BE49-F238E27FC236}">
              <a16:creationId xmlns:a16="http://schemas.microsoft.com/office/drawing/2014/main" id="{00000000-0008-0000-0400-00000C000000}"/>
            </a:ext>
          </a:extLst>
        </xdr:cNvPr>
        <xdr:cNvSpPr txBox="1"/>
      </xdr:nvSpPr>
      <xdr:spPr>
        <a:xfrm>
          <a:off x="8648700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13" name="CaixaDeTexto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SpPr txBox="1"/>
      </xdr:nvSpPr>
      <xdr:spPr>
        <a:xfrm>
          <a:off x="8648700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14" name="CaixaDeTexto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SpPr txBox="1"/>
      </xdr:nvSpPr>
      <xdr:spPr>
        <a:xfrm>
          <a:off x="8848725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15" name="CaixaDeTexto 14">
          <a:extLst>
            <a:ext uri="{FF2B5EF4-FFF2-40B4-BE49-F238E27FC236}">
              <a16:creationId xmlns:a16="http://schemas.microsoft.com/office/drawing/2014/main" id="{00000000-0008-0000-0400-00000F000000}"/>
            </a:ext>
          </a:extLst>
        </xdr:cNvPr>
        <xdr:cNvSpPr txBox="1"/>
      </xdr:nvSpPr>
      <xdr:spPr>
        <a:xfrm>
          <a:off x="8648700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id="{00000000-0008-0000-0400-000010000000}"/>
            </a:ext>
          </a:extLst>
        </xdr:cNvPr>
        <xdr:cNvSpPr txBox="1"/>
      </xdr:nvSpPr>
      <xdr:spPr>
        <a:xfrm>
          <a:off x="8648700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 txBox="1"/>
      </xdr:nvSpPr>
      <xdr:spPr>
        <a:xfrm>
          <a:off x="8648700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18" name="CaixaDeTexto 17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SpPr txBox="1"/>
      </xdr:nvSpPr>
      <xdr:spPr>
        <a:xfrm>
          <a:off x="8848725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SpPr txBox="1"/>
      </xdr:nvSpPr>
      <xdr:spPr>
        <a:xfrm>
          <a:off x="8648700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SpPr txBox="1"/>
      </xdr:nvSpPr>
      <xdr:spPr>
        <a:xfrm>
          <a:off x="8648700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id="{00000000-0008-0000-0400-000015000000}"/>
            </a:ext>
          </a:extLst>
        </xdr:cNvPr>
        <xdr:cNvSpPr txBox="1"/>
      </xdr:nvSpPr>
      <xdr:spPr>
        <a:xfrm>
          <a:off x="8648700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id="{00000000-0008-0000-0400-000016000000}"/>
            </a:ext>
          </a:extLst>
        </xdr:cNvPr>
        <xdr:cNvSpPr txBox="1"/>
      </xdr:nvSpPr>
      <xdr:spPr>
        <a:xfrm>
          <a:off x="8848725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23" name="CaixaDeTexto 22">
          <a:extLst>
            <a:ext uri="{FF2B5EF4-FFF2-40B4-BE49-F238E27FC236}">
              <a16:creationId xmlns:a16="http://schemas.microsoft.com/office/drawing/2014/main" id="{00000000-0008-0000-0400-000017000000}"/>
            </a:ext>
          </a:extLst>
        </xdr:cNvPr>
        <xdr:cNvSpPr txBox="1"/>
      </xdr:nvSpPr>
      <xdr:spPr>
        <a:xfrm>
          <a:off x="8648700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24" name="CaixaDeTexto 23">
          <a:extLst>
            <a:ext uri="{FF2B5EF4-FFF2-40B4-BE49-F238E27FC236}">
              <a16:creationId xmlns:a16="http://schemas.microsoft.com/office/drawing/2014/main" id="{00000000-0008-0000-0400-000018000000}"/>
            </a:ext>
          </a:extLst>
        </xdr:cNvPr>
        <xdr:cNvSpPr txBox="1"/>
      </xdr:nvSpPr>
      <xdr:spPr>
        <a:xfrm>
          <a:off x="8648700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25" name="CaixaDeTexto 24">
          <a:extLst>
            <a:ext uri="{FF2B5EF4-FFF2-40B4-BE49-F238E27FC236}">
              <a16:creationId xmlns:a16="http://schemas.microsoft.com/office/drawing/2014/main" id="{00000000-0008-0000-0400-000019000000}"/>
            </a:ext>
          </a:extLst>
        </xdr:cNvPr>
        <xdr:cNvSpPr txBox="1"/>
      </xdr:nvSpPr>
      <xdr:spPr>
        <a:xfrm>
          <a:off x="8648700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26" name="CaixaDeTexto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 txBox="1"/>
      </xdr:nvSpPr>
      <xdr:spPr>
        <a:xfrm>
          <a:off x="8848725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27" name="CaixaDeTexto 26">
          <a:extLst>
            <a:ext uri="{FF2B5EF4-FFF2-40B4-BE49-F238E27FC236}">
              <a16:creationId xmlns:a16="http://schemas.microsoft.com/office/drawing/2014/main" id="{00000000-0008-0000-0400-00001B000000}"/>
            </a:ext>
          </a:extLst>
        </xdr:cNvPr>
        <xdr:cNvSpPr txBox="1"/>
      </xdr:nvSpPr>
      <xdr:spPr>
        <a:xfrm>
          <a:off x="8648700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28" name="CaixaDeTexto 27">
          <a:extLst>
            <a:ext uri="{FF2B5EF4-FFF2-40B4-BE49-F238E27FC236}">
              <a16:creationId xmlns:a16="http://schemas.microsoft.com/office/drawing/2014/main" id="{00000000-0008-0000-0400-00001C000000}"/>
            </a:ext>
          </a:extLst>
        </xdr:cNvPr>
        <xdr:cNvSpPr txBox="1"/>
      </xdr:nvSpPr>
      <xdr:spPr>
        <a:xfrm>
          <a:off x="8648700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29" name="CaixaDeTexto 28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SpPr txBox="1"/>
      </xdr:nvSpPr>
      <xdr:spPr>
        <a:xfrm>
          <a:off x="8648700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  <xdr:oneCellAnchor>
    <xdr:from>
      <xdr:col>6</xdr:col>
      <xdr:colOff>0</xdr:colOff>
      <xdr:row>6</xdr:row>
      <xdr:rowOff>0</xdr:rowOff>
    </xdr:from>
    <xdr:ext cx="184731" cy="264560"/>
    <xdr:sp macro="" textlink="">
      <xdr:nvSpPr>
        <xdr:cNvPr id="30" name="CaixaDeTexto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 txBox="1"/>
      </xdr:nvSpPr>
      <xdr:spPr>
        <a:xfrm>
          <a:off x="8848725" y="16573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PT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66</xdr:row>
      <xdr:rowOff>26670</xdr:rowOff>
    </xdr:from>
    <xdr:to>
      <xdr:col>1</xdr:col>
      <xdr:colOff>876300</xdr:colOff>
      <xdr:row>70</xdr:row>
      <xdr:rowOff>114106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32C55E-EA3F-2276-0908-9D9E2E71F0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037570"/>
          <a:ext cx="5153025" cy="73513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25\comercial\Users\joana\AppData\Local\Temp\EXEMPLO%20DE%20PROJECT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dos"/>
      <sheetName val="DR"/>
      <sheetName val="Working Capital"/>
      <sheetName val="Plano Financeiro"/>
      <sheetName val="MapaServiçoDívida"/>
      <sheetName val="Balanço"/>
      <sheetName val="Proveitos"/>
      <sheetName val="Custos"/>
      <sheetName val="EOEP"/>
      <sheetName val="AnexoDR"/>
      <sheetName val="Gráficos"/>
      <sheetName val="Avaliação Económica"/>
      <sheetName val="Mobiliário e Equipamentos"/>
      <sheetName val="Rácios"/>
      <sheetName val="Imobilizado"/>
      <sheetName val="Acções"/>
      <sheetName val="CustosPessoal"/>
      <sheetName val="AnexoPessoal"/>
      <sheetName val="Seguros"/>
      <sheetName val="CustosConstrução"/>
      <sheetName val="AnexoConstrução"/>
      <sheetName val="Fundo Maneio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5">
          <cell r="F5">
            <v>0</v>
          </cell>
          <cell r="G5">
            <v>0</v>
          </cell>
          <cell r="H5">
            <v>0</v>
          </cell>
          <cell r="I5">
            <v>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5"/>
  <sheetViews>
    <sheetView showGridLines="0" workbookViewId="0"/>
  </sheetViews>
  <sheetFormatPr defaultRowHeight="13.2"/>
  <sheetData>
    <row r="2" spans="1:14">
      <c r="A2" s="111"/>
      <c r="N2" s="111"/>
    </row>
    <row r="3" spans="1:14">
      <c r="A3" s="111"/>
    </row>
    <row r="4" spans="1:14">
      <c r="A4" s="111"/>
    </row>
    <row r="5" spans="1:14">
      <c r="A5" s="11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55"/>
    <pageSetUpPr fitToPage="1"/>
  </sheetPr>
  <dimension ref="A1:T134"/>
  <sheetViews>
    <sheetView showGridLines="0" zoomScaleNormal="100" workbookViewId="0">
      <selection activeCell="B14" sqref="B14"/>
    </sheetView>
  </sheetViews>
  <sheetFormatPr defaultColWidth="9.109375" defaultRowHeight="10.199999999999999"/>
  <cols>
    <col min="1" max="1" width="48.5546875" style="1" bestFit="1" customWidth="1"/>
    <col min="2" max="2" width="11.5546875" style="1" customWidth="1"/>
    <col min="3" max="3" width="7.109375" style="1" customWidth="1"/>
    <col min="4" max="4" width="6.33203125" style="1" bestFit="1" customWidth="1"/>
    <col min="5" max="5" width="6.88671875" style="1" customWidth="1"/>
    <col min="6" max="17" width="6.33203125" style="1" bestFit="1" customWidth="1"/>
    <col min="18" max="16384" width="9.109375" style="1"/>
  </cols>
  <sheetData>
    <row r="1" spans="1:20" s="3" customFormat="1" ht="1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20" s="3" customFormat="1" ht="15" customHeight="1">
      <c r="A2" s="28"/>
      <c r="B2" s="459"/>
      <c r="C2" s="112">
        <v>2024</v>
      </c>
      <c r="D2" s="112">
        <f t="shared" ref="D2:M2" si="0">+C2+1</f>
        <v>2025</v>
      </c>
      <c r="E2" s="112">
        <f t="shared" si="0"/>
        <v>2026</v>
      </c>
      <c r="F2" s="112">
        <f t="shared" si="0"/>
        <v>2027</v>
      </c>
      <c r="G2" s="112">
        <f t="shared" si="0"/>
        <v>2028</v>
      </c>
      <c r="H2" s="112">
        <f t="shared" si="0"/>
        <v>2029</v>
      </c>
      <c r="I2" s="112">
        <f t="shared" si="0"/>
        <v>2030</v>
      </c>
      <c r="J2" s="112">
        <f t="shared" si="0"/>
        <v>2031</v>
      </c>
      <c r="K2" s="112">
        <f t="shared" si="0"/>
        <v>2032</v>
      </c>
      <c r="L2" s="113">
        <f t="shared" si="0"/>
        <v>2033</v>
      </c>
      <c r="M2" s="113">
        <f t="shared" si="0"/>
        <v>2034</v>
      </c>
      <c r="N2" s="112">
        <f>+M2+1</f>
        <v>2035</v>
      </c>
      <c r="O2" s="112">
        <f>+N2+1</f>
        <v>2036</v>
      </c>
      <c r="P2" s="112">
        <f>+O2+1</f>
        <v>2037</v>
      </c>
      <c r="Q2" s="112">
        <f>+P2+1</f>
        <v>2038</v>
      </c>
      <c r="R2" s="29"/>
      <c r="S2" s="29"/>
      <c r="T2" s="29"/>
    </row>
    <row r="3" spans="1:20" s="3" customFormat="1" ht="15" customHeight="1">
      <c r="A3" s="7" t="s">
        <v>10</v>
      </c>
      <c r="B3" s="460"/>
      <c r="C3" s="30">
        <v>2.1999999999999999E-2</v>
      </c>
      <c r="D3" s="30">
        <v>2.1999999999999999E-2</v>
      </c>
      <c r="E3" s="30">
        <v>2.1000000000000001E-2</v>
      </c>
      <c r="F3" s="30">
        <f t="shared" ref="F3:J3" si="1">+E3</f>
        <v>2.1000000000000001E-2</v>
      </c>
      <c r="G3" s="30">
        <v>0.02</v>
      </c>
      <c r="H3" s="30">
        <f t="shared" si="1"/>
        <v>0.02</v>
      </c>
      <c r="I3" s="30">
        <v>1.9E-2</v>
      </c>
      <c r="J3" s="30">
        <f t="shared" si="1"/>
        <v>1.9E-2</v>
      </c>
      <c r="K3" s="30">
        <v>1.7999999999999999E-2</v>
      </c>
      <c r="L3" s="31">
        <f t="shared" ref="L3:Q3" si="2">+K3</f>
        <v>1.7999999999999999E-2</v>
      </c>
      <c r="M3" s="31">
        <v>1.7000000000000001E-2</v>
      </c>
      <c r="N3" s="31">
        <f t="shared" si="2"/>
        <v>1.7000000000000001E-2</v>
      </c>
      <c r="O3" s="31">
        <f t="shared" si="2"/>
        <v>1.7000000000000001E-2</v>
      </c>
      <c r="P3" s="31">
        <f t="shared" si="2"/>
        <v>1.7000000000000001E-2</v>
      </c>
      <c r="Q3" s="31">
        <f t="shared" si="2"/>
        <v>1.7000000000000001E-2</v>
      </c>
      <c r="R3" s="29"/>
      <c r="S3" s="29"/>
      <c r="T3" s="29"/>
    </row>
    <row r="4" spans="1:20" s="3" customFormat="1" ht="15" customHeight="1">
      <c r="A4" s="8" t="s">
        <v>19</v>
      </c>
      <c r="B4" s="461"/>
      <c r="C4" s="32">
        <v>1</v>
      </c>
      <c r="D4" s="32">
        <f t="shared" ref="D4:J4" si="3">+C4*(1+D3)</f>
        <v>1.022</v>
      </c>
      <c r="E4" s="33">
        <f t="shared" si="3"/>
        <v>1.0434619999999999</v>
      </c>
      <c r="F4" s="33">
        <f t="shared" si="3"/>
        <v>1.0653747019999997</v>
      </c>
      <c r="G4" s="33">
        <f t="shared" si="3"/>
        <v>1.0866821960399997</v>
      </c>
      <c r="H4" s="33">
        <f t="shared" si="3"/>
        <v>1.1084158399607997</v>
      </c>
      <c r="I4" s="33">
        <f t="shared" si="3"/>
        <v>1.1294757409200549</v>
      </c>
      <c r="J4" s="33">
        <f t="shared" si="3"/>
        <v>1.1509357799975357</v>
      </c>
      <c r="K4" s="33">
        <f t="shared" ref="K4:Q4" si="4">+J4*(1+K3)</f>
        <v>1.1716526240374914</v>
      </c>
      <c r="L4" s="34">
        <f t="shared" si="4"/>
        <v>1.1927423712701661</v>
      </c>
      <c r="M4" s="34">
        <f t="shared" si="4"/>
        <v>1.2130189915817589</v>
      </c>
      <c r="N4" s="34">
        <f t="shared" si="4"/>
        <v>1.2336403144386487</v>
      </c>
      <c r="O4" s="34">
        <f t="shared" si="4"/>
        <v>1.2546121997841058</v>
      </c>
      <c r="P4" s="34">
        <f t="shared" si="4"/>
        <v>1.2759406071804353</v>
      </c>
      <c r="Q4" s="34">
        <f t="shared" si="4"/>
        <v>1.2976315975025026</v>
      </c>
      <c r="R4" s="29"/>
      <c r="S4" s="29"/>
      <c r="T4" s="29"/>
    </row>
    <row r="5" spans="1:20" ht="15" customHeight="1">
      <c r="A5" s="12"/>
      <c r="B5" s="35"/>
      <c r="C5" s="36"/>
      <c r="D5" s="36"/>
      <c r="E5" s="36"/>
      <c r="F5" s="36"/>
      <c r="G5" s="36"/>
      <c r="H5" s="36"/>
      <c r="I5" s="36"/>
      <c r="J5" s="36"/>
      <c r="K5" s="36"/>
      <c r="L5" s="36"/>
      <c r="M5" s="37"/>
      <c r="N5" s="37"/>
      <c r="O5" s="37"/>
      <c r="P5" s="37"/>
      <c r="Q5" s="37"/>
      <c r="R5" s="37"/>
      <c r="S5" s="37"/>
      <c r="T5" s="37"/>
    </row>
    <row r="6" spans="1:20" ht="15" customHeight="1">
      <c r="A6" s="114" t="s">
        <v>9</v>
      </c>
      <c r="B6" s="38"/>
      <c r="C6" s="36"/>
      <c r="D6" s="36"/>
      <c r="E6" s="36"/>
      <c r="F6" s="36"/>
      <c r="G6" s="36"/>
      <c r="H6" s="36"/>
      <c r="I6" s="36"/>
      <c r="J6" s="36"/>
      <c r="K6" s="36"/>
      <c r="L6" s="36"/>
      <c r="M6" s="37"/>
      <c r="N6" s="37"/>
      <c r="O6" s="37"/>
      <c r="P6" s="37"/>
      <c r="Q6" s="37"/>
      <c r="R6" s="37"/>
      <c r="S6" s="37"/>
      <c r="T6" s="37"/>
    </row>
    <row r="7" spans="1:20" ht="15" customHeight="1">
      <c r="A7" s="16" t="s">
        <v>44</v>
      </c>
      <c r="B7" s="39" t="s">
        <v>45</v>
      </c>
      <c r="C7" s="40"/>
      <c r="D7" s="41"/>
      <c r="E7" s="42"/>
      <c r="F7" s="36"/>
      <c r="G7" s="36"/>
      <c r="H7" s="36"/>
      <c r="I7" s="36"/>
      <c r="J7" s="36"/>
      <c r="K7" s="36"/>
      <c r="L7" s="36"/>
      <c r="M7" s="37"/>
      <c r="N7" s="37"/>
      <c r="O7" s="37"/>
      <c r="P7" s="37"/>
      <c r="Q7" s="37"/>
      <c r="R7" s="37"/>
      <c r="S7" s="37"/>
      <c r="T7" s="37"/>
    </row>
    <row r="8" spans="1:20" ht="15" customHeight="1">
      <c r="A8" s="16" t="s">
        <v>46</v>
      </c>
      <c r="B8" s="43">
        <v>2024</v>
      </c>
      <c r="C8" s="40"/>
      <c r="D8" s="41"/>
      <c r="E8" s="42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</row>
    <row r="9" spans="1:20" ht="15" customHeight="1">
      <c r="A9" s="13"/>
      <c r="B9" s="44"/>
      <c r="C9" s="40"/>
      <c r="D9" s="41"/>
      <c r="E9" s="42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</row>
    <row r="10" spans="1:20" ht="15" customHeight="1">
      <c r="A10" s="114" t="s">
        <v>9</v>
      </c>
      <c r="B10" s="45"/>
      <c r="C10" s="40"/>
      <c r="D10" s="41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</row>
    <row r="11" spans="1:20" ht="15" customHeight="1">
      <c r="A11" s="16" t="s">
        <v>52</v>
      </c>
      <c r="B11" s="43">
        <v>35</v>
      </c>
      <c r="C11" s="46"/>
      <c r="D11" s="41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</row>
    <row r="12" spans="1:20" ht="15" customHeight="1">
      <c r="A12" s="16" t="s">
        <v>53</v>
      </c>
      <c r="B12" s="47">
        <v>60</v>
      </c>
      <c r="C12" s="46"/>
      <c r="D12" s="41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</row>
    <row r="13" spans="1:20" ht="15" customHeight="1">
      <c r="A13" s="16" t="s">
        <v>54</v>
      </c>
      <c r="B13" s="47">
        <v>7</v>
      </c>
      <c r="C13" s="46"/>
      <c r="D13" s="41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</row>
    <row r="14" spans="1:20" ht="15" customHeight="1">
      <c r="A14" s="16" t="s">
        <v>56</v>
      </c>
      <c r="B14" s="47">
        <v>30</v>
      </c>
      <c r="C14" s="46"/>
      <c r="D14" s="41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</row>
    <row r="15" spans="1:20" ht="15" customHeight="1">
      <c r="A15" s="13"/>
      <c r="B15" s="48"/>
      <c r="C15" s="46"/>
      <c r="D15" s="41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</row>
    <row r="16" spans="1:20" ht="15" customHeight="1">
      <c r="A16" s="114" t="s">
        <v>9</v>
      </c>
      <c r="B16" s="45"/>
      <c r="C16" s="40"/>
      <c r="D16" s="41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</row>
    <row r="17" spans="1:20" ht="15" customHeight="1">
      <c r="A17" s="16" t="s">
        <v>47</v>
      </c>
      <c r="B17" s="49">
        <v>0.23</v>
      </c>
      <c r="C17" s="50"/>
      <c r="D17" s="41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</row>
    <row r="18" spans="1:20" ht="15" customHeight="1">
      <c r="A18" s="16" t="s">
        <v>48</v>
      </c>
      <c r="B18" s="49">
        <v>0.23</v>
      </c>
      <c r="C18" s="51"/>
      <c r="D18" s="41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</row>
    <row r="19" spans="1:20" ht="15" customHeight="1">
      <c r="A19" s="16" t="s">
        <v>49</v>
      </c>
      <c r="B19" s="49">
        <v>0.23</v>
      </c>
      <c r="C19" s="40"/>
      <c r="D19" s="41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</row>
    <row r="20" spans="1:20" ht="15" customHeight="1">
      <c r="A20" s="16" t="s">
        <v>50</v>
      </c>
      <c r="B20" s="49">
        <v>0.23</v>
      </c>
      <c r="C20" s="40"/>
      <c r="D20" s="41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</row>
    <row r="21" spans="1:20" ht="15" customHeight="1">
      <c r="A21" s="13"/>
      <c r="B21" s="52"/>
      <c r="C21" s="40"/>
      <c r="D21" s="41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</row>
    <row r="22" spans="1:20" ht="15" customHeight="1">
      <c r="A22" s="114" t="s">
        <v>9</v>
      </c>
      <c r="B22" s="45"/>
      <c r="C22" s="40"/>
      <c r="D22" s="41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</row>
    <row r="23" spans="1:20" ht="15" customHeight="1">
      <c r="A23" s="16" t="s">
        <v>79</v>
      </c>
      <c r="B23" s="53">
        <v>0.23749999999999999</v>
      </c>
      <c r="C23" s="40"/>
      <c r="D23" s="41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</row>
    <row r="24" spans="1:20" ht="15" customHeight="1">
      <c r="A24" s="16" t="s">
        <v>80</v>
      </c>
      <c r="B24" s="53">
        <v>0.23749999999999999</v>
      </c>
      <c r="C24" s="40"/>
      <c r="D24" s="41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</row>
    <row r="25" spans="1:20" ht="15" customHeight="1">
      <c r="A25" s="16" t="s">
        <v>81</v>
      </c>
      <c r="B25" s="53">
        <v>0.11</v>
      </c>
      <c r="C25" s="40"/>
      <c r="D25" s="41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</row>
    <row r="26" spans="1:20" ht="15" customHeight="1">
      <c r="A26" s="16" t="s">
        <v>82</v>
      </c>
      <c r="B26" s="53">
        <v>0.11</v>
      </c>
      <c r="C26" s="40"/>
      <c r="D26" s="41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</row>
    <row r="27" spans="1:20" ht="15" customHeight="1">
      <c r="A27" s="16" t="s">
        <v>51</v>
      </c>
      <c r="B27" s="53">
        <v>0.21</v>
      </c>
      <c r="C27" s="40"/>
      <c r="D27" s="41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</row>
    <row r="28" spans="1:20" ht="15" customHeight="1">
      <c r="A28" s="13"/>
      <c r="B28" s="54"/>
      <c r="C28" s="40"/>
      <c r="D28" s="41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</row>
    <row r="29" spans="1:20" ht="15" customHeight="1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</row>
    <row r="30" spans="1:20" ht="20.100000000000001" customHeight="1">
      <c r="A30" s="115" t="s">
        <v>136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</row>
    <row r="31" spans="1:20" ht="15" customHeight="1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</row>
    <row r="32" spans="1:20" ht="15" customHeight="1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</row>
    <row r="33" spans="1:20" ht="15" customHeight="1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</row>
    <row r="34" spans="1:20" ht="15" customHeight="1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</row>
    <row r="35" spans="1:20" ht="15" customHeight="1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</row>
    <row r="36" spans="1:20" ht="15" customHeight="1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</row>
    <row r="37" spans="1:20" ht="15" customHeight="1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</row>
    <row r="38" spans="1:20" ht="15" customHeight="1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</row>
    <row r="39" spans="1:20" ht="15" customHeight="1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</row>
    <row r="40" spans="1:20" ht="15" customHeight="1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</row>
    <row r="41" spans="1:20" ht="15" customHeight="1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</row>
    <row r="42" spans="1:20" ht="15" customHeight="1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</row>
    <row r="43" spans="1:20" ht="15" customHeight="1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</row>
    <row r="44" spans="1:20" ht="15" customHeight="1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</row>
    <row r="45" spans="1:20" ht="15" customHeight="1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</row>
    <row r="46" spans="1:20" ht="15" customHeight="1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</row>
    <row r="47" spans="1:20" ht="15" customHeight="1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</row>
    <row r="48" spans="1:20" ht="15" customHeight="1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</row>
    <row r="49" spans="1:20" ht="15" customHeight="1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</row>
    <row r="50" spans="1:20" ht="15" customHeight="1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</row>
    <row r="51" spans="1:20" ht="15" customHeight="1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</row>
    <row r="52" spans="1:20" ht="15" customHeight="1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</row>
    <row r="53" spans="1:20" ht="15" customHeight="1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</row>
    <row r="54" spans="1:20" ht="15" customHeight="1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</row>
    <row r="55" spans="1:20" ht="15" customHeight="1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</row>
    <row r="56" spans="1:20" ht="1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</row>
    <row r="57" spans="1:20" ht="1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</row>
    <row r="58" spans="1:20" ht="1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</row>
    <row r="59" spans="1:20" ht="1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</row>
    <row r="60" spans="1:20" ht="1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</row>
    <row r="61" spans="1:20" ht="1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</row>
    <row r="62" spans="1:20" ht="1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</row>
    <row r="63" spans="1:20" ht="1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</row>
    <row r="64" spans="1:20" ht="1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</row>
    <row r="65" spans="1:20" ht="1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</row>
    <row r="66" spans="1:20" ht="1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</row>
    <row r="67" spans="1:20" ht="1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</row>
    <row r="68" spans="1:20" ht="1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</row>
    <row r="69" spans="1:20" ht="1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</row>
    <row r="70" spans="1:20" ht="1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</row>
    <row r="71" spans="1:20" ht="1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</row>
    <row r="72" spans="1:20" ht="1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</row>
    <row r="73" spans="1:20" ht="1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</row>
    <row r="74" spans="1:20" ht="1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</row>
    <row r="75" spans="1:20" ht="1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</row>
    <row r="76" spans="1:20" ht="1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</row>
    <row r="77" spans="1:20" ht="1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</row>
    <row r="78" spans="1:20" ht="1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</row>
    <row r="79" spans="1:20" ht="1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</row>
    <row r="80" spans="1:20" ht="1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</row>
    <row r="81" spans="1:20" ht="1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</row>
    <row r="82" spans="1:20" ht="1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</row>
    <row r="83" spans="1:20" ht="1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</row>
    <row r="84" spans="1:20" ht="1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</row>
    <row r="85" spans="1:20" ht="1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</row>
    <row r="86" spans="1:20" ht="1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</row>
    <row r="87" spans="1:20" ht="15" customHeight="1"/>
    <row r="88" spans="1:20" ht="15" customHeight="1"/>
    <row r="89" spans="1:20" ht="15" customHeight="1"/>
    <row r="90" spans="1:20" ht="15" customHeight="1"/>
    <row r="91" spans="1:20" ht="15" customHeight="1"/>
    <row r="92" spans="1:20" ht="15" customHeight="1"/>
    <row r="93" spans="1:20" ht="15" customHeight="1"/>
    <row r="94" spans="1:20" ht="15" customHeight="1"/>
    <row r="95" spans="1:20" ht="15" customHeight="1"/>
    <row r="96" spans="1:20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</sheetData>
  <mergeCells count="1">
    <mergeCell ref="B2:B4"/>
  </mergeCells>
  <hyperlinks>
    <hyperlink ref="A30" location="Índice!A1" display="Índice" xr:uid="{00000000-0004-0000-0100-000000000000}"/>
  </hyperlinks>
  <pageMargins left="0.7" right="0.7" top="0.75" bottom="0.75" header="0.3" footer="0.3"/>
  <pageSetup paperSize="9" scale="97" fitToHeight="2" orientation="landscape" horizontalDpi="4294967293" r:id="rId1"/>
  <headerFooter alignWithMargins="0">
    <oddHeader>&amp;L&amp;"Arial,Negrito"1- Pressupostos do Projeto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4"/>
  <sheetViews>
    <sheetView showGridLines="0" zoomScale="90" zoomScaleNormal="90" workbookViewId="0">
      <selection activeCell="F3" sqref="F3"/>
    </sheetView>
  </sheetViews>
  <sheetFormatPr defaultColWidth="9.109375" defaultRowHeight="14.4"/>
  <cols>
    <col min="1" max="1" width="49.88671875" style="97" bestFit="1" customWidth="1"/>
    <col min="2" max="8" width="17.6640625" style="247" customWidth="1"/>
    <col min="9" max="16384" width="9.109375" style="96"/>
  </cols>
  <sheetData>
    <row r="1" spans="1:10" s="95" customFormat="1" ht="15" customHeight="1">
      <c r="A1" s="262" t="s">
        <v>9</v>
      </c>
      <c r="B1" s="262">
        <v>2024</v>
      </c>
      <c r="C1" s="262">
        <f>+B1+1</f>
        <v>2025</v>
      </c>
      <c r="D1" s="262">
        <f>+C1+1</f>
        <v>2026</v>
      </c>
      <c r="E1" s="262">
        <f>+D1+1</f>
        <v>2027</v>
      </c>
      <c r="F1" s="262">
        <f>+E1+1</f>
        <v>2028</v>
      </c>
      <c r="G1" s="262">
        <f t="shared" ref="G1:H1" si="0">+F1+1</f>
        <v>2029</v>
      </c>
      <c r="H1" s="262">
        <f t="shared" si="0"/>
        <v>2030</v>
      </c>
    </row>
    <row r="2" spans="1:10" s="95" customFormat="1" ht="15" customHeight="1">
      <c r="A2" s="245"/>
      <c r="B2" s="332"/>
      <c r="C2" s="332"/>
      <c r="D2" s="332"/>
      <c r="E2" s="332"/>
      <c r="F2" s="332"/>
      <c r="G2" s="332"/>
      <c r="H2" s="332"/>
    </row>
    <row r="3" spans="1:10" s="95" customFormat="1" ht="15" customHeight="1">
      <c r="A3" s="245" t="s">
        <v>181</v>
      </c>
      <c r="B3" s="237">
        <v>16975038.399999999</v>
      </c>
      <c r="C3" s="237">
        <f>B3*1.02</f>
        <v>17314539.167999998</v>
      </c>
      <c r="D3" s="237">
        <f>C3*1.02</f>
        <v>17660829.951359998</v>
      </c>
      <c r="E3" s="237">
        <f>D3*1.02</f>
        <v>18014046.5503872</v>
      </c>
      <c r="F3" s="237">
        <f>E3*1.02</f>
        <v>18374327.481394943</v>
      </c>
      <c r="G3" s="237">
        <f t="shared" ref="G3:H3" si="1">F3*1.02</f>
        <v>18741814.031022843</v>
      </c>
      <c r="H3" s="237">
        <f t="shared" si="1"/>
        <v>19116650.311643299</v>
      </c>
    </row>
    <row r="4" spans="1:10" s="95" customFormat="1" ht="15" customHeight="1">
      <c r="A4" s="245" t="s">
        <v>180</v>
      </c>
      <c r="B4" s="237"/>
      <c r="C4" s="237">
        <v>0</v>
      </c>
      <c r="D4" s="237">
        <f>D3*0.025</f>
        <v>441520.748784</v>
      </c>
      <c r="E4" s="237">
        <f>E3*0.03</f>
        <v>540421.39651161595</v>
      </c>
      <c r="F4" s="237">
        <f>F3*0.045</f>
        <v>826844.73666277237</v>
      </c>
      <c r="G4" s="237">
        <f>G3*0.04</f>
        <v>749672.5612409137</v>
      </c>
      <c r="H4" s="237">
        <f t="shared" ref="H4" si="2">H3*0.025</f>
        <v>477916.25779108249</v>
      </c>
    </row>
    <row r="5" spans="1:10" s="95" customFormat="1" ht="15" customHeight="1">
      <c r="A5" s="245"/>
      <c r="B5" s="237"/>
      <c r="C5" s="237"/>
      <c r="D5" s="237"/>
      <c r="E5" s="237"/>
      <c r="F5" s="237"/>
      <c r="G5" s="237"/>
      <c r="H5" s="237"/>
    </row>
    <row r="6" spans="1:10" s="95" customFormat="1" ht="15" customHeight="1">
      <c r="A6" s="245"/>
      <c r="B6" s="237"/>
      <c r="C6" s="237"/>
      <c r="D6" s="237"/>
      <c r="E6" s="237"/>
      <c r="F6" s="237"/>
      <c r="G6" s="237"/>
      <c r="H6" s="237"/>
    </row>
    <row r="7" spans="1:10" s="95" customFormat="1" ht="15" customHeight="1">
      <c r="A7" s="245"/>
      <c r="B7" s="237"/>
      <c r="C7" s="237"/>
      <c r="D7" s="237"/>
      <c r="E7" s="237"/>
      <c r="F7" s="237"/>
      <c r="G7" s="237"/>
      <c r="H7" s="237"/>
    </row>
    <row r="8" spans="1:10" ht="24" customHeight="1">
      <c r="A8" s="261" t="s">
        <v>149</v>
      </c>
      <c r="B8" s="264">
        <f>SUM(B2:B7)</f>
        <v>16975038.399999999</v>
      </c>
      <c r="C8" s="264">
        <f t="shared" ref="C8:H8" si="3">SUM(C2:C7)</f>
        <v>17314539.167999998</v>
      </c>
      <c r="D8" s="264">
        <f t="shared" si="3"/>
        <v>18102350.700143997</v>
      </c>
      <c r="E8" s="264">
        <f t="shared" si="3"/>
        <v>18554467.946898814</v>
      </c>
      <c r="F8" s="264">
        <f t="shared" si="3"/>
        <v>19201172.218057714</v>
      </c>
      <c r="G8" s="264">
        <f t="shared" si="3"/>
        <v>19491486.592263758</v>
      </c>
      <c r="H8" s="264">
        <f t="shared" si="3"/>
        <v>19594566.569434382</v>
      </c>
    </row>
    <row r="9" spans="1:10">
      <c r="A9" s="220"/>
      <c r="B9" s="246"/>
      <c r="C9" s="397">
        <f t="shared" ref="C9:H9" si="4">C8/B8</f>
        <v>1.02</v>
      </c>
      <c r="D9" s="397">
        <f t="shared" si="4"/>
        <v>1.0454999999999999</v>
      </c>
      <c r="E9" s="397">
        <f>E8/D8</f>
        <v>1.0249756097560976</v>
      </c>
      <c r="F9" s="397">
        <f t="shared" si="4"/>
        <v>1.0348543689320389</v>
      </c>
      <c r="G9" s="397">
        <f t="shared" si="4"/>
        <v>1.0151196172248806</v>
      </c>
      <c r="H9" s="397">
        <f t="shared" si="4"/>
        <v>1.0052884615384614</v>
      </c>
      <c r="J9" s="333"/>
    </row>
    <row r="11" spans="1:10">
      <c r="A11" s="462" t="s">
        <v>176</v>
      </c>
      <c r="B11" s="462"/>
      <c r="C11" s="462"/>
      <c r="D11" s="462"/>
      <c r="E11" s="462"/>
      <c r="F11" s="462"/>
    </row>
    <row r="12" spans="1:10">
      <c r="A12" s="220" t="s">
        <v>154</v>
      </c>
      <c r="B12" s="263">
        <v>1</v>
      </c>
      <c r="E12" s="246">
        <f>+$F$8*B12</f>
        <v>19201172.218057714</v>
      </c>
      <c r="F12" s="247">
        <v>448909.69916780002</v>
      </c>
    </row>
    <row r="13" spans="1:10">
      <c r="A13" s="220" t="s">
        <v>177</v>
      </c>
      <c r="B13" s="263">
        <v>0</v>
      </c>
      <c r="E13" s="246">
        <f t="shared" ref="E13:E16" si="5">+$F$8*B13</f>
        <v>0</v>
      </c>
      <c r="F13" s="247">
        <v>138126.06128240001</v>
      </c>
    </row>
    <row r="14" spans="1:10">
      <c r="A14" s="220" t="s">
        <v>178</v>
      </c>
      <c r="B14" s="263">
        <v>0</v>
      </c>
      <c r="E14" s="246">
        <f t="shared" si="5"/>
        <v>0</v>
      </c>
      <c r="F14" s="247">
        <v>34531.515320600003</v>
      </c>
    </row>
    <row r="15" spans="1:10">
      <c r="A15" s="220" t="s">
        <v>169</v>
      </c>
      <c r="B15" s="263">
        <v>0</v>
      </c>
      <c r="E15" s="246">
        <f t="shared" si="5"/>
        <v>0</v>
      </c>
      <c r="F15" s="247">
        <v>34531.515320600003</v>
      </c>
    </row>
    <row r="16" spans="1:10">
      <c r="A16" s="220" t="s">
        <v>179</v>
      </c>
      <c r="B16" s="263">
        <v>0</v>
      </c>
      <c r="E16" s="246">
        <f t="shared" si="5"/>
        <v>0</v>
      </c>
      <c r="F16" s="247">
        <v>34531.515320600003</v>
      </c>
    </row>
    <row r="17" spans="1:5">
      <c r="B17" s="263">
        <f>SUM(B12:B16)</f>
        <v>1</v>
      </c>
      <c r="E17" s="260">
        <f>SUM(E12:E16)</f>
        <v>19201172.218057714</v>
      </c>
    </row>
    <row r="19" spans="1:5" ht="15.6">
      <c r="A19" s="334"/>
    </row>
    <row r="20" spans="1:5" ht="15.6">
      <c r="A20" s="334"/>
      <c r="D20" s="247">
        <f>+D8*0.05</f>
        <v>905117.53500719985</v>
      </c>
      <c r="E20" s="394">
        <f>+(F8-304916.94)/F8</f>
        <v>0.98411987890441177</v>
      </c>
    </row>
    <row r="21" spans="1:5" ht="15.6">
      <c r="A21" s="334"/>
    </row>
    <row r="22" spans="1:5" ht="15.6">
      <c r="A22" s="334"/>
    </row>
    <row r="23" spans="1:5" ht="15.6">
      <c r="A23" s="334"/>
    </row>
    <row r="24" spans="1:5" ht="15.6">
      <c r="A24" s="334"/>
    </row>
    <row r="25" spans="1:5" ht="15.6">
      <c r="A25" s="334"/>
    </row>
    <row r="26" spans="1:5" ht="15.6">
      <c r="A26" s="334"/>
    </row>
    <row r="27" spans="1:5" ht="15.6">
      <c r="A27" s="334"/>
    </row>
    <row r="28" spans="1:5" ht="15.6">
      <c r="A28" s="334"/>
    </row>
    <row r="29" spans="1:5">
      <c r="A29" s="335"/>
    </row>
    <row r="30" spans="1:5" ht="15.6">
      <c r="A30" s="336"/>
    </row>
    <row r="31" spans="1:5" ht="15.6">
      <c r="A31" s="336"/>
    </row>
    <row r="32" spans="1:5" ht="15.6">
      <c r="A32" s="336"/>
    </row>
    <row r="33" spans="1:1" ht="15.6">
      <c r="A33" s="336"/>
    </row>
    <row r="34" spans="1:1" ht="15.6">
      <c r="A34" s="336"/>
    </row>
  </sheetData>
  <mergeCells count="1">
    <mergeCell ref="A11:F11"/>
  </mergeCells>
  <phoneticPr fontId="9" type="noConversion"/>
  <pageMargins left="0.7" right="0.7" top="0.75" bottom="0.75" header="0.3" footer="0.3"/>
  <pageSetup paperSize="9" scale="67" orientation="landscape" r:id="rId1"/>
  <headerFooter>
    <oddHeader>&amp;L&amp;"Arial,Negrito"2 - Previsão das Receitas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>
    <tabColor indexed="47"/>
  </sheetPr>
  <dimension ref="A1:L100"/>
  <sheetViews>
    <sheetView showGridLines="0" topLeftCell="B1" zoomScaleNormal="100" workbookViewId="0">
      <selection activeCell="F21" sqref="F21"/>
    </sheetView>
  </sheetViews>
  <sheetFormatPr defaultColWidth="9.109375" defaultRowHeight="10.199999999999999"/>
  <cols>
    <col min="1" max="1" width="41.88671875" style="2" bestFit="1" customWidth="1"/>
    <col min="2" max="2" width="11.77734375" style="2" bestFit="1" customWidth="1"/>
    <col min="3" max="3" width="13.6640625" style="2" bestFit="1" customWidth="1"/>
    <col min="4" max="4" width="14.88671875" style="2" bestFit="1" customWidth="1"/>
    <col min="5" max="12" width="14.44140625" style="2" bestFit="1" customWidth="1"/>
    <col min="13" max="16384" width="9.109375" style="2"/>
  </cols>
  <sheetData>
    <row r="1" spans="1:12" s="56" customFormat="1" ht="33" customHeight="1">
      <c r="A1" s="197" t="s">
        <v>162</v>
      </c>
      <c r="B1" s="197" t="s">
        <v>163</v>
      </c>
      <c r="C1" s="112">
        <v>2024</v>
      </c>
      <c r="D1" s="112">
        <f>+C1+1</f>
        <v>2025</v>
      </c>
      <c r="E1" s="112">
        <f t="shared" ref="E1:L1" si="0">+D1+1</f>
        <v>2026</v>
      </c>
      <c r="F1" s="112">
        <f t="shared" si="0"/>
        <v>2027</v>
      </c>
      <c r="G1" s="112">
        <f t="shared" si="0"/>
        <v>2028</v>
      </c>
      <c r="H1" s="112">
        <f t="shared" si="0"/>
        <v>2029</v>
      </c>
      <c r="I1" s="112">
        <f t="shared" si="0"/>
        <v>2030</v>
      </c>
      <c r="J1" s="112">
        <f t="shared" si="0"/>
        <v>2031</v>
      </c>
      <c r="K1" s="112">
        <f>+J1+1</f>
        <v>2032</v>
      </c>
      <c r="L1" s="112">
        <f t="shared" si="0"/>
        <v>2033</v>
      </c>
    </row>
    <row r="2" spans="1:12" s="55" customFormat="1" ht="15" customHeight="1">
      <c r="A2" s="420" t="s">
        <v>182</v>
      </c>
      <c r="B2" s="305">
        <v>0</v>
      </c>
      <c r="C2" s="237">
        <v>0</v>
      </c>
      <c r="D2" s="237">
        <f>+$B$2*12</f>
        <v>0</v>
      </c>
      <c r="E2" s="237">
        <f t="shared" ref="E2:L2" si="1">D2*E19</f>
        <v>0</v>
      </c>
      <c r="F2" s="237">
        <f t="shared" si="1"/>
        <v>0</v>
      </c>
      <c r="G2" s="237">
        <f t="shared" si="1"/>
        <v>0</v>
      </c>
      <c r="H2" s="237">
        <f t="shared" si="1"/>
        <v>0</v>
      </c>
      <c r="I2" s="237">
        <f t="shared" si="1"/>
        <v>0</v>
      </c>
      <c r="J2" s="237">
        <f t="shared" si="1"/>
        <v>0</v>
      </c>
      <c r="K2" s="237">
        <f t="shared" si="1"/>
        <v>0</v>
      </c>
      <c r="L2" s="237">
        <f t="shared" si="1"/>
        <v>0</v>
      </c>
    </row>
    <row r="3" spans="1:12" s="55" customFormat="1" ht="15" customHeight="1">
      <c r="A3" s="420" t="s">
        <v>210</v>
      </c>
      <c r="B3" s="305">
        <v>26000</v>
      </c>
      <c r="C3" s="237">
        <v>300843.14</v>
      </c>
      <c r="D3" s="237">
        <f>+$B$3*12</f>
        <v>312000</v>
      </c>
      <c r="E3" s="237">
        <f t="shared" ref="E3" si="2">D3*E19</f>
        <v>335400</v>
      </c>
      <c r="F3" s="237">
        <f t="shared" ref="F3" si="3">E3*F19</f>
        <v>358878</v>
      </c>
      <c r="G3" s="237">
        <f t="shared" ref="G3" si="4">F3*G19</f>
        <v>358878</v>
      </c>
      <c r="H3" s="237">
        <f t="shared" ref="H3" si="5">G3*H19</f>
        <v>369644.34</v>
      </c>
      <c r="I3" s="237">
        <f t="shared" ref="I3" si="6">H3*I19</f>
        <v>380733.67020000005</v>
      </c>
      <c r="J3" s="237">
        <f t="shared" ref="J3" si="7">I3*J19</f>
        <v>392155.68030600005</v>
      </c>
      <c r="K3" s="237">
        <f t="shared" ref="K3" si="8">J3*K19</f>
        <v>403920.35071518004</v>
      </c>
      <c r="L3" s="237">
        <f t="shared" ref="L3" si="9">K3*L19</f>
        <v>416037.96123663546</v>
      </c>
    </row>
    <row r="4" spans="1:12" s="55" customFormat="1" ht="15" customHeight="1">
      <c r="A4" s="420" t="s">
        <v>211</v>
      </c>
      <c r="B4" s="305">
        <v>5000</v>
      </c>
      <c r="C4" s="237">
        <v>50737.41</v>
      </c>
      <c r="D4" s="237">
        <f>+B4*12</f>
        <v>60000</v>
      </c>
      <c r="E4" s="396">
        <f t="shared" ref="E4:E5" si="10">D4*E19</f>
        <v>64500</v>
      </c>
      <c r="F4" s="396">
        <f t="shared" ref="F4:F5" si="11">E4*F19</f>
        <v>69015</v>
      </c>
      <c r="G4" s="396">
        <f t="shared" ref="G4:G5" si="12">F4*G19</f>
        <v>69015</v>
      </c>
      <c r="H4" s="396">
        <f t="shared" ref="H4:H5" si="13">G4*H19</f>
        <v>71085.45</v>
      </c>
      <c r="I4" s="396">
        <f t="shared" ref="I4:I5" si="14">H4*I19</f>
        <v>73218.013500000001</v>
      </c>
      <c r="J4" s="396">
        <f t="shared" ref="J4:J5" si="15">I4*J19</f>
        <v>75414.553905000008</v>
      </c>
      <c r="K4" s="396">
        <f t="shared" ref="K4:K5" si="16">J4*K19</f>
        <v>77676.990522150008</v>
      </c>
      <c r="L4" s="396">
        <f t="shared" ref="L4:L5" si="17">K4*L19</f>
        <v>80007.300237814517</v>
      </c>
    </row>
    <row r="5" spans="1:12" s="55" customFormat="1" ht="15" customHeight="1">
      <c r="A5" s="420" t="s">
        <v>212</v>
      </c>
      <c r="B5" s="305">
        <v>22000</v>
      </c>
      <c r="C5" s="237">
        <v>255161.06</v>
      </c>
      <c r="D5" s="237">
        <f>+B5*12</f>
        <v>264000</v>
      </c>
      <c r="E5" s="396">
        <f t="shared" si="10"/>
        <v>277200</v>
      </c>
      <c r="F5" s="396">
        <f t="shared" si="11"/>
        <v>288288</v>
      </c>
      <c r="G5" s="396">
        <f t="shared" si="12"/>
        <v>288288</v>
      </c>
      <c r="H5" s="396">
        <f t="shared" si="13"/>
        <v>294053.76000000001</v>
      </c>
      <c r="I5" s="396">
        <f t="shared" si="14"/>
        <v>299934.83520000003</v>
      </c>
      <c r="J5" s="396">
        <f t="shared" si="15"/>
        <v>305933.53190400003</v>
      </c>
      <c r="K5" s="396">
        <f t="shared" si="16"/>
        <v>312052.20254208002</v>
      </c>
      <c r="L5" s="396">
        <f t="shared" si="17"/>
        <v>318293.24659292161</v>
      </c>
    </row>
    <row r="6" spans="1:12" s="55" customFormat="1" ht="15" customHeight="1">
      <c r="A6" s="420" t="s">
        <v>213</v>
      </c>
      <c r="B6" s="305">
        <v>9500</v>
      </c>
      <c r="C6" s="237">
        <v>105923.98</v>
      </c>
      <c r="D6" s="237">
        <f>+$B$6*12</f>
        <v>114000</v>
      </c>
      <c r="E6" s="237">
        <f t="shared" ref="E6" si="18">D6*E19</f>
        <v>122550</v>
      </c>
      <c r="F6" s="237">
        <f t="shared" ref="F6:F7" si="19">E6*F19</f>
        <v>131128.5</v>
      </c>
      <c r="G6" s="237">
        <f t="shared" ref="G6:G7" si="20">F6*G19</f>
        <v>131128.5</v>
      </c>
      <c r="H6" s="237">
        <f t="shared" ref="H6:H7" si="21">G6*H19</f>
        <v>135062.35500000001</v>
      </c>
      <c r="I6" s="237">
        <f t="shared" ref="I6:I7" si="22">H6*I19</f>
        <v>139114.22565000001</v>
      </c>
      <c r="J6" s="237">
        <f t="shared" ref="J6:J7" si="23">I6*J19</f>
        <v>143287.65241950002</v>
      </c>
      <c r="K6" s="237">
        <f t="shared" ref="K6:K7" si="24">J6*K19</f>
        <v>147586.28199208502</v>
      </c>
      <c r="L6" s="237">
        <f t="shared" ref="L6:L7" si="25">K6*L19</f>
        <v>152013.87045184756</v>
      </c>
    </row>
    <row r="7" spans="1:12" s="55" customFormat="1" ht="15" customHeight="1">
      <c r="A7" s="420" t="s">
        <v>214</v>
      </c>
      <c r="B7" s="305">
        <v>13500</v>
      </c>
      <c r="C7" s="305">
        <v>158625.38</v>
      </c>
      <c r="D7" s="237">
        <f>+$B$7*12</f>
        <v>162000</v>
      </c>
      <c r="E7" s="237">
        <f>D7*E20</f>
        <v>170100</v>
      </c>
      <c r="F7" s="237">
        <f t="shared" si="19"/>
        <v>176904</v>
      </c>
      <c r="G7" s="237">
        <f t="shared" si="20"/>
        <v>176904</v>
      </c>
      <c r="H7" s="237">
        <f t="shared" si="21"/>
        <v>180442.08000000002</v>
      </c>
      <c r="I7" s="237">
        <f t="shared" si="22"/>
        <v>184050.92160000003</v>
      </c>
      <c r="J7" s="237">
        <f t="shared" si="23"/>
        <v>187731.94003200004</v>
      </c>
      <c r="K7" s="237">
        <f t="shared" si="24"/>
        <v>191486.57883264005</v>
      </c>
      <c r="L7" s="237">
        <f t="shared" si="25"/>
        <v>195316.31040929284</v>
      </c>
    </row>
    <row r="8" spans="1:12" s="55" customFormat="1" ht="15" customHeight="1">
      <c r="A8" s="304"/>
      <c r="B8" s="305"/>
      <c r="C8" s="237"/>
      <c r="D8" s="237">
        <f>+$B$8*12</f>
        <v>0</v>
      </c>
      <c r="E8" s="237">
        <f t="shared" ref="E8:L8" si="26">D8*E20</f>
        <v>0</v>
      </c>
      <c r="F8" s="237">
        <f t="shared" si="26"/>
        <v>0</v>
      </c>
      <c r="G8" s="237">
        <f t="shared" si="26"/>
        <v>0</v>
      </c>
      <c r="H8" s="237">
        <f t="shared" si="26"/>
        <v>0</v>
      </c>
      <c r="I8" s="237">
        <f t="shared" si="26"/>
        <v>0</v>
      </c>
      <c r="J8" s="237">
        <f t="shared" si="26"/>
        <v>0</v>
      </c>
      <c r="K8" s="237">
        <f t="shared" si="26"/>
        <v>0</v>
      </c>
      <c r="L8" s="237">
        <f t="shared" si="26"/>
        <v>0</v>
      </c>
    </row>
    <row r="9" spans="1:12" s="55" customFormat="1" ht="15" customHeight="1">
      <c r="A9" s="304"/>
      <c r="B9" s="305"/>
      <c r="C9" s="237"/>
      <c r="D9" s="237">
        <f>+$B$9*12</f>
        <v>0</v>
      </c>
      <c r="E9" s="237">
        <f t="shared" ref="E9:L9" si="27">D9*E19</f>
        <v>0</v>
      </c>
      <c r="F9" s="237">
        <f t="shared" si="27"/>
        <v>0</v>
      </c>
      <c r="G9" s="237">
        <f t="shared" si="27"/>
        <v>0</v>
      </c>
      <c r="H9" s="237">
        <f t="shared" si="27"/>
        <v>0</v>
      </c>
      <c r="I9" s="237">
        <f t="shared" si="27"/>
        <v>0</v>
      </c>
      <c r="J9" s="237">
        <f t="shared" si="27"/>
        <v>0</v>
      </c>
      <c r="K9" s="237">
        <f t="shared" si="27"/>
        <v>0</v>
      </c>
      <c r="L9" s="237">
        <f t="shared" si="27"/>
        <v>0</v>
      </c>
    </row>
    <row r="10" spans="1:12" s="55" customFormat="1" ht="15" customHeight="1">
      <c r="A10" s="304"/>
      <c r="B10" s="305"/>
      <c r="C10" s="237"/>
      <c r="D10" s="237">
        <f>+$B$10*12</f>
        <v>0</v>
      </c>
      <c r="E10" s="237">
        <f t="shared" ref="E10:L11" si="28">D10*E19</f>
        <v>0</v>
      </c>
      <c r="F10" s="237">
        <f t="shared" si="28"/>
        <v>0</v>
      </c>
      <c r="G10" s="237">
        <f t="shared" si="28"/>
        <v>0</v>
      </c>
      <c r="H10" s="237">
        <f t="shared" si="28"/>
        <v>0</v>
      </c>
      <c r="I10" s="237">
        <f t="shared" si="28"/>
        <v>0</v>
      </c>
      <c r="J10" s="237">
        <f t="shared" si="28"/>
        <v>0</v>
      </c>
      <c r="K10" s="237">
        <f t="shared" si="28"/>
        <v>0</v>
      </c>
      <c r="L10" s="237">
        <f t="shared" si="28"/>
        <v>0</v>
      </c>
    </row>
    <row r="11" spans="1:12" s="55" customFormat="1" ht="15" customHeight="1">
      <c r="A11" s="304"/>
      <c r="B11" s="305"/>
      <c r="C11" s="237"/>
      <c r="D11" s="237">
        <f>+$B$11*12</f>
        <v>0</v>
      </c>
      <c r="E11" s="237">
        <f t="shared" si="28"/>
        <v>0</v>
      </c>
      <c r="F11" s="237">
        <f t="shared" si="28"/>
        <v>0</v>
      </c>
      <c r="G11" s="237">
        <f t="shared" si="28"/>
        <v>0</v>
      </c>
      <c r="H11" s="237">
        <f t="shared" si="28"/>
        <v>0</v>
      </c>
      <c r="I11" s="237">
        <f t="shared" si="28"/>
        <v>0</v>
      </c>
      <c r="J11" s="237">
        <f t="shared" si="28"/>
        <v>0</v>
      </c>
      <c r="K11" s="237">
        <f t="shared" si="28"/>
        <v>0</v>
      </c>
      <c r="L11" s="237">
        <f t="shared" si="28"/>
        <v>0</v>
      </c>
    </row>
    <row r="12" spans="1:12" s="55" customFormat="1" ht="15" customHeight="1">
      <c r="A12" s="304"/>
      <c r="B12" s="305"/>
      <c r="C12" s="237"/>
      <c r="D12" s="237">
        <f>+$B$12*12</f>
        <v>0</v>
      </c>
      <c r="E12" s="237">
        <f>D12*E19</f>
        <v>0</v>
      </c>
      <c r="F12" s="237">
        <f t="shared" ref="F12:L12" si="29">E12*F19</f>
        <v>0</v>
      </c>
      <c r="G12" s="237">
        <f t="shared" si="29"/>
        <v>0</v>
      </c>
      <c r="H12" s="237">
        <f t="shared" si="29"/>
        <v>0</v>
      </c>
      <c r="I12" s="237">
        <f t="shared" si="29"/>
        <v>0</v>
      </c>
      <c r="J12" s="237">
        <f t="shared" si="29"/>
        <v>0</v>
      </c>
      <c r="K12" s="237">
        <f t="shared" si="29"/>
        <v>0</v>
      </c>
      <c r="L12" s="237">
        <f t="shared" si="29"/>
        <v>0</v>
      </c>
    </row>
    <row r="13" spans="1:12" s="55" customFormat="1" ht="15" customHeight="1">
      <c r="A13" s="304"/>
      <c r="B13" s="305"/>
      <c r="C13" s="237"/>
      <c r="D13" s="237">
        <f>+$B$13*12</f>
        <v>0</v>
      </c>
      <c r="E13" s="237">
        <f>D13*E19</f>
        <v>0</v>
      </c>
      <c r="F13" s="237">
        <f t="shared" ref="F13:L13" si="30">E13*F19</f>
        <v>0</v>
      </c>
      <c r="G13" s="237">
        <f t="shared" si="30"/>
        <v>0</v>
      </c>
      <c r="H13" s="237">
        <f t="shared" si="30"/>
        <v>0</v>
      </c>
      <c r="I13" s="237">
        <f t="shared" si="30"/>
        <v>0</v>
      </c>
      <c r="J13" s="237">
        <f t="shared" si="30"/>
        <v>0</v>
      </c>
      <c r="K13" s="237">
        <f t="shared" si="30"/>
        <v>0</v>
      </c>
      <c r="L13" s="237">
        <f t="shared" si="30"/>
        <v>0</v>
      </c>
    </row>
    <row r="14" spans="1:12" s="55" customFormat="1" ht="15" customHeight="1">
      <c r="A14" s="304"/>
      <c r="B14" s="305"/>
      <c r="C14" s="237"/>
      <c r="D14" s="237">
        <f>+$B$14*12</f>
        <v>0</v>
      </c>
      <c r="E14" s="237">
        <f>D14*E19</f>
        <v>0</v>
      </c>
      <c r="F14" s="237">
        <f t="shared" ref="F14:L14" si="31">E14*F19</f>
        <v>0</v>
      </c>
      <c r="G14" s="237">
        <f t="shared" si="31"/>
        <v>0</v>
      </c>
      <c r="H14" s="237">
        <f t="shared" si="31"/>
        <v>0</v>
      </c>
      <c r="I14" s="237">
        <f t="shared" si="31"/>
        <v>0</v>
      </c>
      <c r="J14" s="237">
        <f t="shared" si="31"/>
        <v>0</v>
      </c>
      <c r="K14" s="237">
        <f t="shared" si="31"/>
        <v>0</v>
      </c>
      <c r="L14" s="237">
        <f t="shared" si="31"/>
        <v>0</v>
      </c>
    </row>
    <row r="15" spans="1:12" s="55" customFormat="1" ht="15" customHeight="1">
      <c r="A15" s="304"/>
      <c r="B15" s="305"/>
      <c r="C15" s="237"/>
      <c r="D15" s="237">
        <f>+$B$15*12</f>
        <v>0</v>
      </c>
      <c r="E15" s="237">
        <f>D15*E19</f>
        <v>0</v>
      </c>
      <c r="F15" s="237">
        <f t="shared" ref="F15:L15" si="32">E15*F19</f>
        <v>0</v>
      </c>
      <c r="G15" s="237">
        <f t="shared" si="32"/>
        <v>0</v>
      </c>
      <c r="H15" s="237">
        <f t="shared" si="32"/>
        <v>0</v>
      </c>
      <c r="I15" s="237">
        <f t="shared" si="32"/>
        <v>0</v>
      </c>
      <c r="J15" s="237">
        <f t="shared" si="32"/>
        <v>0</v>
      </c>
      <c r="K15" s="237">
        <f t="shared" si="32"/>
        <v>0</v>
      </c>
      <c r="L15" s="237">
        <f t="shared" si="32"/>
        <v>0</v>
      </c>
    </row>
    <row r="16" spans="1:12" ht="20.100000000000001" customHeight="1">
      <c r="A16" s="238" t="s">
        <v>161</v>
      </c>
      <c r="B16" s="239"/>
      <c r="D16" s="239"/>
      <c r="E16" s="239"/>
      <c r="F16" s="239"/>
      <c r="G16" s="239"/>
      <c r="H16" s="239"/>
      <c r="I16" s="239"/>
      <c r="J16" s="239"/>
      <c r="K16" s="239"/>
      <c r="L16" s="239"/>
    </row>
    <row r="17" spans="1:12" ht="20.100000000000001" customHeight="1">
      <c r="A17" s="248"/>
      <c r="B17" s="248"/>
      <c r="C17" s="239"/>
      <c r="D17" s="239"/>
      <c r="E17" s="239"/>
      <c r="F17" s="239"/>
      <c r="G17" s="239"/>
      <c r="H17" s="239"/>
      <c r="I17" s="239"/>
      <c r="J17" s="239"/>
      <c r="K17" s="239"/>
      <c r="L17" s="239"/>
    </row>
    <row r="18" spans="1:12" ht="20.100000000000001" customHeight="1">
      <c r="A18" s="240"/>
      <c r="B18" s="240"/>
      <c r="C18" s="241">
        <f>SUM(C2:C17)</f>
        <v>871290.97000000009</v>
      </c>
      <c r="D18" s="241">
        <f t="shared" ref="D18:L18" si="33">SUM(D2:D17)</f>
        <v>912000</v>
      </c>
      <c r="E18" s="241">
        <f t="shared" si="33"/>
        <v>969750</v>
      </c>
      <c r="F18" s="241">
        <f t="shared" si="33"/>
        <v>1024213.5</v>
      </c>
      <c r="G18" s="241">
        <f t="shared" si="33"/>
        <v>1024213.5</v>
      </c>
      <c r="H18" s="241">
        <f t="shared" si="33"/>
        <v>1050287.9850000001</v>
      </c>
      <c r="I18" s="241">
        <f t="shared" si="33"/>
        <v>1077051.6661500002</v>
      </c>
      <c r="J18" s="241">
        <f t="shared" si="33"/>
        <v>1104523.3585665</v>
      </c>
      <c r="K18" s="241">
        <f t="shared" si="33"/>
        <v>1132722.4046041351</v>
      </c>
      <c r="L18" s="241">
        <f t="shared" si="33"/>
        <v>1161668.6889285119</v>
      </c>
    </row>
    <row r="19" spans="1:12" ht="20.100000000000001" customHeight="1">
      <c r="A19" s="367" t="s">
        <v>172</v>
      </c>
      <c r="E19" s="2">
        <v>1.075</v>
      </c>
      <c r="F19" s="2">
        <v>1.07</v>
      </c>
      <c r="G19" s="2">
        <v>1</v>
      </c>
      <c r="H19" s="2">
        <v>1.03</v>
      </c>
      <c r="I19" s="2">
        <v>1.03</v>
      </c>
      <c r="J19" s="2">
        <v>1.03</v>
      </c>
      <c r="K19" s="2">
        <v>1.03</v>
      </c>
      <c r="L19" s="2">
        <v>1.03</v>
      </c>
    </row>
    <row r="20" spans="1:12" ht="20.100000000000001" customHeight="1">
      <c r="A20" s="367" t="s">
        <v>171</v>
      </c>
      <c r="E20" s="2">
        <v>1.05</v>
      </c>
      <c r="F20" s="2">
        <v>1.04</v>
      </c>
      <c r="G20" s="2">
        <v>1</v>
      </c>
      <c r="H20" s="2">
        <v>1.02</v>
      </c>
      <c r="I20" s="2">
        <v>1.02</v>
      </c>
      <c r="J20" s="2">
        <v>1.02</v>
      </c>
      <c r="K20" s="2">
        <v>1.02</v>
      </c>
      <c r="L20" s="2">
        <v>1.02</v>
      </c>
    </row>
    <row r="21" spans="1:12" ht="20.100000000000001" customHeight="1">
      <c r="A21" s="367"/>
      <c r="C21" s="395"/>
      <c r="E21" s="2">
        <f>E18/D18</f>
        <v>1.0633223684210527</v>
      </c>
      <c r="F21" s="2">
        <f t="shared" ref="F21:L21" si="34">F18/E18</f>
        <v>1.0561624129930394</v>
      </c>
      <c r="G21" s="2">
        <f t="shared" si="34"/>
        <v>1</v>
      </c>
      <c r="H21" s="2">
        <f t="shared" si="34"/>
        <v>1.0254580563525086</v>
      </c>
      <c r="I21" s="2">
        <f t="shared" si="34"/>
        <v>1.0254822310949316</v>
      </c>
      <c r="J21" s="2">
        <f t="shared" si="34"/>
        <v>1.0255063831011</v>
      </c>
      <c r="K21" s="2">
        <f t="shared" si="34"/>
        <v>1.0255305112553101</v>
      </c>
      <c r="L21" s="2">
        <f t="shared" si="34"/>
        <v>1.0255546144463286</v>
      </c>
    </row>
    <row r="22" spans="1:12" ht="20.100000000000001" customHeight="1"/>
    <row r="23" spans="1:12" ht="20.100000000000001" customHeight="1"/>
    <row r="24" spans="1:12" ht="20.100000000000001" customHeight="1"/>
    <row r="25" spans="1:12" ht="20.100000000000001" customHeight="1"/>
    <row r="26" spans="1:12" ht="20.100000000000001" customHeight="1"/>
    <row r="27" spans="1:12" ht="20.100000000000001" customHeight="1"/>
    <row r="28" spans="1:12" ht="20.100000000000001" customHeight="1"/>
    <row r="29" spans="1:12" ht="20.100000000000001" customHeight="1"/>
    <row r="30" spans="1:12" ht="20.100000000000001" customHeight="1"/>
    <row r="31" spans="1:12" ht="20.100000000000001" customHeight="1"/>
    <row r="32" spans="1:12" ht="20.100000000000001" customHeight="1"/>
    <row r="33" ht="20.100000000000001" customHeight="1"/>
    <row r="34" ht="20.100000000000001" customHeight="1"/>
    <row r="35" ht="20.10000000000000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  <row r="41" ht="20.100000000000001" customHeight="1"/>
    <row r="42" ht="20.100000000000001" customHeight="1"/>
    <row r="43" ht="20.100000000000001" customHeight="1"/>
    <row r="44" ht="20.100000000000001" customHeight="1"/>
    <row r="45" ht="20.100000000000001" customHeight="1"/>
    <row r="46" ht="20.100000000000001" customHeight="1"/>
    <row r="47" ht="20.100000000000001" customHeight="1"/>
    <row r="48" ht="20.100000000000001" customHeight="1"/>
    <row r="49" ht="20.100000000000001" customHeight="1"/>
    <row r="50" ht="20.100000000000001" customHeight="1"/>
    <row r="51" ht="20.100000000000001" customHeight="1"/>
    <row r="52" ht="20.100000000000001" customHeight="1"/>
    <row r="53" ht="20.100000000000001" customHeight="1"/>
    <row r="54" ht="20.100000000000001" customHeight="1"/>
    <row r="55" ht="20.100000000000001" customHeight="1"/>
    <row r="56" ht="20.100000000000001" customHeight="1"/>
    <row r="57" ht="20.100000000000001" customHeight="1"/>
    <row r="58" ht="20.100000000000001" customHeight="1"/>
    <row r="59" ht="20.100000000000001" customHeight="1"/>
    <row r="60" ht="20.100000000000001" customHeight="1"/>
    <row r="61" ht="20.100000000000001" customHeight="1"/>
    <row r="62" ht="20.100000000000001" customHeight="1"/>
    <row r="63" ht="20.100000000000001" customHeight="1"/>
    <row r="64" ht="20.100000000000001" customHeight="1"/>
    <row r="65" ht="20.100000000000001" customHeight="1"/>
    <row r="66" ht="20.100000000000001" customHeight="1"/>
    <row r="67" ht="20.100000000000001" customHeight="1"/>
    <row r="68" ht="20.100000000000001" customHeight="1"/>
    <row r="69" ht="20.100000000000001" customHeight="1"/>
    <row r="70" ht="20.100000000000001" customHeight="1"/>
    <row r="71" ht="20.100000000000001" customHeight="1"/>
    <row r="72" ht="20.100000000000001" customHeight="1"/>
    <row r="73" ht="20.100000000000001" customHeight="1"/>
    <row r="74" ht="20.100000000000001" customHeight="1"/>
    <row r="75" ht="20.100000000000001" customHeight="1"/>
    <row r="76" ht="20.100000000000001" customHeight="1"/>
    <row r="77" ht="20.100000000000001" customHeight="1"/>
    <row r="78" ht="20.100000000000001" customHeight="1"/>
    <row r="79" ht="20.100000000000001" customHeight="1"/>
    <row r="80" ht="20.100000000000001" customHeight="1"/>
    <row r="81" ht="20.100000000000001" customHeight="1"/>
    <row r="82" ht="20.100000000000001" customHeight="1"/>
    <row r="83" ht="20.100000000000001" customHeight="1"/>
    <row r="84" ht="20.100000000000001" customHeight="1"/>
    <row r="85" ht="20.100000000000001" customHeight="1"/>
    <row r="86" ht="20.100000000000001" customHeight="1"/>
    <row r="87" ht="20.100000000000001" customHeight="1"/>
    <row r="88" ht="20.100000000000001" customHeight="1"/>
    <row r="89" ht="20.100000000000001" customHeight="1"/>
    <row r="90" ht="20.100000000000001" customHeight="1"/>
    <row r="91" ht="20.100000000000001" customHeight="1"/>
    <row r="92" ht="20.100000000000001" customHeight="1"/>
    <row r="93" ht="20.100000000000001" customHeight="1"/>
    <row r="94" ht="20.100000000000001" customHeight="1"/>
    <row r="95" ht="20.100000000000001" customHeight="1"/>
    <row r="96" ht="20.100000000000001" customHeight="1"/>
    <row r="97" ht="15" customHeight="1"/>
    <row r="98" ht="15" customHeight="1"/>
    <row r="99" ht="15" customHeight="1"/>
    <row r="100" ht="15" customHeight="1"/>
  </sheetData>
  <phoneticPr fontId="9" type="noConversion"/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&amp;L&amp;"Arial,Negrito"3- Fornecimento e Serviços Externos</oddHeader>
  </headerFooter>
  <ignoredErrors>
    <ignoredError sqref="D12:L12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/>
    <pageSetUpPr fitToPage="1"/>
  </sheetPr>
  <dimension ref="A1:H191"/>
  <sheetViews>
    <sheetView showGridLines="0" zoomScaleNormal="100" workbookViewId="0">
      <selection activeCell="C18" sqref="C18"/>
    </sheetView>
  </sheetViews>
  <sheetFormatPr defaultColWidth="9.109375" defaultRowHeight="10.199999999999999"/>
  <cols>
    <col min="1" max="1" width="40.5546875" style="1" bestFit="1" customWidth="1"/>
    <col min="2" max="6" width="14.88671875" style="1" bestFit="1" customWidth="1"/>
    <col min="7" max="8" width="11.33203125" style="1" bestFit="1" customWidth="1"/>
    <col min="9" max="16384" width="9.109375" style="1"/>
  </cols>
  <sheetData>
    <row r="1" spans="1:8" s="37" customFormat="1" ht="15" customHeight="1">
      <c r="A1" s="129"/>
      <c r="B1" s="130">
        <v>2024</v>
      </c>
      <c r="C1" s="130">
        <f>+B1+1</f>
        <v>2025</v>
      </c>
      <c r="D1" s="130">
        <f t="shared" ref="D1:F1" si="0">+C1+1</f>
        <v>2026</v>
      </c>
      <c r="E1" s="130">
        <f t="shared" si="0"/>
        <v>2027</v>
      </c>
      <c r="F1" s="380">
        <f t="shared" si="0"/>
        <v>2028</v>
      </c>
      <c r="G1" s="130">
        <f t="shared" ref="G1" si="1">+F1+1</f>
        <v>2029</v>
      </c>
      <c r="H1" s="375">
        <f t="shared" ref="H1" si="2">+G1+1</f>
        <v>2030</v>
      </c>
    </row>
    <row r="2" spans="1:8" s="37" customFormat="1" ht="15" customHeight="1">
      <c r="A2" s="131" t="s">
        <v>11</v>
      </c>
      <c r="B2" s="57">
        <f t="shared" ref="B2:F2" si="3">SUM(B3:B4)</f>
        <v>1920188.084111111</v>
      </c>
      <c r="C2" s="57">
        <f t="shared" si="3"/>
        <v>1958587.0035246664</v>
      </c>
      <c r="D2" s="57">
        <f t="shared" si="3"/>
        <v>2047702.7121850385</v>
      </c>
      <c r="E2" s="57">
        <f t="shared" si="3"/>
        <v>2098845.336021075</v>
      </c>
      <c r="F2" s="381">
        <f t="shared" si="3"/>
        <v>2167332.3141132644</v>
      </c>
      <c r="G2" s="57">
        <f t="shared" ref="G2:H2" si="4">SUM(G3:G4)</f>
        <v>2202944.0575631433</v>
      </c>
      <c r="H2" s="376">
        <f t="shared" si="4"/>
        <v>2214594.2424829481</v>
      </c>
    </row>
    <row r="3" spans="1:8" s="37" customFormat="1" ht="15" customHeight="1">
      <c r="A3" s="132" t="s">
        <v>1</v>
      </c>
      <c r="B3" s="58">
        <f>+'Previsão Receitas'!B8/360*Pressupostos!$B$11</f>
        <v>1650350.9555555554</v>
      </c>
      <c r="C3" s="58">
        <f>+'Previsão Receitas'!C8/360*Pressupostos!$B$11</f>
        <v>1683357.9746666665</v>
      </c>
      <c r="D3" s="58">
        <f>+'Previsão Receitas'!D8/360*Pressupostos!$B$11</f>
        <v>1759950.7625139996</v>
      </c>
      <c r="E3" s="58">
        <f>+'Previsão Receitas'!E8/360*Pressupostos!$B$11</f>
        <v>1803906.6059484959</v>
      </c>
      <c r="F3" s="58">
        <f>+'Previsão Receitas'!F8/360*Pressupostos!$B$11</f>
        <v>1866780.6323111667</v>
      </c>
      <c r="G3" s="58">
        <f>+'Previsão Receitas'!G8/360*Pressupostos!$B$11</f>
        <v>1895005.6409145319</v>
      </c>
      <c r="H3" s="58">
        <f>+'Previsão Receitas'!H8/360*Pressupostos!$B$11</f>
        <v>1905027.305361676</v>
      </c>
    </row>
    <row r="4" spans="1:8" s="37" customFormat="1" ht="15" customHeight="1">
      <c r="A4" s="132" t="s">
        <v>12</v>
      </c>
      <c r="B4" s="58">
        <f>B13/360*Pressupostos!$B$13</f>
        <v>269837.12855555554</v>
      </c>
      <c r="C4" s="58">
        <f>C13/360*Pressupostos!$B$13</f>
        <v>275229.02885799995</v>
      </c>
      <c r="D4" s="58">
        <f>D13/360*Pressupostos!$B$13</f>
        <v>287751.94967103895</v>
      </c>
      <c r="E4" s="58">
        <f>E13/360*Pressupostos!$B$13</f>
        <v>294938.73007257906</v>
      </c>
      <c r="F4" s="372">
        <f>F13/360*Pressupostos!$B$13</f>
        <v>300551.68180209782</v>
      </c>
      <c r="G4" s="58">
        <f>G13/360*Pressupostos!$B$13</f>
        <v>307938.41664861143</v>
      </c>
      <c r="H4" s="370">
        <f>H13/360*Pressupostos!$B$13</f>
        <v>309566.93712127232</v>
      </c>
    </row>
    <row r="5" spans="1:8" s="37" customFormat="1" ht="15" customHeight="1">
      <c r="A5" s="133" t="s">
        <v>13</v>
      </c>
      <c r="B5" s="59">
        <f>SUM(B6:B6)</f>
        <v>2312889.6733333329</v>
      </c>
      <c r="C5" s="59">
        <f>SUM(C6:C6)</f>
        <v>2359105.9616399999</v>
      </c>
      <c r="D5" s="59">
        <f>SUM(D6:D6)</f>
        <v>2466445.2828946193</v>
      </c>
      <c r="E5" s="59">
        <f>SUM(E6:E6)</f>
        <v>2528046.2577649634</v>
      </c>
      <c r="F5" s="382">
        <f>SUM(F6:F6)</f>
        <v>2576157.2725894102</v>
      </c>
      <c r="G5" s="59">
        <f t="shared" ref="G5:H5" si="5">SUM(G6:G6)</f>
        <v>2639472.1427023839</v>
      </c>
      <c r="H5" s="377">
        <f t="shared" si="5"/>
        <v>2653430.8896109057</v>
      </c>
    </row>
    <row r="6" spans="1:8" s="37" customFormat="1" ht="15" customHeight="1">
      <c r="A6" s="132" t="s">
        <v>4</v>
      </c>
      <c r="B6" s="58">
        <f>(+'Fornecimento  Serviços Externos'!C2+B18)/360*Pressupostos!$B$12</f>
        <v>2312889.6733333329</v>
      </c>
      <c r="C6" s="58">
        <f>(+'Fornecimento  Serviços Externos'!D2+C18)/360*Pressupostos!$B$12</f>
        <v>2359105.9616399999</v>
      </c>
      <c r="D6" s="58">
        <f>(+'Fornecimento  Serviços Externos'!E2+D18)/360*Pressupostos!$B$12</f>
        <v>2466445.2828946193</v>
      </c>
      <c r="E6" s="58">
        <f>(+'Fornecimento  Serviços Externos'!F2+E18)/360*Pressupostos!$B$12</f>
        <v>2528046.2577649634</v>
      </c>
      <c r="F6" s="372">
        <f>(+'Fornecimento  Serviços Externos'!G2+F18)/360*Pressupostos!$B$12</f>
        <v>2576157.2725894102</v>
      </c>
      <c r="G6" s="58">
        <f>(+'Fornecimento  Serviços Externos'!H2+G18)/360*Pressupostos!$B$12</f>
        <v>2639472.1427023839</v>
      </c>
      <c r="H6" s="369">
        <f>(+'Fornecimento  Serviços Externos'!I2+H18)/360*Pressupostos!$B$12</f>
        <v>2653430.8896109057</v>
      </c>
    </row>
    <row r="7" spans="1:8" s="37" customFormat="1" ht="15" customHeight="1">
      <c r="A7" s="134" t="s">
        <v>20</v>
      </c>
      <c r="B7" s="128">
        <f>B2-B5</f>
        <v>-392701.58922222187</v>
      </c>
      <c r="C7" s="128">
        <f>C2-C5</f>
        <v>-400518.95811533346</v>
      </c>
      <c r="D7" s="128">
        <f>D2-D5</f>
        <v>-418742.57070958079</v>
      </c>
      <c r="E7" s="128">
        <f>E2-E5</f>
        <v>-429200.92174388841</v>
      </c>
      <c r="F7" s="383">
        <f>F2-F5</f>
        <v>-408824.95847614575</v>
      </c>
      <c r="G7" s="128">
        <f t="shared" ref="G7:H7" si="6">G2-G5</f>
        <v>-436528.0851392406</v>
      </c>
      <c r="H7" s="378">
        <f t="shared" si="6"/>
        <v>-438836.64712795755</v>
      </c>
    </row>
    <row r="8" spans="1:8" s="37" customFormat="1" ht="15" customHeight="1" thickBot="1">
      <c r="A8" s="135" t="s">
        <v>21</v>
      </c>
      <c r="B8" s="136">
        <f>B7</f>
        <v>-392701.58922222187</v>
      </c>
      <c r="C8" s="136">
        <f t="shared" ref="C8:F8" si="7">C7-B7</f>
        <v>-7817.3688931115903</v>
      </c>
      <c r="D8" s="136">
        <f t="shared" si="7"/>
        <v>-18223.61259424733</v>
      </c>
      <c r="E8" s="136">
        <f>E7-D7</f>
        <v>-10458.35103430762</v>
      </c>
      <c r="F8" s="384">
        <f t="shared" si="7"/>
        <v>20375.963267742656</v>
      </c>
      <c r="G8" s="136">
        <f t="shared" ref="G8" si="8">G7-F7</f>
        <v>-27703.126663094852</v>
      </c>
      <c r="H8" s="379">
        <f t="shared" ref="H8" si="9">H7-G7</f>
        <v>-2308.5619887169451</v>
      </c>
    </row>
    <row r="9" spans="1:8" s="37" customFormat="1" ht="15" customHeight="1" thickBot="1">
      <c r="A9" s="36"/>
      <c r="B9" s="36"/>
      <c r="C9" s="36"/>
      <c r="D9" s="36"/>
      <c r="E9" s="60"/>
      <c r="F9" s="36"/>
    </row>
    <row r="10" spans="1:8" s="37" customFormat="1" ht="15" customHeight="1" thickBot="1">
      <c r="A10" s="137" t="s">
        <v>14</v>
      </c>
      <c r="B10" s="36"/>
      <c r="C10" s="36"/>
      <c r="D10" s="36"/>
      <c r="E10" s="60"/>
      <c r="F10" s="60"/>
    </row>
    <row r="11" spans="1:8" s="37" customFormat="1" ht="15" customHeight="1" thickBot="1">
      <c r="A11" s="35"/>
      <c r="B11" s="36"/>
      <c r="C11" s="36"/>
      <c r="D11" s="36"/>
      <c r="E11" s="36"/>
      <c r="F11" s="36"/>
    </row>
    <row r="12" spans="1:8" s="37" customFormat="1" ht="15" customHeight="1">
      <c r="A12" s="138"/>
      <c r="B12" s="124">
        <v>2024</v>
      </c>
      <c r="C12" s="124">
        <f>+B12+1</f>
        <v>2025</v>
      </c>
      <c r="D12" s="124">
        <f t="shared" ref="D12:F12" si="10">+C12+1</f>
        <v>2026</v>
      </c>
      <c r="E12" s="124">
        <f t="shared" si="10"/>
        <v>2027</v>
      </c>
      <c r="F12" s="374">
        <f t="shared" si="10"/>
        <v>2028</v>
      </c>
      <c r="G12" s="124">
        <f t="shared" ref="G12" si="11">+F12+1</f>
        <v>2029</v>
      </c>
      <c r="H12" s="373">
        <f t="shared" ref="H12" si="12">+G12+1</f>
        <v>2030</v>
      </c>
    </row>
    <row r="13" spans="1:8" s="37" customFormat="1" ht="15" customHeight="1">
      <c r="A13" s="139" t="s">
        <v>8</v>
      </c>
      <c r="B13" s="58">
        <f>+B18</f>
        <v>13877338.039999999</v>
      </c>
      <c r="C13" s="58">
        <f t="shared" ref="C13:H13" si="13">+C18</f>
        <v>14154635.769839998</v>
      </c>
      <c r="D13" s="58">
        <f t="shared" si="13"/>
        <v>14798671.697367717</v>
      </c>
      <c r="E13" s="58">
        <f t="shared" si="13"/>
        <v>15168277.546589781</v>
      </c>
      <c r="F13" s="372">
        <f t="shared" si="13"/>
        <v>15456943.63553646</v>
      </c>
      <c r="G13" s="58">
        <f t="shared" si="13"/>
        <v>15836832.856214304</v>
      </c>
      <c r="H13" s="369">
        <f t="shared" si="13"/>
        <v>15920585.337665435</v>
      </c>
    </row>
    <row r="14" spans="1:8" s="37" customFormat="1" ht="15" customHeight="1">
      <c r="A14" s="140" t="s">
        <v>15</v>
      </c>
      <c r="B14" s="58">
        <v>0</v>
      </c>
      <c r="C14" s="58">
        <v>0</v>
      </c>
      <c r="D14" s="58">
        <v>0</v>
      </c>
      <c r="E14" s="58">
        <v>0</v>
      </c>
      <c r="F14" s="372">
        <v>0</v>
      </c>
      <c r="G14" s="58">
        <v>0</v>
      </c>
      <c r="H14" s="370">
        <v>0</v>
      </c>
    </row>
    <row r="15" spans="1:8" s="37" customFormat="1" ht="15" customHeight="1">
      <c r="A15" s="140" t="s">
        <v>16</v>
      </c>
      <c r="B15" s="58">
        <v>0</v>
      </c>
      <c r="C15" s="58">
        <f t="shared" ref="C15:F15" si="14">B14</f>
        <v>0</v>
      </c>
      <c r="D15" s="58">
        <f t="shared" si="14"/>
        <v>0</v>
      </c>
      <c r="E15" s="58">
        <f t="shared" si="14"/>
        <v>0</v>
      </c>
      <c r="F15" s="372">
        <f t="shared" si="14"/>
        <v>0</v>
      </c>
      <c r="G15" s="58">
        <f t="shared" ref="G15" si="15">F14</f>
        <v>0</v>
      </c>
      <c r="H15" s="370">
        <f t="shared" ref="H15" si="16">G14</f>
        <v>0</v>
      </c>
    </row>
    <row r="16" spans="1:8" s="37" customFormat="1" ht="15" customHeight="1" thickBot="1">
      <c r="A16" s="141" t="s">
        <v>17</v>
      </c>
      <c r="B16" s="142">
        <f t="shared" ref="B16:F16" si="17">B13+B14-B15</f>
        <v>13877338.039999999</v>
      </c>
      <c r="C16" s="142">
        <f t="shared" si="17"/>
        <v>14154635.769839998</v>
      </c>
      <c r="D16" s="142">
        <f t="shared" si="17"/>
        <v>14798671.697367717</v>
      </c>
      <c r="E16" s="142">
        <f t="shared" si="17"/>
        <v>15168277.546589781</v>
      </c>
      <c r="F16" s="368">
        <f t="shared" si="17"/>
        <v>15456943.63553646</v>
      </c>
      <c r="G16" s="142">
        <f t="shared" ref="G16:H16" si="18">G13+G14-G15</f>
        <v>15836832.856214304</v>
      </c>
      <c r="H16" s="371">
        <f t="shared" si="18"/>
        <v>15920585.337665435</v>
      </c>
    </row>
    <row r="17" spans="1:8" s="37" customFormat="1" ht="15" customHeight="1" thickBot="1">
      <c r="A17" s="61"/>
      <c r="B17" s="36"/>
      <c r="C17" s="36"/>
      <c r="D17" s="36"/>
      <c r="E17" s="36"/>
      <c r="F17" s="36"/>
      <c r="G17" s="36"/>
      <c r="H17" s="36"/>
    </row>
    <row r="18" spans="1:8" s="37" customFormat="1" ht="15" customHeight="1" thickBot="1">
      <c r="A18" s="126" t="s">
        <v>8</v>
      </c>
      <c r="B18" s="127">
        <v>13877338.039999999</v>
      </c>
      <c r="C18" s="127">
        <f>+'Previsão Receitas'!C8*0.8175</f>
        <v>14154635.769839998</v>
      </c>
      <c r="D18" s="127">
        <f>+'Previsão Receitas'!D8*0.8175</f>
        <v>14798671.697367717</v>
      </c>
      <c r="E18" s="127">
        <f>+'Previsão Receitas'!E8*0.8175</f>
        <v>15168277.546589781</v>
      </c>
      <c r="F18" s="127">
        <f>+'Previsão Receitas'!F8*0.805</f>
        <v>15456943.63553646</v>
      </c>
      <c r="G18" s="127">
        <f>+'Previsão Receitas'!G8*0.8125</f>
        <v>15836832.856214304</v>
      </c>
      <c r="H18" s="127">
        <f>+'Previsão Receitas'!H8*0.8125</f>
        <v>15920585.337665435</v>
      </c>
    </row>
    <row r="19" spans="1:8" s="65" customFormat="1" ht="14.4">
      <c r="A19" s="63"/>
      <c r="B19" s="64"/>
      <c r="C19" s="64"/>
      <c r="D19" s="64"/>
      <c r="E19" s="64"/>
      <c r="F19" s="64"/>
    </row>
    <row r="20" spans="1:8" ht="20.100000000000001" customHeight="1">
      <c r="A20" s="115" t="s">
        <v>136</v>
      </c>
      <c r="B20" s="103"/>
      <c r="C20" s="103"/>
      <c r="D20" s="103"/>
      <c r="E20" s="103"/>
      <c r="F20" s="103"/>
    </row>
    <row r="21" spans="1:8" ht="15" customHeight="1"/>
    <row r="22" spans="1:8" ht="15" customHeight="1">
      <c r="B22" s="1">
        <f>B18/'Previsão Receitas'!B3</f>
        <v>0.81751438276569677</v>
      </c>
    </row>
    <row r="23" spans="1:8" ht="15" customHeight="1"/>
    <row r="24" spans="1:8" ht="15" customHeight="1"/>
    <row r="25" spans="1:8" ht="15" customHeight="1"/>
    <row r="26" spans="1:8" ht="15" customHeight="1"/>
    <row r="27" spans="1:8" ht="15" customHeight="1"/>
    <row r="28" spans="1:8" ht="15" customHeight="1"/>
    <row r="29" spans="1:8" ht="15" customHeight="1"/>
    <row r="30" spans="1:8" ht="15" customHeight="1"/>
    <row r="31" spans="1:8" s="107" customFormat="1" ht="15" customHeight="1"/>
    <row r="32" spans="1:8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</sheetData>
  <phoneticPr fontId="9" type="noConversion"/>
  <hyperlinks>
    <hyperlink ref="A20" location="Índice!A1" display="Índice" xr:uid="{00000000-0004-0000-0400-000000000000}"/>
  </hyperlinks>
  <pageMargins left="0.74803149606299213" right="0.74803149606299213" top="0.98425196850393704" bottom="0.98425196850393704" header="0.51181102362204722" footer="0.51181102362204722"/>
  <pageSetup paperSize="9" fitToHeight="8" orientation="landscape" r:id="rId1"/>
  <headerFooter alignWithMargins="0">
    <oddHeader>&amp;L&amp;"Arial,Negrito"4 - Fundo Maneio</oddHeader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O19"/>
  <sheetViews>
    <sheetView showGridLines="0" zoomScaleNormal="100" workbookViewId="0">
      <selection activeCell="C17" sqref="C17"/>
    </sheetView>
  </sheetViews>
  <sheetFormatPr defaultColWidth="9.109375" defaultRowHeight="13.2"/>
  <cols>
    <col min="1" max="1" width="41.44140625" style="24" bestFit="1" customWidth="1"/>
    <col min="2" max="2" width="9.88671875" style="92" customWidth="1"/>
    <col min="3" max="6" width="14.21875" style="24" bestFit="1" customWidth="1"/>
    <col min="7" max="7" width="14.33203125" style="24" bestFit="1" customWidth="1"/>
    <col min="8" max="9" width="14.21875" style="24" bestFit="1" customWidth="1"/>
    <col min="10" max="10" width="11.33203125" style="24" bestFit="1" customWidth="1"/>
    <col min="11" max="11" width="9.109375" style="24"/>
    <col min="12" max="12" width="11.88671875" style="24" bestFit="1" customWidth="1"/>
    <col min="13" max="13" width="9.44140625" style="24" bestFit="1" customWidth="1"/>
    <col min="14" max="16384" width="9.109375" style="24"/>
  </cols>
  <sheetData>
    <row r="1" spans="1:15" s="68" customFormat="1" ht="15" customHeight="1" thickBot="1">
      <c r="A1" s="469" t="s">
        <v>137</v>
      </c>
      <c r="B1" s="143"/>
      <c r="C1" s="466" t="s">
        <v>135</v>
      </c>
      <c r="D1" s="467"/>
      <c r="E1" s="467"/>
      <c r="F1" s="468"/>
      <c r="G1" s="463" t="s">
        <v>146</v>
      </c>
    </row>
    <row r="2" spans="1:15" s="68" customFormat="1" ht="43.8" thickBot="1">
      <c r="A2" s="470"/>
      <c r="B2" s="198" t="s">
        <v>133</v>
      </c>
      <c r="C2" s="199" t="s">
        <v>144</v>
      </c>
      <c r="D2" s="202" t="s">
        <v>218</v>
      </c>
      <c r="E2" s="200" t="s">
        <v>145</v>
      </c>
      <c r="F2" s="201" t="s">
        <v>0</v>
      </c>
      <c r="G2" s="464"/>
    </row>
    <row r="3" spans="1:15" s="66" customFormat="1" ht="15" customHeight="1">
      <c r="A3" s="93" t="s">
        <v>168</v>
      </c>
      <c r="B3" s="94">
        <v>71</v>
      </c>
      <c r="C3" s="117">
        <v>1440</v>
      </c>
      <c r="D3" s="116">
        <v>26.339929999999999</v>
      </c>
      <c r="E3" s="424">
        <f>+C3*0.2</f>
        <v>288</v>
      </c>
      <c r="F3" s="117">
        <f>+C3+E3+D3</f>
        <v>1754.3399300000001</v>
      </c>
      <c r="G3" s="104">
        <f>+F3*14*B3-0.02</f>
        <v>1743813.8704200001</v>
      </c>
      <c r="H3" s="425" t="s">
        <v>219</v>
      </c>
      <c r="I3" s="425"/>
      <c r="J3" s="427"/>
      <c r="K3" s="425"/>
      <c r="L3" s="425"/>
      <c r="M3" s="425"/>
      <c r="N3" s="425"/>
      <c r="O3" s="425"/>
    </row>
    <row r="4" spans="1:15" s="66" customFormat="1" ht="15" customHeight="1">
      <c r="A4" s="93" t="s">
        <v>183</v>
      </c>
      <c r="B4" s="94">
        <v>1</v>
      </c>
      <c r="C4" s="117">
        <v>2150</v>
      </c>
      <c r="D4" s="116">
        <v>0</v>
      </c>
      <c r="E4" s="116">
        <f t="shared" ref="E4" si="0">+C4*0.2375</f>
        <v>510.625</v>
      </c>
      <c r="F4" s="117">
        <f t="shared" ref="F4" si="1">+C4+E4+D4</f>
        <v>2660.625</v>
      </c>
      <c r="G4" s="104">
        <f>+F4*14*B4+0.25</f>
        <v>37249</v>
      </c>
      <c r="J4" s="422"/>
      <c r="L4" s="423"/>
      <c r="M4" s="423"/>
    </row>
    <row r="5" spans="1:15" s="66" customFormat="1" ht="15" customHeight="1">
      <c r="A5" s="93"/>
      <c r="B5" s="94"/>
      <c r="C5" s="117"/>
      <c r="D5" s="116"/>
      <c r="E5" s="116"/>
      <c r="F5" s="117"/>
      <c r="G5" s="104"/>
      <c r="J5" s="421"/>
    </row>
    <row r="6" spans="1:15" s="66" customFormat="1" ht="15" customHeight="1">
      <c r="A6" s="93"/>
      <c r="B6" s="94"/>
      <c r="C6" s="117"/>
      <c r="D6" s="116"/>
      <c r="E6" s="116"/>
      <c r="F6" s="117"/>
      <c r="G6" s="104"/>
      <c r="J6" s="421"/>
    </row>
    <row r="7" spans="1:15" s="66" customFormat="1" ht="15" customHeight="1">
      <c r="A7" s="93"/>
      <c r="B7" s="94"/>
      <c r="C7" s="117"/>
      <c r="D7" s="116"/>
      <c r="E7" s="116"/>
      <c r="F7" s="117"/>
      <c r="G7" s="104"/>
      <c r="J7" s="421"/>
    </row>
    <row r="8" spans="1:15" s="66" customFormat="1" ht="15" customHeight="1">
      <c r="A8" s="93"/>
      <c r="B8" s="94"/>
      <c r="C8" s="117"/>
      <c r="D8" s="116"/>
      <c r="E8" s="116"/>
      <c r="F8" s="117"/>
      <c r="G8" s="104"/>
    </row>
    <row r="9" spans="1:15" s="66" customFormat="1" ht="15" customHeight="1">
      <c r="A9" s="93"/>
      <c r="B9" s="94"/>
      <c r="C9" s="117"/>
      <c r="D9" s="116"/>
      <c r="E9" s="116"/>
      <c r="F9" s="117"/>
      <c r="G9" s="104"/>
    </row>
    <row r="10" spans="1:15" s="66" customFormat="1" ht="15" customHeight="1" thickBot="1">
      <c r="A10" s="221"/>
      <c r="B10" s="222"/>
      <c r="C10" s="117"/>
      <c r="D10" s="224"/>
      <c r="E10" s="224"/>
      <c r="F10" s="223"/>
      <c r="G10" s="225"/>
    </row>
    <row r="11" spans="1:15" s="105" customFormat="1" ht="15" customHeight="1" thickBot="1">
      <c r="A11" s="144" t="s">
        <v>84</v>
      </c>
      <c r="B11" s="145">
        <f>SUM(B3:B10)</f>
        <v>72</v>
      </c>
      <c r="C11" s="146">
        <f>SUM(C3:C10)</f>
        <v>3590</v>
      </c>
      <c r="D11" s="146">
        <f>SUM(D3:D10)</f>
        <v>26.339929999999999</v>
      </c>
      <c r="E11" s="146">
        <f>SUM(E3:E10)</f>
        <v>798.625</v>
      </c>
      <c r="F11" s="146">
        <f>SUM(F3:F3)</f>
        <v>1754.3399300000001</v>
      </c>
      <c r="G11" s="147">
        <f>SUM(G3:G10)</f>
        <v>1781062.8704200001</v>
      </c>
    </row>
    <row r="12" spans="1:15" s="67" customFormat="1" ht="15" customHeight="1">
      <c r="B12" s="118"/>
    </row>
    <row r="13" spans="1:15" s="67" customFormat="1" ht="15" customHeight="1" thickBot="1">
      <c r="B13" s="118"/>
    </row>
    <row r="14" spans="1:15" s="67" customFormat="1" ht="15" customHeight="1">
      <c r="B14" s="118"/>
      <c r="C14" s="148">
        <v>2024</v>
      </c>
      <c r="D14" s="148">
        <f>+C14+1</f>
        <v>2025</v>
      </c>
      <c r="E14" s="148">
        <f t="shared" ref="E14:I14" si="2">+D14+1</f>
        <v>2026</v>
      </c>
      <c r="F14" s="148">
        <f t="shared" si="2"/>
        <v>2027</v>
      </c>
      <c r="G14" s="148">
        <f t="shared" si="2"/>
        <v>2028</v>
      </c>
      <c r="H14" s="148">
        <f t="shared" si="2"/>
        <v>2029</v>
      </c>
      <c r="I14" s="148">
        <f t="shared" si="2"/>
        <v>2030</v>
      </c>
    </row>
    <row r="15" spans="1:15" s="67" customFormat="1" ht="15" customHeight="1" thickBot="1">
      <c r="A15" s="465" t="s">
        <v>134</v>
      </c>
      <c r="B15" s="465"/>
      <c r="C15" s="119">
        <f>+G3</f>
        <v>1743813.8704200001</v>
      </c>
      <c r="D15" s="119">
        <f>C15*1.02</f>
        <v>1778690.1478284001</v>
      </c>
      <c r="E15" s="119">
        <f>+$G$11*1.04</f>
        <v>1852305.3852368002</v>
      </c>
      <c r="F15" s="119">
        <f>E15*1.02</f>
        <v>1889351.4929415362</v>
      </c>
      <c r="G15" s="119">
        <f>F15*1.02</f>
        <v>1927138.5228003671</v>
      </c>
      <c r="H15" s="119">
        <f>G15*1.02</f>
        <v>1965681.2932563745</v>
      </c>
      <c r="I15" s="119">
        <f>H15*1.02</f>
        <v>2004994.919121502</v>
      </c>
    </row>
    <row r="16" spans="1:15" s="67" customFormat="1" ht="15" customHeight="1">
      <c r="B16" s="118"/>
      <c r="C16" s="120"/>
      <c r="D16" s="120"/>
    </row>
    <row r="17" spans="1:3" s="67" customFormat="1" ht="15" customHeight="1">
      <c r="B17" s="118"/>
      <c r="C17" s="426">
        <v>1743813.87</v>
      </c>
    </row>
    <row r="19" spans="1:3" ht="20.100000000000001" customHeight="1">
      <c r="A19" s="115" t="s">
        <v>136</v>
      </c>
    </row>
  </sheetData>
  <mergeCells count="4">
    <mergeCell ref="G1:G2"/>
    <mergeCell ref="A15:B15"/>
    <mergeCell ref="C1:F1"/>
    <mergeCell ref="A1:A2"/>
  </mergeCells>
  <hyperlinks>
    <hyperlink ref="A19" location="Índice!A1" display="Índice" xr:uid="{00000000-0004-0000-0500-000000000000}"/>
  </hyperlinks>
  <printOptions horizontalCentered="1" verticalCentered="1"/>
  <pageMargins left="0.75" right="0.19685039370078741" top="0.59055118110236227" bottom="0.39370078740157483" header="0.31496062992125984" footer="0.31496062992125984"/>
  <pageSetup paperSize="9" scale="99" orientation="landscape" r:id="rId1"/>
  <headerFooter alignWithMargins="0">
    <oddHeader>&amp;L&amp;"Arial,Negrito"5 - Gastos Com Pessoal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32"/>
  <sheetViews>
    <sheetView showGridLines="0" topLeftCell="D1" zoomScaleNormal="100" workbookViewId="0">
      <selection activeCell="O8" sqref="O8"/>
    </sheetView>
  </sheetViews>
  <sheetFormatPr defaultColWidth="9.109375" defaultRowHeight="13.2"/>
  <cols>
    <col min="1" max="1" width="3.44140625" style="23" bestFit="1" customWidth="1"/>
    <col min="2" max="2" width="71.33203125" style="23" customWidth="1"/>
    <col min="3" max="3" width="14.6640625" style="23" customWidth="1"/>
    <col min="4" max="5" width="14.33203125" style="23" bestFit="1" customWidth="1"/>
    <col min="6" max="9" width="12.88671875" style="23" bestFit="1" customWidth="1"/>
    <col min="10" max="10" width="12.77734375" style="23" bestFit="1" customWidth="1"/>
    <col min="11" max="11" width="11.88671875" style="23" customWidth="1"/>
    <col min="12" max="12" width="7.109375" style="98" bestFit="1" customWidth="1"/>
    <col min="13" max="13" width="12.77734375" style="23" bestFit="1" customWidth="1"/>
    <col min="14" max="18" width="12.88671875" style="23" bestFit="1" customWidth="1"/>
    <col min="19" max="19" width="12.77734375" style="23" bestFit="1" customWidth="1"/>
    <col min="20" max="20" width="11.88671875" style="23" bestFit="1" customWidth="1"/>
    <col min="21" max="16384" width="9.109375" style="23"/>
  </cols>
  <sheetData>
    <row r="1" spans="1:20" s="121" customFormat="1" ht="15" customHeight="1">
      <c r="A1" s="476" t="s">
        <v>138</v>
      </c>
      <c r="B1" s="477"/>
      <c r="C1" s="477"/>
      <c r="D1" s="477"/>
      <c r="E1" s="477"/>
      <c r="F1" s="477"/>
      <c r="G1" s="477"/>
      <c r="H1" s="477"/>
      <c r="I1" s="477"/>
      <c r="J1" s="279"/>
      <c r="K1" s="279"/>
      <c r="L1" s="495" t="s">
        <v>139</v>
      </c>
      <c r="M1" s="496"/>
      <c r="N1" s="496"/>
      <c r="O1" s="496"/>
      <c r="P1" s="496"/>
      <c r="Q1" s="496"/>
      <c r="R1" s="496"/>
      <c r="S1" s="496"/>
      <c r="T1" s="496"/>
    </row>
    <row r="2" spans="1:20" s="121" customFormat="1" ht="15" customHeight="1">
      <c r="A2" s="478" t="s">
        <v>132</v>
      </c>
      <c r="B2" s="480" t="s">
        <v>131</v>
      </c>
      <c r="C2" s="478">
        <v>0</v>
      </c>
      <c r="D2" s="482">
        <v>2024</v>
      </c>
      <c r="E2" s="471">
        <f>+D2+1</f>
        <v>2025</v>
      </c>
      <c r="F2" s="471">
        <f>+E2+1</f>
        <v>2026</v>
      </c>
      <c r="G2" s="471">
        <f t="shared" ref="G2:J2" si="0">+F2+1</f>
        <v>2027</v>
      </c>
      <c r="H2" s="471">
        <f t="shared" si="0"/>
        <v>2028</v>
      </c>
      <c r="I2" s="473">
        <f t="shared" si="0"/>
        <v>2029</v>
      </c>
      <c r="J2" s="473">
        <f t="shared" si="0"/>
        <v>2030</v>
      </c>
      <c r="K2" s="473">
        <v>2026</v>
      </c>
      <c r="L2" s="491" t="s">
        <v>55</v>
      </c>
      <c r="M2" s="493">
        <v>2024</v>
      </c>
      <c r="N2" s="493">
        <f>+M2+1</f>
        <v>2025</v>
      </c>
      <c r="O2" s="493">
        <f t="shared" ref="O2:S2" si="1">+N2+1</f>
        <v>2026</v>
      </c>
      <c r="P2" s="493">
        <f t="shared" si="1"/>
        <v>2027</v>
      </c>
      <c r="Q2" s="493">
        <f t="shared" si="1"/>
        <v>2028</v>
      </c>
      <c r="R2" s="493">
        <f>+Q2+1</f>
        <v>2029</v>
      </c>
      <c r="S2" s="493">
        <f t="shared" si="1"/>
        <v>2030</v>
      </c>
      <c r="T2" s="493">
        <f>+S2+1</f>
        <v>2031</v>
      </c>
    </row>
    <row r="3" spans="1:20" s="121" customFormat="1" ht="15" customHeight="1">
      <c r="A3" s="479"/>
      <c r="B3" s="481"/>
      <c r="C3" s="487"/>
      <c r="D3" s="483"/>
      <c r="E3" s="472"/>
      <c r="F3" s="472"/>
      <c r="G3" s="472"/>
      <c r="H3" s="472"/>
      <c r="I3" s="474"/>
      <c r="J3" s="474"/>
      <c r="K3" s="474"/>
      <c r="L3" s="492"/>
      <c r="M3" s="494"/>
      <c r="N3" s="494"/>
      <c r="O3" s="494"/>
      <c r="P3" s="494"/>
      <c r="Q3" s="494"/>
      <c r="R3" s="494"/>
      <c r="S3" s="494"/>
      <c r="T3" s="494"/>
    </row>
    <row r="4" spans="1:20" s="121" customFormat="1" ht="15" customHeight="1">
      <c r="A4" s="488" t="s">
        <v>156</v>
      </c>
      <c r="B4" s="489"/>
      <c r="C4" s="489"/>
      <c r="D4" s="489"/>
      <c r="E4" s="489"/>
      <c r="F4" s="489"/>
      <c r="G4" s="489"/>
      <c r="H4" s="489"/>
      <c r="I4" s="489"/>
      <c r="J4" s="489"/>
      <c r="K4" s="490"/>
      <c r="L4" s="281"/>
      <c r="M4" s="282"/>
      <c r="N4" s="282"/>
      <c r="O4" s="282"/>
      <c r="P4" s="282"/>
      <c r="Q4" s="282"/>
      <c r="R4" s="282"/>
      <c r="S4" s="282"/>
      <c r="T4" s="282"/>
    </row>
    <row r="5" spans="1:20" s="121" customFormat="1" ht="15" customHeight="1">
      <c r="A5" s="386"/>
      <c r="B5" s="390" t="s">
        <v>175</v>
      </c>
      <c r="C5" s="391">
        <f>SUM(C6:C12)</f>
        <v>1497425.51</v>
      </c>
      <c r="D5" s="391">
        <f t="shared" ref="D5:J5" si="2">SUM(D6:D12)</f>
        <v>1330054.6968745862</v>
      </c>
      <c r="E5" s="391">
        <f t="shared" si="2"/>
        <v>1162683.8837491723</v>
      </c>
      <c r="F5" s="391">
        <f t="shared" si="2"/>
        <v>995313.07062375848</v>
      </c>
      <c r="G5" s="391">
        <f t="shared" si="2"/>
        <v>827942.25749834464</v>
      </c>
      <c r="H5" s="391">
        <f t="shared" si="2"/>
        <v>660571.4443729308</v>
      </c>
      <c r="I5" s="391">
        <f t="shared" si="2"/>
        <v>493200.63124751695</v>
      </c>
      <c r="J5" s="391">
        <f t="shared" si="2"/>
        <v>325829.81812210311</v>
      </c>
      <c r="K5" s="391"/>
      <c r="L5" s="389"/>
      <c r="M5" s="388"/>
      <c r="N5" s="388"/>
      <c r="O5" s="388"/>
      <c r="P5" s="388"/>
      <c r="Q5" s="388"/>
      <c r="R5" s="388"/>
      <c r="S5" s="388"/>
      <c r="T5" s="388"/>
    </row>
    <row r="6" spans="1:20" s="121" customFormat="1" ht="15" customHeight="1">
      <c r="A6" s="227"/>
      <c r="B6" s="228" t="s">
        <v>174</v>
      </c>
      <c r="C6" s="226">
        <f>1330054.7+167370.81</f>
        <v>1497425.51</v>
      </c>
      <c r="D6" s="226">
        <f>+C6-M6</f>
        <v>1330054.6968745862</v>
      </c>
      <c r="E6" s="226">
        <f t="shared" ref="E6:J6" si="3">+D6-M6</f>
        <v>1162683.8837491723</v>
      </c>
      <c r="F6" s="226">
        <f t="shared" si="3"/>
        <v>995313.07062375848</v>
      </c>
      <c r="G6" s="226">
        <f t="shared" si="3"/>
        <v>827942.25749834464</v>
      </c>
      <c r="H6" s="226">
        <f t="shared" si="3"/>
        <v>660571.4443729308</v>
      </c>
      <c r="I6" s="226">
        <f t="shared" si="3"/>
        <v>493200.63124751695</v>
      </c>
      <c r="J6" s="226">
        <f t="shared" si="3"/>
        <v>325829.81812210311</v>
      </c>
      <c r="K6" s="232"/>
      <c r="L6" s="233">
        <v>0.11177238</v>
      </c>
      <c r="M6" s="122">
        <f>+$C$6*$L$6</f>
        <v>167370.81312541381</v>
      </c>
      <c r="N6" s="122">
        <f t="shared" ref="N6:Q6" si="4">+$C$6*$L$6</f>
        <v>167370.81312541381</v>
      </c>
      <c r="O6" s="122">
        <f t="shared" si="4"/>
        <v>167370.81312541381</v>
      </c>
      <c r="P6" s="122">
        <f t="shared" si="4"/>
        <v>167370.81312541381</v>
      </c>
      <c r="Q6" s="122">
        <f t="shared" si="4"/>
        <v>167370.81312541381</v>
      </c>
      <c r="R6" s="122">
        <f>+$C$6*$L$6</f>
        <v>167370.81312541381</v>
      </c>
      <c r="S6" s="122">
        <f>+$C$6*$L$6</f>
        <v>167370.81312541381</v>
      </c>
      <c r="T6" s="122"/>
    </row>
    <row r="7" spans="1:20" s="121" customFormat="1" ht="15" customHeight="1">
      <c r="A7" s="227"/>
      <c r="B7" s="228" t="s">
        <v>226</v>
      </c>
      <c r="C7" s="226"/>
      <c r="D7" s="226"/>
      <c r="E7" s="226">
        <f>+C7-N7</f>
        <v>0</v>
      </c>
      <c r="F7" s="226">
        <f>+E7-O7</f>
        <v>0</v>
      </c>
      <c r="G7" s="226">
        <f t="shared" ref="G7:I7" si="5">+F7-P7</f>
        <v>0</v>
      </c>
      <c r="H7" s="226">
        <f t="shared" si="5"/>
        <v>0</v>
      </c>
      <c r="I7" s="226">
        <f t="shared" si="5"/>
        <v>0</v>
      </c>
      <c r="J7" s="226"/>
      <c r="K7" s="226"/>
      <c r="L7" s="233">
        <v>0.2</v>
      </c>
      <c r="M7" s="23"/>
      <c r="N7" s="122">
        <f>+$C$7*$L$7</f>
        <v>0</v>
      </c>
      <c r="O7" s="122">
        <f t="shared" ref="O7:R7" si="6">+$C$7*$L$7</f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/>
      <c r="T7" s="122"/>
    </row>
    <row r="8" spans="1:20" s="121" customFormat="1" ht="15" customHeight="1">
      <c r="A8" s="227"/>
      <c r="B8" s="228"/>
      <c r="C8" s="226"/>
      <c r="D8" s="226"/>
      <c r="E8" s="226"/>
      <c r="F8" s="226">
        <f>+C8-O8</f>
        <v>0</v>
      </c>
      <c r="G8" s="226">
        <f>+F8-P8</f>
        <v>0</v>
      </c>
      <c r="H8" s="226">
        <f t="shared" ref="H8:J8" si="7">+G8-Q8</f>
        <v>0</v>
      </c>
      <c r="I8" s="226">
        <f t="shared" si="7"/>
        <v>0</v>
      </c>
      <c r="J8" s="226">
        <f t="shared" si="7"/>
        <v>0</v>
      </c>
      <c r="K8" s="232"/>
      <c r="L8" s="233">
        <v>0.2</v>
      </c>
      <c r="M8" s="428"/>
      <c r="N8" s="122"/>
      <c r="O8" s="122">
        <f>+$C$8*$L$8</f>
        <v>0</v>
      </c>
      <c r="P8" s="122">
        <f t="shared" ref="P8:S8" si="8">+$C$8*$L$8</f>
        <v>0</v>
      </c>
      <c r="Q8" s="122">
        <f t="shared" si="8"/>
        <v>0</v>
      </c>
      <c r="R8" s="122">
        <f t="shared" si="8"/>
        <v>0</v>
      </c>
      <c r="S8" s="122">
        <f t="shared" si="8"/>
        <v>0</v>
      </c>
      <c r="T8" s="122"/>
    </row>
    <row r="9" spans="1:20" s="121" customFormat="1" ht="15" customHeight="1">
      <c r="A9" s="227"/>
      <c r="B9" s="228"/>
      <c r="C9" s="226"/>
      <c r="D9" s="226"/>
      <c r="E9" s="226">
        <f>+C9-N9</f>
        <v>0</v>
      </c>
      <c r="F9" s="226">
        <f>+E9-O9</f>
        <v>0</v>
      </c>
      <c r="G9" s="226">
        <f t="shared" ref="G9:I9" si="9">+F9-P9</f>
        <v>0</v>
      </c>
      <c r="H9" s="226">
        <f t="shared" si="9"/>
        <v>0</v>
      </c>
      <c r="I9" s="226">
        <f t="shared" si="9"/>
        <v>0</v>
      </c>
      <c r="J9" s="232"/>
      <c r="K9" s="232"/>
      <c r="L9" s="233">
        <v>0.2</v>
      </c>
      <c r="M9" s="122"/>
      <c r="N9" s="122">
        <f>+$C$9*$L$9</f>
        <v>0</v>
      </c>
      <c r="O9" s="122">
        <f t="shared" ref="O9:R9" si="10">+$C$9*$L$9</f>
        <v>0</v>
      </c>
      <c r="P9" s="122">
        <f t="shared" si="10"/>
        <v>0</v>
      </c>
      <c r="Q9" s="122">
        <f t="shared" si="10"/>
        <v>0</v>
      </c>
      <c r="R9" s="122">
        <f t="shared" si="10"/>
        <v>0</v>
      </c>
      <c r="S9" s="122"/>
      <c r="T9" s="122"/>
    </row>
    <row r="10" spans="1:20" s="121" customFormat="1" ht="15" customHeight="1">
      <c r="A10" s="227"/>
      <c r="B10" s="228"/>
      <c r="C10" s="226"/>
      <c r="D10" s="226"/>
      <c r="E10" s="226">
        <f>+C10-N10</f>
        <v>0</v>
      </c>
      <c r="F10" s="226">
        <f>+E10-O10</f>
        <v>0</v>
      </c>
      <c r="G10" s="226">
        <f t="shared" ref="G10:I10" si="11">+F10-P10</f>
        <v>0</v>
      </c>
      <c r="H10" s="226">
        <f t="shared" si="11"/>
        <v>0</v>
      </c>
      <c r="I10" s="226">
        <f t="shared" si="11"/>
        <v>0</v>
      </c>
      <c r="J10" s="232"/>
      <c r="K10" s="232"/>
      <c r="L10" s="233">
        <v>0.2</v>
      </c>
      <c r="M10" s="122"/>
      <c r="N10" s="122">
        <f>+$C$10*$L$10</f>
        <v>0</v>
      </c>
      <c r="O10" s="122">
        <f t="shared" ref="O10:R10" si="12">+$C$10*$L$10</f>
        <v>0</v>
      </c>
      <c r="P10" s="122">
        <f t="shared" si="12"/>
        <v>0</v>
      </c>
      <c r="Q10" s="122">
        <f t="shared" si="12"/>
        <v>0</v>
      </c>
      <c r="R10" s="122">
        <f t="shared" si="12"/>
        <v>0</v>
      </c>
      <c r="S10" s="122"/>
      <c r="T10" s="122"/>
    </row>
    <row r="11" spans="1:20" s="121" customFormat="1" ht="15" customHeight="1">
      <c r="A11" s="227"/>
      <c r="B11" s="228"/>
      <c r="C11" s="228"/>
      <c r="D11" s="226"/>
      <c r="E11" s="226"/>
      <c r="F11" s="226"/>
      <c r="G11" s="226"/>
      <c r="H11" s="226"/>
      <c r="I11" s="232"/>
      <c r="J11" s="232"/>
      <c r="K11" s="232"/>
      <c r="L11" s="233"/>
      <c r="M11" s="122"/>
      <c r="N11" s="122"/>
      <c r="O11" s="122"/>
      <c r="P11" s="122"/>
      <c r="Q11" s="122"/>
      <c r="R11" s="122"/>
      <c r="S11" s="122"/>
      <c r="T11" s="122"/>
    </row>
    <row r="12" spans="1:20" s="121" customFormat="1" ht="15" customHeight="1">
      <c r="A12" s="227"/>
      <c r="B12" s="228"/>
      <c r="C12" s="228"/>
      <c r="D12" s="226"/>
      <c r="E12" s="226"/>
      <c r="F12" s="226"/>
      <c r="G12" s="226"/>
      <c r="H12" s="226"/>
      <c r="I12" s="232"/>
      <c r="J12" s="226"/>
      <c r="K12" s="226"/>
      <c r="L12" s="233"/>
      <c r="M12" s="122"/>
      <c r="N12" s="122"/>
      <c r="O12" s="122"/>
      <c r="P12" s="122"/>
      <c r="Q12" s="122"/>
      <c r="R12" s="122"/>
      <c r="S12" s="122"/>
      <c r="T12" s="122"/>
    </row>
    <row r="13" spans="1:20" s="121" customFormat="1" ht="14.25" customHeight="1">
      <c r="A13" s="484" t="s">
        <v>157</v>
      </c>
      <c r="B13" s="485"/>
      <c r="C13" s="485"/>
      <c r="D13" s="485"/>
      <c r="E13" s="485"/>
      <c r="F13" s="485"/>
      <c r="G13" s="485"/>
      <c r="H13" s="485"/>
      <c r="I13" s="486"/>
      <c r="J13" s="283"/>
      <c r="K13" s="283"/>
      <c r="L13" s="284"/>
      <c r="M13" s="285"/>
      <c r="N13" s="285"/>
      <c r="O13" s="285"/>
      <c r="P13" s="285"/>
      <c r="Q13" s="285"/>
      <c r="R13" s="285"/>
      <c r="S13" s="285"/>
      <c r="T13" s="285"/>
    </row>
    <row r="14" spans="1:20" s="121" customFormat="1" ht="14.25" customHeight="1">
      <c r="A14" s="386"/>
      <c r="B14" s="390" t="s">
        <v>149</v>
      </c>
      <c r="C14" s="391">
        <f>SUM(C15:C19)</f>
        <v>75210</v>
      </c>
      <c r="D14" s="391">
        <f t="shared" ref="D14:J14" si="13">SUM(D15:D19)</f>
        <v>0</v>
      </c>
      <c r="E14" s="391">
        <f t="shared" si="13"/>
        <v>0</v>
      </c>
      <c r="F14" s="391">
        <f t="shared" si="13"/>
        <v>37605</v>
      </c>
      <c r="G14" s="391">
        <f t="shared" si="13"/>
        <v>62675.000001253495</v>
      </c>
      <c r="H14" s="391">
        <f t="shared" si="13"/>
        <v>37605.000003760506</v>
      </c>
      <c r="I14" s="391">
        <f t="shared" si="13"/>
        <v>12535.000006267503</v>
      </c>
      <c r="J14" s="391">
        <f t="shared" si="13"/>
        <v>0</v>
      </c>
      <c r="K14" s="391"/>
      <c r="L14" s="387"/>
      <c r="M14" s="388"/>
      <c r="N14" s="388"/>
      <c r="O14" s="388"/>
      <c r="P14" s="388"/>
      <c r="Q14" s="388"/>
      <c r="R14" s="388"/>
      <c r="S14" s="388"/>
      <c r="T14" s="388"/>
    </row>
    <row r="15" spans="1:20" s="121" customFormat="1" ht="15" customHeight="1">
      <c r="A15" s="227"/>
      <c r="B15" s="228" t="s">
        <v>215</v>
      </c>
      <c r="C15" s="226">
        <v>25000</v>
      </c>
      <c r="D15" s="226"/>
      <c r="E15" s="226"/>
      <c r="F15" s="226">
        <v>12500</v>
      </c>
      <c r="G15" s="226">
        <f>+F15-O15+12500</f>
        <v>20833.333333750001</v>
      </c>
      <c r="H15" s="226">
        <f t="shared" ref="H15:I18" si="14">+G15-P15</f>
        <v>12500.00000125</v>
      </c>
      <c r="I15" s="226">
        <f t="shared" si="14"/>
        <v>4166.6666687500001</v>
      </c>
      <c r="J15" s="226">
        <v>0</v>
      </c>
      <c r="K15" s="226"/>
      <c r="L15" s="233">
        <v>0.33333333329999998</v>
      </c>
      <c r="M15" s="122"/>
      <c r="N15" s="122">
        <f>+$E$15*$L$15</f>
        <v>0</v>
      </c>
      <c r="O15" s="122">
        <f>F15*L15</f>
        <v>4166.6666662500002</v>
      </c>
      <c r="P15" s="122">
        <f t="shared" ref="P15:Q15" si="15">+$C$15*$L$15</f>
        <v>8333.3333325000003</v>
      </c>
      <c r="Q15" s="122">
        <f t="shared" si="15"/>
        <v>8333.3333325000003</v>
      </c>
      <c r="R15" s="122">
        <f>+$C$15*$L$15-4166.67</f>
        <v>4166.6633325000003</v>
      </c>
      <c r="S15" s="122">
        <v>0</v>
      </c>
      <c r="T15" s="122">
        <f>+$E$15*$L$15</f>
        <v>0</v>
      </c>
    </row>
    <row r="16" spans="1:20" s="121" customFormat="1" ht="15" customHeight="1">
      <c r="A16" s="227"/>
      <c r="B16" s="228" t="s">
        <v>216</v>
      </c>
      <c r="C16" s="226">
        <v>9710</v>
      </c>
      <c r="D16" s="226"/>
      <c r="E16" s="226"/>
      <c r="F16" s="226">
        <v>4855</v>
      </c>
      <c r="G16" s="226">
        <f>+F16-O16+4855</f>
        <v>8091.6666668284997</v>
      </c>
      <c r="H16" s="226">
        <f t="shared" si="14"/>
        <v>4855.0000004855001</v>
      </c>
      <c r="I16" s="226">
        <f t="shared" si="14"/>
        <v>1618.3333341425005</v>
      </c>
      <c r="J16" s="226"/>
      <c r="K16" s="226"/>
      <c r="L16" s="233">
        <v>0.33333333329999998</v>
      </c>
      <c r="M16" s="122"/>
      <c r="N16" s="122"/>
      <c r="O16" s="122">
        <f>F16*L16</f>
        <v>1618.3333331714998</v>
      </c>
      <c r="P16" s="122">
        <f t="shared" ref="P16:Q16" si="16">+$C$16*$L$16</f>
        <v>3236.6666663429996</v>
      </c>
      <c r="Q16" s="122">
        <f t="shared" si="16"/>
        <v>3236.6666663429996</v>
      </c>
      <c r="R16" s="122">
        <f>+$C$16*$L$16-1618.33</f>
        <v>1618.3366663429997</v>
      </c>
      <c r="S16" s="122">
        <f>+$E$16*$L$16</f>
        <v>0</v>
      </c>
      <c r="T16" s="122"/>
    </row>
    <row r="17" spans="1:20" s="121" customFormat="1" ht="15" customHeight="1">
      <c r="A17" s="227"/>
      <c r="B17" s="228" t="s">
        <v>184</v>
      </c>
      <c r="C17" s="226">
        <v>8000</v>
      </c>
      <c r="D17" s="226"/>
      <c r="E17" s="226"/>
      <c r="F17" s="226">
        <v>4000</v>
      </c>
      <c r="G17" s="226">
        <f>+F17-O17+4000</f>
        <v>6666.6666667999998</v>
      </c>
      <c r="H17" s="226">
        <f t="shared" si="14"/>
        <v>4000.0000003999999</v>
      </c>
      <c r="I17" s="226">
        <f t="shared" si="14"/>
        <v>1333.3333339999999</v>
      </c>
      <c r="J17" s="226">
        <v>0</v>
      </c>
      <c r="K17" s="226"/>
      <c r="L17" s="233">
        <v>0.33333333329999998</v>
      </c>
      <c r="M17" s="122"/>
      <c r="N17" s="122">
        <f>+$E$15*$L$15</f>
        <v>0</v>
      </c>
      <c r="O17" s="122">
        <f>F17*L17</f>
        <v>1333.3333332</v>
      </c>
      <c r="P17" s="122">
        <f>+$C$17*$L$17</f>
        <v>2666.6666663999999</v>
      </c>
      <c r="Q17" s="122">
        <f>+$C$17*$L$17</f>
        <v>2666.6666663999999</v>
      </c>
      <c r="R17" s="122">
        <f>+$C$17*$L$17-1333.33</f>
        <v>1333.3366664</v>
      </c>
      <c r="S17" s="122">
        <v>0</v>
      </c>
      <c r="T17" s="122">
        <f>+$E$15*$L$15</f>
        <v>0</v>
      </c>
    </row>
    <row r="18" spans="1:20" s="121" customFormat="1" ht="15" customHeight="1">
      <c r="A18" s="227"/>
      <c r="B18" s="228" t="s">
        <v>185</v>
      </c>
      <c r="C18" s="226">
        <v>30000</v>
      </c>
      <c r="D18" s="226"/>
      <c r="E18" s="226"/>
      <c r="F18" s="226">
        <v>15000</v>
      </c>
      <c r="G18" s="226">
        <f>+F18-O18+15000</f>
        <v>25000.0000005</v>
      </c>
      <c r="H18" s="226">
        <f t="shared" si="14"/>
        <v>15000.000001500001</v>
      </c>
      <c r="I18" s="226">
        <f t="shared" si="14"/>
        <v>5000.0000025000008</v>
      </c>
      <c r="J18" s="226">
        <v>0</v>
      </c>
      <c r="K18" s="226"/>
      <c r="L18" s="233">
        <v>0.33333333329999998</v>
      </c>
      <c r="M18" s="122"/>
      <c r="N18" s="122">
        <f>+$E$15*$L$15</f>
        <v>0</v>
      </c>
      <c r="O18" s="122">
        <f>F18*L18</f>
        <v>4999.9999994999998</v>
      </c>
      <c r="P18" s="122">
        <f>+$C$18*$L$18</f>
        <v>9999.9999989999997</v>
      </c>
      <c r="Q18" s="122">
        <f>+$C$18*$L$18</f>
        <v>9999.9999989999997</v>
      </c>
      <c r="R18" s="122">
        <f>+$C$18*$L$18-5000</f>
        <v>4999.9999989999997</v>
      </c>
      <c r="S18" s="122">
        <v>0</v>
      </c>
      <c r="T18" s="122">
        <f>+$E$15*$L$15</f>
        <v>0</v>
      </c>
    </row>
    <row r="19" spans="1:20" s="121" customFormat="1" ht="15" customHeight="1">
      <c r="A19" s="227"/>
      <c r="B19" s="228" t="s">
        <v>186</v>
      </c>
      <c r="C19" s="226">
        <v>2500</v>
      </c>
      <c r="D19" s="226"/>
      <c r="E19" s="226"/>
      <c r="F19" s="226">
        <v>1250</v>
      </c>
      <c r="G19" s="226">
        <f>+F19-O19+1250</f>
        <v>2083.3333333750002</v>
      </c>
      <c r="H19" s="226">
        <f t="shared" ref="H19" si="17">+G19-P19</f>
        <v>1250.0000001250003</v>
      </c>
      <c r="I19" s="226">
        <f t="shared" ref="I19" si="18">+H19-Q19</f>
        <v>416.66666687500037</v>
      </c>
      <c r="J19" s="226">
        <v>0</v>
      </c>
      <c r="K19" s="226"/>
      <c r="L19" s="233">
        <v>0.33333333329999998</v>
      </c>
      <c r="M19" s="122"/>
      <c r="N19" s="122">
        <f>+$E$15*$L$15</f>
        <v>0</v>
      </c>
      <c r="O19" s="122">
        <f>F19*L19</f>
        <v>416.66666662499995</v>
      </c>
      <c r="P19" s="122">
        <f>+$C$19*$L$19</f>
        <v>833.3333332499999</v>
      </c>
      <c r="Q19" s="122">
        <f>+$C$19*$L$19</f>
        <v>833.3333332499999</v>
      </c>
      <c r="R19" s="122">
        <f>+$C$19*$L$19-416.66</f>
        <v>416.67333324999987</v>
      </c>
      <c r="S19" s="122">
        <v>0</v>
      </c>
      <c r="T19" s="234"/>
    </row>
    <row r="20" spans="1:20" s="121" customFormat="1" ht="15" customHeight="1">
      <c r="A20" s="229"/>
      <c r="B20" s="230"/>
      <c r="C20" s="230"/>
      <c r="D20" s="231">
        <f>SUM(D15:D19)</f>
        <v>0</v>
      </c>
      <c r="E20" s="231">
        <f t="shared" ref="E20:I20" si="19">SUM(E15:E19)</f>
        <v>0</v>
      </c>
      <c r="F20" s="231">
        <f t="shared" si="19"/>
        <v>37605</v>
      </c>
      <c r="G20" s="231">
        <f t="shared" si="19"/>
        <v>62675.000001253495</v>
      </c>
      <c r="H20" s="231">
        <f t="shared" si="19"/>
        <v>37605.000003760506</v>
      </c>
      <c r="I20" s="231">
        <f t="shared" si="19"/>
        <v>12535.000006267503</v>
      </c>
      <c r="J20" s="280"/>
      <c r="K20" s="280"/>
      <c r="L20" s="235"/>
      <c r="M20" s="236">
        <f>SUM(M6:M16)</f>
        <v>167370.81312541381</v>
      </c>
      <c r="N20" s="236">
        <f t="shared" ref="N20:T20" si="20">SUM(N6:N16)</f>
        <v>167370.81312541381</v>
      </c>
      <c r="O20" s="236">
        <f t="shared" si="20"/>
        <v>173155.81312483532</v>
      </c>
      <c r="P20" s="236">
        <f t="shared" si="20"/>
        <v>178940.81312425682</v>
      </c>
      <c r="Q20" s="236">
        <f t="shared" si="20"/>
        <v>178940.81312425682</v>
      </c>
      <c r="R20" s="236">
        <f t="shared" si="20"/>
        <v>173155.81312425682</v>
      </c>
      <c r="S20" s="236">
        <f t="shared" si="20"/>
        <v>167370.81312541381</v>
      </c>
      <c r="T20" s="236">
        <f t="shared" si="20"/>
        <v>0</v>
      </c>
    </row>
    <row r="21" spans="1:20" s="121" customFormat="1" ht="15" customHeight="1">
      <c r="L21" s="123"/>
    </row>
    <row r="22" spans="1:20" s="121" customFormat="1" ht="15" customHeight="1">
      <c r="L22" s="123"/>
    </row>
    <row r="24" spans="1:20" ht="20.100000000000001" customHeight="1">
      <c r="A24" s="475" t="s">
        <v>136</v>
      </c>
      <c r="B24" s="475"/>
      <c r="C24" s="115"/>
    </row>
    <row r="29" spans="1:20">
      <c r="B29" s="267" t="s">
        <v>215</v>
      </c>
      <c r="C29" s="272">
        <v>12500</v>
      </c>
      <c r="D29" s="272">
        <v>12500</v>
      </c>
      <c r="E29" s="23">
        <v>167370.81</v>
      </c>
    </row>
    <row r="30" spans="1:20">
      <c r="B30" s="267" t="s">
        <v>216</v>
      </c>
      <c r="C30" s="272">
        <v>4855</v>
      </c>
      <c r="D30" s="272">
        <v>4855</v>
      </c>
    </row>
    <row r="31" spans="1:20">
      <c r="B31" s="267" t="s">
        <v>184</v>
      </c>
      <c r="C31" s="272">
        <v>4000</v>
      </c>
      <c r="D31" s="272">
        <v>4000</v>
      </c>
    </row>
    <row r="32" spans="1:20">
      <c r="B32" s="267" t="s">
        <v>217</v>
      </c>
      <c r="C32" s="272">
        <v>15000</v>
      </c>
      <c r="D32" s="272">
        <v>15000</v>
      </c>
    </row>
  </sheetData>
  <mergeCells count="25">
    <mergeCell ref="L2:L3"/>
    <mergeCell ref="S2:S3"/>
    <mergeCell ref="T2:T3"/>
    <mergeCell ref="L1:T1"/>
    <mergeCell ref="K2:K3"/>
    <mergeCell ref="R2:R3"/>
    <mergeCell ref="M2:M3"/>
    <mergeCell ref="O2:O3"/>
    <mergeCell ref="P2:P3"/>
    <mergeCell ref="Q2:Q3"/>
    <mergeCell ref="N2:N3"/>
    <mergeCell ref="G2:G3"/>
    <mergeCell ref="H2:H3"/>
    <mergeCell ref="I2:I3"/>
    <mergeCell ref="A24:B24"/>
    <mergeCell ref="A1:I1"/>
    <mergeCell ref="A2:A3"/>
    <mergeCell ref="B2:B3"/>
    <mergeCell ref="D2:D3"/>
    <mergeCell ref="E2:E3"/>
    <mergeCell ref="F2:F3"/>
    <mergeCell ref="A13:I13"/>
    <mergeCell ref="C2:C3"/>
    <mergeCell ref="A4:K4"/>
    <mergeCell ref="J2:J3"/>
  </mergeCells>
  <hyperlinks>
    <hyperlink ref="A24" location="Índice!A1" display="Índice" xr:uid="{00000000-0004-0000-0600-000000000000}"/>
  </hyperlinks>
  <printOptions horizontalCentered="1" verticalCentered="1"/>
  <pageMargins left="0.7" right="0.7" top="0.75" bottom="0.75" header="0.3" footer="0.3"/>
  <pageSetup paperSize="9" orientation="landscape" horizontalDpi="300" verticalDpi="300" r:id="rId1"/>
  <headerFooter alignWithMargins="0">
    <oddHeader xml:space="preserve">&amp;L6 - Investimento &amp; Amortizações
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indexed="47"/>
    <pageSetUpPr fitToPage="1"/>
  </sheetPr>
  <dimension ref="A1:L109"/>
  <sheetViews>
    <sheetView showGridLines="0" topLeftCell="A4" zoomScale="90" zoomScaleNormal="90" workbookViewId="0">
      <selection activeCell="J19" sqref="J19"/>
    </sheetView>
  </sheetViews>
  <sheetFormatPr defaultColWidth="9.109375" defaultRowHeight="10.199999999999999"/>
  <cols>
    <col min="1" max="1" width="30.6640625" style="1" bestFit="1" customWidth="1"/>
    <col min="2" max="2" width="17.44140625" style="1" bestFit="1" customWidth="1"/>
    <col min="3" max="3" width="15.5546875" style="1" bestFit="1" customWidth="1"/>
    <col min="4" max="9" width="13.88671875" style="1" bestFit="1" customWidth="1"/>
    <col min="10" max="12" width="12.6640625" style="1" bestFit="1" customWidth="1"/>
    <col min="13" max="16384" width="9.109375" style="1"/>
  </cols>
  <sheetData>
    <row r="1" spans="1:12" ht="12.75" customHeight="1">
      <c r="A1" s="497" t="s">
        <v>159</v>
      </c>
      <c r="B1" s="498"/>
      <c r="C1" s="498"/>
      <c r="D1" s="498"/>
      <c r="E1" s="498"/>
      <c r="F1" s="498"/>
      <c r="G1" s="498"/>
      <c r="H1" s="498"/>
      <c r="I1" s="498"/>
      <c r="J1" s="498"/>
      <c r="K1" s="498"/>
      <c r="L1" s="499"/>
    </row>
    <row r="2" spans="1:12" ht="13.5" customHeight="1">
      <c r="A2" s="500"/>
      <c r="B2" s="501"/>
      <c r="C2" s="501"/>
      <c r="D2" s="501"/>
      <c r="E2" s="501"/>
      <c r="F2" s="501"/>
      <c r="G2" s="501"/>
      <c r="H2" s="501"/>
      <c r="I2" s="501"/>
      <c r="J2" s="501"/>
      <c r="K2" s="501"/>
      <c r="L2" s="502"/>
    </row>
    <row r="3" spans="1:12" s="37" customFormat="1" ht="21" customHeight="1">
      <c r="A3" s="288" t="s">
        <v>22</v>
      </c>
      <c r="B3" s="289"/>
      <c r="C3" s="289">
        <v>2025</v>
      </c>
      <c r="D3" s="289">
        <f>+C3+1</f>
        <v>2026</v>
      </c>
      <c r="E3" s="289">
        <f t="shared" ref="E3:L3" si="0">+D3+1</f>
        <v>2027</v>
      </c>
      <c r="F3" s="289">
        <f t="shared" si="0"/>
        <v>2028</v>
      </c>
      <c r="G3" s="289">
        <f t="shared" si="0"/>
        <v>2029</v>
      </c>
      <c r="H3" s="289">
        <f t="shared" si="0"/>
        <v>2030</v>
      </c>
      <c r="I3" s="289">
        <f t="shared" si="0"/>
        <v>2031</v>
      </c>
      <c r="J3" s="289">
        <f t="shared" si="0"/>
        <v>2032</v>
      </c>
      <c r="K3" s="289">
        <f t="shared" si="0"/>
        <v>2033</v>
      </c>
      <c r="L3" s="289">
        <f t="shared" si="0"/>
        <v>2034</v>
      </c>
    </row>
    <row r="4" spans="1:12" s="37" customFormat="1" ht="15" customHeight="1">
      <c r="A4" s="290"/>
      <c r="B4" s="290"/>
      <c r="C4" s="291"/>
      <c r="D4" s="291"/>
      <c r="E4" s="291"/>
      <c r="F4" s="291"/>
      <c r="G4" s="296"/>
      <c r="H4" s="291"/>
      <c r="I4" s="291"/>
      <c r="J4" s="291"/>
      <c r="K4" s="291"/>
      <c r="L4" s="301"/>
    </row>
    <row r="5" spans="1:12" s="37" customFormat="1" ht="15" customHeight="1">
      <c r="A5" s="18" t="s">
        <v>34</v>
      </c>
      <c r="B5" s="149">
        <f>+'MAPA INVESTIMENTOS'!B21+'MAPA INVESTIMENTOS'!C21</f>
        <v>0</v>
      </c>
      <c r="C5" s="22">
        <f>+B5</f>
        <v>0</v>
      </c>
      <c r="D5" s="22">
        <f>+C5</f>
        <v>0</v>
      </c>
      <c r="E5" s="22">
        <f>+B5</f>
        <v>0</v>
      </c>
      <c r="F5" s="22">
        <f t="shared" ref="F5:G5" si="1">+E8</f>
        <v>0</v>
      </c>
      <c r="G5" s="297">
        <f t="shared" si="1"/>
        <v>0</v>
      </c>
      <c r="H5" s="22">
        <f t="shared" ref="H5" si="2">+G8</f>
        <v>0</v>
      </c>
      <c r="I5" s="22">
        <f t="shared" ref="I5" si="3">+H8</f>
        <v>0</v>
      </c>
      <c r="J5" s="22">
        <f t="shared" ref="J5" si="4">+I8</f>
        <v>0</v>
      </c>
      <c r="K5" s="22">
        <f t="shared" ref="K5" si="5">+J8</f>
        <v>0</v>
      </c>
      <c r="L5" s="302">
        <f t="shared" ref="L5" si="6">+K8</f>
        <v>0</v>
      </c>
    </row>
    <row r="6" spans="1:12" s="37" customFormat="1" ht="15" customHeight="1">
      <c r="A6" s="18" t="s">
        <v>35</v>
      </c>
      <c r="B6" s="17"/>
      <c r="C6" s="22">
        <f>+C5*$B$10</f>
        <v>0</v>
      </c>
      <c r="D6" s="22">
        <f t="shared" ref="D6:G6" si="7">+D5*$B$10</f>
        <v>0</v>
      </c>
      <c r="E6" s="22">
        <f t="shared" si="7"/>
        <v>0</v>
      </c>
      <c r="F6" s="22">
        <f t="shared" si="7"/>
        <v>0</v>
      </c>
      <c r="G6" s="297">
        <f t="shared" si="7"/>
        <v>0</v>
      </c>
      <c r="H6" s="22">
        <f t="shared" ref="H6:L6" si="8">+H5*$B$10</f>
        <v>0</v>
      </c>
      <c r="I6" s="22">
        <f t="shared" si="8"/>
        <v>0</v>
      </c>
      <c r="J6" s="22">
        <f t="shared" si="8"/>
        <v>0</v>
      </c>
      <c r="K6" s="22">
        <f t="shared" si="8"/>
        <v>0</v>
      </c>
      <c r="L6" s="302">
        <f t="shared" si="8"/>
        <v>0</v>
      </c>
    </row>
    <row r="7" spans="1:12" s="37" customFormat="1" ht="15" customHeight="1">
      <c r="A7" s="292" t="s">
        <v>36</v>
      </c>
      <c r="B7" s="20"/>
      <c r="C7" s="109">
        <v>0</v>
      </c>
      <c r="D7" s="109">
        <v>0</v>
      </c>
      <c r="E7" s="109">
        <f>+$B$5/8</f>
        <v>0</v>
      </c>
      <c r="F7" s="109">
        <f t="shared" ref="F7:L7" si="9">+$B$5/8</f>
        <v>0</v>
      </c>
      <c r="G7" s="298">
        <f t="shared" si="9"/>
        <v>0</v>
      </c>
      <c r="H7" s="109">
        <f t="shared" si="9"/>
        <v>0</v>
      </c>
      <c r="I7" s="109">
        <f t="shared" si="9"/>
        <v>0</v>
      </c>
      <c r="J7" s="109">
        <f t="shared" si="9"/>
        <v>0</v>
      </c>
      <c r="K7" s="109">
        <f t="shared" si="9"/>
        <v>0</v>
      </c>
      <c r="L7" s="300">
        <f t="shared" si="9"/>
        <v>0</v>
      </c>
    </row>
    <row r="8" spans="1:12" s="37" customFormat="1" ht="15" customHeight="1">
      <c r="A8" s="293" t="s">
        <v>37</v>
      </c>
      <c r="B8" s="294"/>
      <c r="C8" s="295">
        <f t="shared" ref="C8:D8" si="10">+C5-C7</f>
        <v>0</v>
      </c>
      <c r="D8" s="295">
        <f t="shared" si="10"/>
        <v>0</v>
      </c>
      <c r="E8" s="295">
        <f t="shared" ref="E8:G8" si="11">+E5-E7</f>
        <v>0</v>
      </c>
      <c r="F8" s="295">
        <f t="shared" si="11"/>
        <v>0</v>
      </c>
      <c r="G8" s="299">
        <f t="shared" si="11"/>
        <v>0</v>
      </c>
      <c r="H8" s="295">
        <f t="shared" ref="H8:L8" si="12">+H5-H7</f>
        <v>0</v>
      </c>
      <c r="I8" s="295">
        <f t="shared" si="12"/>
        <v>0</v>
      </c>
      <c r="J8" s="295">
        <f t="shared" si="12"/>
        <v>0</v>
      </c>
      <c r="K8" s="295">
        <f t="shared" si="12"/>
        <v>0</v>
      </c>
      <c r="L8" s="303">
        <f t="shared" si="12"/>
        <v>0</v>
      </c>
    </row>
    <row r="9" spans="1:12" s="37" customFormat="1" ht="15" customHeight="1" thickBot="1">
      <c r="A9" s="36"/>
      <c r="B9" s="36"/>
      <c r="C9" s="36"/>
      <c r="D9" s="36"/>
      <c r="E9" s="36"/>
      <c r="F9" s="36"/>
      <c r="G9" s="36"/>
    </row>
    <row r="10" spans="1:12" s="37" customFormat="1" ht="15" customHeight="1" thickBot="1">
      <c r="A10" s="150" t="s">
        <v>38</v>
      </c>
      <c r="B10" s="108">
        <v>0</v>
      </c>
    </row>
    <row r="11" spans="1:12" s="37" customFormat="1" ht="15" customHeight="1" thickBot="1"/>
    <row r="12" spans="1:12" s="37" customFormat="1" ht="15" customHeight="1" thickBot="1">
      <c r="A12" s="286" t="s">
        <v>160</v>
      </c>
      <c r="B12" s="287">
        <v>8</v>
      </c>
    </row>
    <row r="13" spans="1:12" s="37" customFormat="1" ht="15" customHeight="1"/>
    <row r="14" spans="1:12" s="37" customFormat="1" ht="15" customHeight="1">
      <c r="A14" s="497" t="s">
        <v>170</v>
      </c>
      <c r="B14" s="498"/>
      <c r="C14" s="498"/>
      <c r="D14" s="498"/>
      <c r="E14" s="498"/>
      <c r="F14" s="498"/>
      <c r="G14" s="498"/>
      <c r="H14" s="498"/>
      <c r="I14" s="498"/>
      <c r="J14" s="498"/>
      <c r="K14" s="498"/>
      <c r="L14" s="499"/>
    </row>
    <row r="15" spans="1:12" s="37" customFormat="1" ht="15" customHeight="1">
      <c r="A15" s="500"/>
      <c r="B15" s="501"/>
      <c r="C15" s="501"/>
      <c r="D15" s="501"/>
      <c r="E15" s="501"/>
      <c r="F15" s="501"/>
      <c r="G15" s="501"/>
      <c r="H15" s="501"/>
      <c r="I15" s="501"/>
      <c r="J15" s="501"/>
      <c r="K15" s="501"/>
      <c r="L15" s="502"/>
    </row>
    <row r="16" spans="1:12" s="37" customFormat="1" ht="15" customHeight="1">
      <c r="A16" s="288" t="s">
        <v>22</v>
      </c>
      <c r="B16" s="289"/>
      <c r="C16" s="289">
        <v>2024</v>
      </c>
      <c r="D16" s="289">
        <f>+C16+1</f>
        <v>2025</v>
      </c>
      <c r="E16" s="289">
        <f t="shared" ref="E16" si="13">+D16+1</f>
        <v>2026</v>
      </c>
      <c r="F16" s="289">
        <f t="shared" ref="F16" si="14">+E16+1</f>
        <v>2027</v>
      </c>
      <c r="G16" s="289">
        <f t="shared" ref="G16" si="15">+F16+1</f>
        <v>2028</v>
      </c>
      <c r="H16" s="289">
        <f t="shared" ref="H16" si="16">+G16+1</f>
        <v>2029</v>
      </c>
      <c r="I16" s="289">
        <f t="shared" ref="I16" si="17">+H16+1</f>
        <v>2030</v>
      </c>
      <c r="J16" s="289">
        <f t="shared" ref="J16" si="18">+I16+1</f>
        <v>2031</v>
      </c>
      <c r="K16" s="289">
        <f t="shared" ref="K16" si="19">+J16+1</f>
        <v>2032</v>
      </c>
      <c r="L16" s="289">
        <f t="shared" ref="L16" si="20">+K16+1</f>
        <v>2033</v>
      </c>
    </row>
    <row r="17" spans="1:12" s="37" customFormat="1" ht="15" customHeight="1">
      <c r="A17" s="290"/>
      <c r="B17" s="290"/>
      <c r="C17" s="291"/>
      <c r="D17" s="291"/>
      <c r="E17" s="291"/>
      <c r="F17" s="291"/>
      <c r="G17" s="291"/>
      <c r="H17" s="291"/>
      <c r="I17" s="291"/>
      <c r="J17" s="291"/>
      <c r="K17" s="291"/>
      <c r="L17" s="291"/>
    </row>
    <row r="18" spans="1:12" s="37" customFormat="1" ht="15" customHeight="1">
      <c r="A18" s="18" t="s">
        <v>34</v>
      </c>
      <c r="B18" s="149">
        <v>299677.05</v>
      </c>
      <c r="C18" s="22">
        <f>+B18</f>
        <v>299677.05</v>
      </c>
      <c r="D18" s="22">
        <f>+C21</f>
        <v>262217.41875000001</v>
      </c>
      <c r="E18" s="22">
        <f t="shared" ref="E18:K18" si="21">+D21</f>
        <v>224757.78750000001</v>
      </c>
      <c r="F18" s="22">
        <f t="shared" si="21"/>
        <v>187298.15625</v>
      </c>
      <c r="G18" s="22">
        <f t="shared" si="21"/>
        <v>149838.52499999999</v>
      </c>
      <c r="H18" s="22">
        <f t="shared" si="21"/>
        <v>112378.89374999999</v>
      </c>
      <c r="I18" s="22">
        <f t="shared" si="21"/>
        <v>74919.262499999983</v>
      </c>
      <c r="J18" s="22">
        <f t="shared" si="21"/>
        <v>37459.631249999984</v>
      </c>
      <c r="K18" s="22">
        <f t="shared" si="21"/>
        <v>0</v>
      </c>
      <c r="L18" s="22"/>
    </row>
    <row r="19" spans="1:12" s="37" customFormat="1" ht="15" customHeight="1">
      <c r="A19" s="18" t="s">
        <v>35</v>
      </c>
      <c r="B19" s="17"/>
      <c r="C19" s="22">
        <f>+C18*$B$23</f>
        <v>14983.852500000001</v>
      </c>
      <c r="D19" s="22">
        <f t="shared" ref="D19:L19" si="22">+D18*$B$23</f>
        <v>13110.870937500002</v>
      </c>
      <c r="E19" s="22">
        <f t="shared" si="22"/>
        <v>11237.889375000001</v>
      </c>
      <c r="F19" s="22">
        <f t="shared" si="22"/>
        <v>9364.9078124999996</v>
      </c>
      <c r="G19" s="22">
        <f t="shared" si="22"/>
        <v>7491.9262500000004</v>
      </c>
      <c r="H19" s="22">
        <f t="shared" si="22"/>
        <v>5618.9446874999994</v>
      </c>
      <c r="I19" s="22">
        <f t="shared" si="22"/>
        <v>3745.9631249999993</v>
      </c>
      <c r="J19" s="22">
        <f t="shared" si="22"/>
        <v>1872.9815624999992</v>
      </c>
      <c r="K19" s="22">
        <f t="shared" si="22"/>
        <v>0</v>
      </c>
      <c r="L19" s="22">
        <f t="shared" si="22"/>
        <v>0</v>
      </c>
    </row>
    <row r="20" spans="1:12" s="37" customFormat="1" ht="15" customHeight="1">
      <c r="A20" s="292" t="s">
        <v>36</v>
      </c>
      <c r="B20" s="20"/>
      <c r="C20" s="109">
        <f t="shared" ref="C20:I20" si="23">+$B$18/$B$25</f>
        <v>37459.631249999999</v>
      </c>
      <c r="D20" s="109">
        <f t="shared" si="23"/>
        <v>37459.631249999999</v>
      </c>
      <c r="E20" s="109">
        <f t="shared" si="23"/>
        <v>37459.631249999999</v>
      </c>
      <c r="F20" s="109">
        <f t="shared" si="23"/>
        <v>37459.631249999999</v>
      </c>
      <c r="G20" s="109">
        <f t="shared" si="23"/>
        <v>37459.631249999999</v>
      </c>
      <c r="H20" s="109">
        <f t="shared" si="23"/>
        <v>37459.631249999999</v>
      </c>
      <c r="I20" s="109">
        <f t="shared" si="23"/>
        <v>37459.631249999999</v>
      </c>
      <c r="J20" s="109">
        <f t="shared" ref="J20:K20" si="24">+$B$18/8</f>
        <v>37459.631249999999</v>
      </c>
      <c r="K20" s="109">
        <f t="shared" si="24"/>
        <v>37459.631249999999</v>
      </c>
      <c r="L20" s="109">
        <f>+$B$18/$B$25</f>
        <v>37459.631249999999</v>
      </c>
    </row>
    <row r="21" spans="1:12" s="37" customFormat="1" ht="15" customHeight="1">
      <c r="A21" s="293" t="s">
        <v>37</v>
      </c>
      <c r="B21" s="294"/>
      <c r="C21" s="295">
        <f>+C18-C20</f>
        <v>262217.41875000001</v>
      </c>
      <c r="D21" s="295">
        <f t="shared" ref="D21:L21" si="25">+D18-D20</f>
        <v>224757.78750000001</v>
      </c>
      <c r="E21" s="295">
        <f t="shared" si="25"/>
        <v>187298.15625</v>
      </c>
      <c r="F21" s="295">
        <f t="shared" si="25"/>
        <v>149838.52499999999</v>
      </c>
      <c r="G21" s="295">
        <f t="shared" si="25"/>
        <v>112378.89374999999</v>
      </c>
      <c r="H21" s="295">
        <f t="shared" si="25"/>
        <v>74919.262499999983</v>
      </c>
      <c r="I21" s="295">
        <f t="shared" si="25"/>
        <v>37459.631249999984</v>
      </c>
      <c r="J21" s="295">
        <f t="shared" si="25"/>
        <v>0</v>
      </c>
      <c r="K21" s="295">
        <f t="shared" si="25"/>
        <v>-37459.631249999999</v>
      </c>
      <c r="L21" s="295">
        <f t="shared" si="25"/>
        <v>-37459.631249999999</v>
      </c>
    </row>
    <row r="22" spans="1:12" s="37" customFormat="1" ht="15" customHeight="1" thickBot="1">
      <c r="A22" s="36"/>
      <c r="B22" s="36"/>
      <c r="C22" s="36"/>
      <c r="D22" s="36"/>
      <c r="E22" s="36"/>
      <c r="F22" s="36"/>
      <c r="G22" s="36"/>
    </row>
    <row r="23" spans="1:12" s="37" customFormat="1" ht="15" customHeight="1" thickBot="1">
      <c r="A23" s="150" t="s">
        <v>38</v>
      </c>
      <c r="B23" s="108">
        <v>0.05</v>
      </c>
    </row>
    <row r="24" spans="1:12" ht="20.100000000000001" customHeight="1" thickBot="1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</row>
    <row r="25" spans="1:12" ht="15" customHeight="1" thickBot="1">
      <c r="A25" s="286" t="s">
        <v>160</v>
      </c>
      <c r="B25" s="287">
        <v>8</v>
      </c>
      <c r="C25" s="37"/>
      <c r="D25" s="37"/>
      <c r="E25" s="37"/>
      <c r="F25" s="37"/>
      <c r="G25" s="37"/>
      <c r="H25" s="37"/>
      <c r="I25" s="37"/>
      <c r="J25" s="37"/>
      <c r="K25" s="37"/>
      <c r="L25" s="37"/>
    </row>
    <row r="26" spans="1:12" ht="15" customHeight="1"/>
    <row r="27" spans="1:12" ht="15" customHeight="1"/>
    <row r="28" spans="1:12" ht="15" customHeight="1"/>
    <row r="29" spans="1:12" ht="15" customHeight="1"/>
    <row r="30" spans="1:12" ht="15" customHeight="1"/>
    <row r="31" spans="1:12" ht="15" customHeight="1"/>
    <row r="32" spans="1:1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</sheetData>
  <mergeCells count="2">
    <mergeCell ref="A1:L2"/>
    <mergeCell ref="A14:L15"/>
  </mergeCells>
  <pageMargins left="0.74803149606299213" right="0.74803149606299213" top="0.98425196850393704" bottom="0.98425196850393704" header="0.51181102362204722" footer="0.51181102362204722"/>
  <pageSetup paperSize="9" scale="76" fitToHeight="14" orientation="landscape" r:id="rId1"/>
  <headerFooter alignWithMargins="0">
    <oddHeader>&amp;L&amp;"Arial,Negrito"7- Serviço da Dívida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2" tint="-0.749992370372631"/>
    <pageSetUpPr fitToPage="1"/>
  </sheetPr>
  <dimension ref="A2:H245"/>
  <sheetViews>
    <sheetView showGridLines="0" zoomScaleNormal="100" workbookViewId="0">
      <selection activeCell="E5" sqref="E5"/>
    </sheetView>
  </sheetViews>
  <sheetFormatPr defaultColWidth="9.109375" defaultRowHeight="10.199999999999999"/>
  <cols>
    <col min="1" max="1" width="21.88671875" style="1" bestFit="1" customWidth="1"/>
    <col min="2" max="2" width="7.88671875" style="1" bestFit="1" customWidth="1"/>
    <col min="3" max="4" width="8.88671875" style="1" bestFit="1" customWidth="1"/>
    <col min="5" max="5" width="6.88671875" style="1" bestFit="1" customWidth="1"/>
    <col min="6" max="6" width="8.88671875" style="1" bestFit="1" customWidth="1"/>
    <col min="7" max="8" width="9" style="1" bestFit="1" customWidth="1"/>
    <col min="9" max="16384" width="9.109375" style="1"/>
  </cols>
  <sheetData>
    <row r="2" spans="1:8" ht="10.8" thickBot="1"/>
    <row r="3" spans="1:8" ht="20.25" customHeight="1">
      <c r="A3" s="153" t="s">
        <v>22</v>
      </c>
      <c r="B3" s="124">
        <v>2025</v>
      </c>
      <c r="C3" s="124">
        <f>+B3+1</f>
        <v>2026</v>
      </c>
      <c r="D3" s="124">
        <f t="shared" ref="D3:F3" si="0">+C3+1</f>
        <v>2027</v>
      </c>
      <c r="E3" s="124">
        <f t="shared" si="0"/>
        <v>2028</v>
      </c>
      <c r="F3" s="125">
        <f t="shared" si="0"/>
        <v>2029</v>
      </c>
      <c r="G3" s="125">
        <f t="shared" ref="G3" si="1">+F3+1</f>
        <v>2030</v>
      </c>
      <c r="H3" s="125">
        <f t="shared" ref="H3" si="2">+G3+1</f>
        <v>2031</v>
      </c>
    </row>
    <row r="4" spans="1:8" ht="15" customHeight="1">
      <c r="A4" s="154" t="s">
        <v>85</v>
      </c>
      <c r="B4" s="69">
        <f>-'DR SNC'!F30</f>
        <v>4250</v>
      </c>
      <c r="C4" s="69">
        <f>-'DR SNC'!G30</f>
        <v>4250</v>
      </c>
      <c r="D4" s="69">
        <f>-'DR SNC'!H30</f>
        <v>4250</v>
      </c>
      <c r="E4" s="69">
        <f>-'DR SNC'!I30</f>
        <v>4250</v>
      </c>
      <c r="F4" s="155">
        <f>-'DR SNC'!J30</f>
        <v>4250</v>
      </c>
      <c r="G4" s="155">
        <f>-'DR SNC'!K30</f>
        <v>0</v>
      </c>
      <c r="H4" s="155">
        <f>-'DR SNC'!L30</f>
        <v>0</v>
      </c>
    </row>
    <row r="5" spans="1:8" ht="15" customHeight="1">
      <c r="A5" s="154" t="s">
        <v>86</v>
      </c>
      <c r="B5" s="69">
        <f>-'DR SNC'!F31</f>
        <v>52470.302788298941</v>
      </c>
      <c r="C5" s="69">
        <f>-'DR SNC'!G31</f>
        <v>66044.461030200357</v>
      </c>
      <c r="D5" s="69">
        <f>-'DR SNC'!H31</f>
        <v>63333.313022330527</v>
      </c>
      <c r="E5" s="69">
        <f>-'DR SNC'!I31</f>
        <v>119189.87614466736</v>
      </c>
      <c r="F5" s="155">
        <f>-'DR SNC'!J31</f>
        <v>88417.710867952817</v>
      </c>
      <c r="G5" s="155">
        <f>-'DR SNC'!K31</f>
        <v>0</v>
      </c>
      <c r="H5" s="155">
        <f>-'DR SNC'!L31</f>
        <v>0</v>
      </c>
    </row>
    <row r="6" spans="1:8" s="6" customFormat="1" ht="15" customHeight="1" thickBot="1">
      <c r="A6" s="156" t="s">
        <v>33</v>
      </c>
      <c r="B6" s="157">
        <f>SUM(B4:B5)</f>
        <v>56720.302788298941</v>
      </c>
      <c r="C6" s="157">
        <f>SUM(C4:C5)</f>
        <v>70294.461030200357</v>
      </c>
      <c r="D6" s="157">
        <f>SUM(D4:D5)</f>
        <v>67583.31302233052</v>
      </c>
      <c r="E6" s="157">
        <f>SUM(E4:E5)</f>
        <v>123439.87614466736</v>
      </c>
      <c r="F6" s="158">
        <f>SUM(F4:F5)</f>
        <v>92667.710867952817</v>
      </c>
      <c r="G6" s="158">
        <f t="shared" ref="G6:H6" si="3">SUM(G4:G5)</f>
        <v>0</v>
      </c>
      <c r="H6" s="158">
        <f t="shared" si="3"/>
        <v>0</v>
      </c>
    </row>
    <row r="7" spans="1:8" ht="15" customHeight="1">
      <c r="A7" s="14"/>
    </row>
    <row r="8" spans="1:8" ht="15" customHeight="1">
      <c r="A8" s="15"/>
    </row>
    <row r="9" spans="1:8" ht="20.100000000000001" customHeight="1">
      <c r="A9" s="115" t="s">
        <v>136</v>
      </c>
    </row>
    <row r="10" spans="1:8" ht="15" customHeight="1"/>
    <row r="11" spans="1:8" ht="15" customHeight="1"/>
    <row r="12" spans="1:8" ht="15" customHeight="1"/>
    <row r="13" spans="1:8" ht="15" customHeight="1"/>
    <row r="14" spans="1:8" ht="15" customHeight="1"/>
    <row r="15" spans="1:8" ht="15" customHeight="1"/>
    <row r="16" spans="1:8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</sheetData>
  <hyperlinks>
    <hyperlink ref="A9" location="Índice!A1" display="Índice" xr:uid="{00000000-0004-0000-0800-000000000000}"/>
  </hyperlinks>
  <pageMargins left="0.74803149606299213" right="0.74803149606299213" top="0.98425196850393704" bottom="0.98425196850393704" header="0.51181102362204722" footer="0.51181102362204722"/>
  <pageSetup paperSize="9" fitToHeight="14" orientation="landscape" r:id="rId1"/>
  <headerFooter alignWithMargins="0">
    <oddHeader>&amp;L&amp;"Arial,Negrito"8 - Impostos sobre o Rendimento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2" tint="-0.749992370372631"/>
    <pageSetUpPr fitToPage="1"/>
  </sheetPr>
  <dimension ref="A1:H252"/>
  <sheetViews>
    <sheetView showGridLines="0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F3" sqref="F3"/>
    </sheetView>
  </sheetViews>
  <sheetFormatPr defaultColWidth="9.109375" defaultRowHeight="10.199999999999999"/>
  <cols>
    <col min="1" max="1" width="33.88671875" style="1" bestFit="1" customWidth="1"/>
    <col min="2" max="2" width="17.5546875" style="1" customWidth="1"/>
    <col min="3" max="3" width="17.6640625" style="1" customWidth="1"/>
    <col min="4" max="5" width="19.33203125" style="1" bestFit="1" customWidth="1"/>
    <col min="6" max="6" width="18.109375" style="1" bestFit="1" customWidth="1"/>
    <col min="7" max="8" width="17" style="1" bestFit="1" customWidth="1"/>
    <col min="9" max="16384" width="9.109375" style="1"/>
  </cols>
  <sheetData>
    <row r="1" spans="1:8" s="37" customFormat="1" ht="23.25" customHeight="1">
      <c r="A1" s="159" t="s">
        <v>22</v>
      </c>
      <c r="B1" s="112">
        <v>2025</v>
      </c>
      <c r="C1" s="112">
        <f>+B1+1</f>
        <v>2026</v>
      </c>
      <c r="D1" s="112">
        <f t="shared" ref="D1:F1" si="0">+C1+1</f>
        <v>2027</v>
      </c>
      <c r="E1" s="112">
        <f t="shared" si="0"/>
        <v>2028</v>
      </c>
      <c r="F1" s="112">
        <f t="shared" si="0"/>
        <v>2029</v>
      </c>
      <c r="G1" s="112">
        <f t="shared" ref="G1" si="1">+F1+1</f>
        <v>2030</v>
      </c>
      <c r="H1" s="112">
        <f t="shared" ref="H1" si="2">+G1+1</f>
        <v>2031</v>
      </c>
    </row>
    <row r="2" spans="1:8" s="37" customFormat="1" ht="14.1" customHeight="1">
      <c r="A2" s="21" t="s">
        <v>23</v>
      </c>
      <c r="B2" s="21"/>
      <c r="C2" s="17"/>
      <c r="D2" s="17"/>
      <c r="E2" s="17"/>
      <c r="F2" s="17"/>
      <c r="G2" s="17"/>
      <c r="H2" s="17"/>
    </row>
    <row r="3" spans="1:8" s="37" customFormat="1" ht="14.1" customHeight="1">
      <c r="A3" s="18" t="s">
        <v>24</v>
      </c>
      <c r="B3" s="70">
        <f>+'DR SNC'!F7</f>
        <v>17314539.167999998</v>
      </c>
      <c r="C3" s="70">
        <f>+'DR SNC'!G7</f>
        <v>18102350.700143997</v>
      </c>
      <c r="D3" s="70">
        <f>+'DR SNC'!H7</f>
        <v>18554467.946898814</v>
      </c>
      <c r="E3" s="70">
        <f>+'DR SNC'!I7</f>
        <v>19201172.218057714</v>
      </c>
      <c r="F3" s="70">
        <f>+'DR SNC'!J7</f>
        <v>19491486.592263758</v>
      </c>
      <c r="G3" s="70">
        <f>+'DR SNC'!K7</f>
        <v>0</v>
      </c>
      <c r="H3" s="70">
        <f>+'DR SNC'!L7</f>
        <v>0</v>
      </c>
    </row>
    <row r="4" spans="1:8" s="37" customFormat="1" ht="18.899999999999999" customHeight="1">
      <c r="A4" s="160" t="s">
        <v>25</v>
      </c>
      <c r="B4" s="161">
        <f>SUM(B3:B3)</f>
        <v>17314539.167999998</v>
      </c>
      <c r="C4" s="161">
        <f>SUM(C3:C3)</f>
        <v>18102350.700143997</v>
      </c>
      <c r="D4" s="161">
        <f>SUM(D3:D3)</f>
        <v>18554467.946898814</v>
      </c>
      <c r="E4" s="161">
        <f>SUM(E3:E3)</f>
        <v>19201172.218057714</v>
      </c>
      <c r="F4" s="161">
        <f>SUM(F3:F3)</f>
        <v>19491486.592263758</v>
      </c>
      <c r="G4" s="161">
        <f t="shared" ref="G4:H4" si="3">SUM(G3:G3)</f>
        <v>0</v>
      </c>
      <c r="H4" s="161">
        <f t="shared" si="3"/>
        <v>0</v>
      </c>
    </row>
    <row r="5" spans="1:8" s="37" customFormat="1" ht="14.1" customHeight="1">
      <c r="A5" s="19" t="s">
        <v>26</v>
      </c>
      <c r="B5" s="71"/>
      <c r="C5" s="22"/>
      <c r="D5" s="22"/>
      <c r="E5" s="22"/>
      <c r="F5" s="22"/>
      <c r="G5" s="22"/>
      <c r="H5" s="22"/>
    </row>
    <row r="6" spans="1:8" s="37" customFormat="1" ht="14.1" customHeight="1">
      <c r="A6" s="18" t="s">
        <v>27</v>
      </c>
      <c r="B6" s="70">
        <f>+'Capital Circulante'!B18</f>
        <v>13877338.039999999</v>
      </c>
      <c r="C6" s="70">
        <f>+'Capital Circulante'!C18</f>
        <v>14154635.769839998</v>
      </c>
      <c r="D6" s="70">
        <f>+'Capital Circulante'!D18</f>
        <v>14798671.697367717</v>
      </c>
      <c r="E6" s="70">
        <f>+'Capital Circulante'!E18</f>
        <v>15168277.546589781</v>
      </c>
      <c r="F6" s="70">
        <f>+'Capital Circulante'!F18</f>
        <v>15456943.63553646</v>
      </c>
      <c r="G6" s="70">
        <f>+'Capital Circulante'!G18</f>
        <v>15836832.856214304</v>
      </c>
      <c r="H6" s="70">
        <f>+'Capital Circulante'!H18</f>
        <v>15920585.337665435</v>
      </c>
    </row>
    <row r="7" spans="1:8" s="37" customFormat="1" ht="14.1" customHeight="1">
      <c r="A7" s="18" t="s">
        <v>28</v>
      </c>
      <c r="B7" s="70">
        <f>+'63_G. Pess.'!C15</f>
        <v>1743813.8704200001</v>
      </c>
      <c r="C7" s="70">
        <f>+'63_G. Pess.'!D15</f>
        <v>1778690.1478284001</v>
      </c>
      <c r="D7" s="70">
        <f>+'63_G. Pess.'!E15</f>
        <v>1852305.3852368002</v>
      </c>
      <c r="E7" s="70">
        <f>+'63_G. Pess.'!F15</f>
        <v>1889351.4929415362</v>
      </c>
      <c r="F7" s="70">
        <f>+'63_G. Pess.'!G15</f>
        <v>1927138.5228003671</v>
      </c>
      <c r="G7" s="70">
        <f>+'63_G. Pess.'!H15</f>
        <v>1965681.2932563745</v>
      </c>
      <c r="H7" s="70">
        <f>+'63_G. Pess.'!I15</f>
        <v>2004994.919121502</v>
      </c>
    </row>
    <row r="8" spans="1:8" s="37" customFormat="1" ht="14.1" customHeight="1">
      <c r="A8" s="18" t="s">
        <v>29</v>
      </c>
      <c r="B8" s="70">
        <f>+'Fornecimento  Serviços Externos'!C18</f>
        <v>871290.97000000009</v>
      </c>
      <c r="C8" s="70">
        <f>+'Fornecimento  Serviços Externos'!D18</f>
        <v>912000</v>
      </c>
      <c r="D8" s="70">
        <f>+'Fornecimento  Serviços Externos'!E18</f>
        <v>969750</v>
      </c>
      <c r="E8" s="70">
        <f>+'Fornecimento  Serviços Externos'!F18</f>
        <v>1024213.5</v>
      </c>
      <c r="F8" s="70">
        <f>+'Fornecimento  Serviços Externos'!G18</f>
        <v>1024213.5</v>
      </c>
      <c r="G8" s="70">
        <f>+'Fornecimento  Serviços Externos'!H18</f>
        <v>1050287.9850000001</v>
      </c>
      <c r="H8" s="70">
        <f>+'Fornecimento  Serviços Externos'!I18</f>
        <v>1077051.6661500002</v>
      </c>
    </row>
    <row r="9" spans="1:8" s="73" customFormat="1" ht="24.75" customHeight="1">
      <c r="A9" s="243" t="s">
        <v>148</v>
      </c>
      <c r="B9" s="244">
        <f>+'Serviço da Divida Emp. Bancario'!C6+'Serviço da Divida Emp. Bancario'!C7</f>
        <v>0</v>
      </c>
      <c r="C9" s="244">
        <f>+'Serviço da Divida Emp. Bancario'!D6+'Serviço da Divida Emp. Bancario'!D7</f>
        <v>0</v>
      </c>
      <c r="D9" s="244">
        <f>+'Serviço da Divida Emp. Bancario'!E6+'Serviço da Divida Emp. Bancario'!E7</f>
        <v>0</v>
      </c>
      <c r="E9" s="244">
        <f>+'Serviço da Divida Emp. Bancario'!F6+'Serviço da Divida Emp. Bancario'!F7</f>
        <v>0</v>
      </c>
      <c r="F9" s="244">
        <f>+'Serviço da Divida Emp. Bancario'!G6+'Serviço da Divida Emp. Bancario'!G7</f>
        <v>0</v>
      </c>
      <c r="G9" s="244">
        <f>+'Serviço da Divida Emp. Bancario'!H6+'Serviço da Divida Emp. Bancario'!H7</f>
        <v>0</v>
      </c>
      <c r="H9" s="244">
        <f>+'Serviço da Divida Emp. Bancario'!I6+'Serviço da Divida Emp. Bancario'!I7</f>
        <v>0</v>
      </c>
    </row>
    <row r="10" spans="1:8" s="37" customFormat="1" ht="19.5" customHeight="1">
      <c r="A10" s="18" t="s">
        <v>30</v>
      </c>
      <c r="B10" s="69">
        <f>+'Mov dos Impostos S Rendi'!B6</f>
        <v>56720.302788298941</v>
      </c>
      <c r="C10" s="69">
        <f>+'Mov dos Impostos S Rendi'!C6</f>
        <v>70294.461030200357</v>
      </c>
      <c r="D10" s="69">
        <f>+'Mov dos Impostos S Rendi'!D6</f>
        <v>67583.31302233052</v>
      </c>
      <c r="E10" s="69">
        <f>+'Mov dos Impostos S Rendi'!E6</f>
        <v>123439.87614466736</v>
      </c>
      <c r="F10" s="69">
        <f>+'Mov dos Impostos S Rendi'!F6</f>
        <v>92667.710867952817</v>
      </c>
      <c r="G10" s="69">
        <f>+'Mov dos Impostos S Rendi'!G6</f>
        <v>0</v>
      </c>
      <c r="H10" s="69">
        <f>+'Mov dos Impostos S Rendi'!H6</f>
        <v>0</v>
      </c>
    </row>
    <row r="11" spans="1:8" s="37" customFormat="1" ht="18.899999999999999" customHeight="1">
      <c r="A11" s="160" t="s">
        <v>31</v>
      </c>
      <c r="B11" s="162">
        <f>SUM(B6:B10)</f>
        <v>16549163.183208298</v>
      </c>
      <c r="C11" s="162">
        <f>SUM(C6:C10)</f>
        <v>16915620.378698599</v>
      </c>
      <c r="D11" s="162">
        <f>SUM(D6:D10)</f>
        <v>17688310.395626847</v>
      </c>
      <c r="E11" s="162">
        <f>SUM(E6:E10)</f>
        <v>18205282.415675983</v>
      </c>
      <c r="F11" s="162">
        <f>SUM(F6:F10)</f>
        <v>18500963.369204778</v>
      </c>
      <c r="G11" s="162">
        <f t="shared" ref="G11:H11" si="4">SUM(G6:G10)</f>
        <v>18852802.134470679</v>
      </c>
      <c r="H11" s="162">
        <f t="shared" si="4"/>
        <v>19002631.922936935</v>
      </c>
    </row>
    <row r="12" spans="1:8" s="37" customFormat="1" ht="18.899999999999999" customHeight="1">
      <c r="A12" s="163" t="s">
        <v>32</v>
      </c>
      <c r="B12" s="195">
        <f>+B4-B11</f>
        <v>765375.9847916998</v>
      </c>
      <c r="C12" s="195">
        <f>+C4-C11</f>
        <v>1186730.321445398</v>
      </c>
      <c r="D12" s="195">
        <f>+D4-D11</f>
        <v>866157.55127196759</v>
      </c>
      <c r="E12" s="195">
        <f>+E4-E11</f>
        <v>995889.80238173157</v>
      </c>
      <c r="F12" s="195">
        <f>+F4-F11</f>
        <v>990523.22305897996</v>
      </c>
      <c r="G12" s="195">
        <f t="shared" ref="G12:H12" si="5">+G4-G11</f>
        <v>-18852802.134470679</v>
      </c>
      <c r="H12" s="195">
        <f t="shared" si="5"/>
        <v>-19002631.922936935</v>
      </c>
    </row>
    <row r="13" spans="1:8" ht="15" customHeight="1">
      <c r="A13" s="14"/>
      <c r="B13" s="5"/>
      <c r="C13" s="5"/>
      <c r="D13" s="5"/>
      <c r="E13" s="5"/>
      <c r="F13" s="5"/>
    </row>
    <row r="14" spans="1:8" ht="15" customHeight="1"/>
    <row r="15" spans="1:8" ht="20.100000000000001" customHeight="1">
      <c r="A15" s="115" t="s">
        <v>136</v>
      </c>
    </row>
    <row r="16" spans="1:8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</sheetData>
  <hyperlinks>
    <hyperlink ref="A15" location="Índice!A1" display="Índice" xr:uid="{00000000-0004-0000-0900-000000000000}"/>
  </hyperlinks>
  <pageMargins left="0.74803149606299213" right="0.74803149606299213" top="0.98425196850393704" bottom="0.98425196850393704" header="0.51181102362204722" footer="0.51181102362204722"/>
  <pageSetup paperSize="9" fitToHeight="14" orientation="landscape" r:id="rId1"/>
  <headerFooter alignWithMargins="0">
    <oddHeader>&amp;L&amp;"Arial,Negrito"9 - Orçamento da Tesouraria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indexed="47"/>
    <pageSetUpPr fitToPage="1"/>
  </sheetPr>
  <dimension ref="A1:H238"/>
  <sheetViews>
    <sheetView showGridLines="0" zoomScaleNormal="100" workbookViewId="0">
      <selection activeCell="C18" sqref="C18"/>
    </sheetView>
  </sheetViews>
  <sheetFormatPr defaultColWidth="9.109375" defaultRowHeight="10.199999999999999"/>
  <cols>
    <col min="1" max="1" width="40.33203125" style="1" bestFit="1" customWidth="1"/>
    <col min="2" max="3" width="14.44140625" style="1" bestFit="1" customWidth="1"/>
    <col min="4" max="4" width="12.88671875" style="1" bestFit="1" customWidth="1"/>
    <col min="5" max="8" width="11.6640625" style="1" bestFit="1" customWidth="1"/>
    <col min="9" max="16384" width="9.109375" style="1"/>
  </cols>
  <sheetData>
    <row r="1" spans="1:8" s="37" customFormat="1" ht="20.100000000000001" customHeight="1">
      <c r="A1" s="164"/>
      <c r="B1" s="112">
        <v>2025</v>
      </c>
      <c r="C1" s="112">
        <f t="shared" ref="C1:F1" si="0">+B1+1</f>
        <v>2026</v>
      </c>
      <c r="D1" s="112">
        <f t="shared" si="0"/>
        <v>2027</v>
      </c>
      <c r="E1" s="112">
        <f t="shared" si="0"/>
        <v>2028</v>
      </c>
      <c r="F1" s="112">
        <f t="shared" si="0"/>
        <v>2029</v>
      </c>
      <c r="G1" s="112">
        <f t="shared" ref="G1" si="1">+F1+1</f>
        <v>2030</v>
      </c>
      <c r="H1" s="112">
        <f t="shared" ref="H1" si="2">+G1+1</f>
        <v>2031</v>
      </c>
    </row>
    <row r="2" spans="1:8" s="37" customFormat="1" ht="15" customHeight="1">
      <c r="A2" s="151" t="s">
        <v>59</v>
      </c>
      <c r="B2" s="166"/>
      <c r="C2" s="166"/>
      <c r="D2" s="166"/>
      <c r="E2" s="166"/>
      <c r="F2" s="166"/>
      <c r="G2" s="166"/>
      <c r="H2" s="166"/>
    </row>
    <row r="3" spans="1:8" s="37" customFormat="1" ht="15" customHeight="1">
      <c r="A3" s="74" t="s">
        <v>6</v>
      </c>
      <c r="B3" s="79"/>
      <c r="C3" s="79">
        <f>Amortizações!F20</f>
        <v>37605</v>
      </c>
      <c r="D3" s="79">
        <f>Amortizações!G20</f>
        <v>62675.000001253495</v>
      </c>
      <c r="E3" s="79">
        <f>Amortizações!H20</f>
        <v>37605.000003760506</v>
      </c>
      <c r="F3" s="79">
        <f>Amortizações!I20</f>
        <v>12535.000006267503</v>
      </c>
      <c r="G3" s="79">
        <f>Amortizações!J20</f>
        <v>0</v>
      </c>
      <c r="H3" s="79">
        <f>Amortizações!K20</f>
        <v>0</v>
      </c>
    </row>
    <row r="4" spans="1:8" s="37" customFormat="1" ht="15" customHeight="1">
      <c r="A4" s="74" t="s">
        <v>41</v>
      </c>
      <c r="B4" s="75">
        <f>IF('Capital Circulante'!B8&gt;0,'Capital Circulante'!B8,0)</f>
        <v>0</v>
      </c>
      <c r="C4" s="75">
        <f>IF('Capital Circulante'!C8&gt;0,'Capital Circulante'!C8,0)</f>
        <v>0</v>
      </c>
      <c r="D4" s="75">
        <f>IF('Capital Circulante'!D8&gt;0,'Capital Circulante'!D8,0)</f>
        <v>0</v>
      </c>
      <c r="E4" s="75">
        <f>IF('Capital Circulante'!E8&gt;0,'Capital Circulante'!E8,0)</f>
        <v>0</v>
      </c>
      <c r="F4" s="75">
        <f>IF('Capital Circulante'!F8&gt;0,'Capital Circulante'!F8,0)</f>
        <v>20375.963267742656</v>
      </c>
      <c r="G4" s="75">
        <f>IF('Capital Circulante'!G8&gt;0,'Capital Circulante'!G8,0)</f>
        <v>0</v>
      </c>
      <c r="H4" s="75">
        <f>IF('Capital Circulante'!H8&gt;0,'Capital Circulante'!H8,0)</f>
        <v>0</v>
      </c>
    </row>
    <row r="5" spans="1:8" s="37" customFormat="1" ht="15" customHeight="1">
      <c r="A5" s="74" t="s">
        <v>60</v>
      </c>
      <c r="B5" s="79">
        <f>+'Serviço da Divida Emp. Bancario'!C7+'Serviço da Divida Emp. Bancario'!C20</f>
        <v>37459.631249999999</v>
      </c>
      <c r="C5" s="79">
        <f>+'Serviço da Divida Emp. Bancario'!D7+'Serviço da Divida Emp. Bancario'!D20</f>
        <v>37459.631249999999</v>
      </c>
      <c r="D5" s="79">
        <f>+'Serviço da Divida Emp. Bancario'!E7+'Serviço da Divida Emp. Bancario'!E20</f>
        <v>37459.631249999999</v>
      </c>
      <c r="E5" s="79">
        <f>+'Serviço da Divida Emp. Bancario'!F7+'Serviço da Divida Emp. Bancario'!F20</f>
        <v>37459.631249999999</v>
      </c>
      <c r="F5" s="79">
        <f>+'Serviço da Divida Emp. Bancario'!G7+'Serviço da Divida Emp. Bancario'!G20</f>
        <v>37459.631249999999</v>
      </c>
      <c r="G5" s="79">
        <f>+'Serviço da Divida Emp. Bancario'!H7+'Serviço da Divida Emp. Bancario'!H20</f>
        <v>37459.631249999999</v>
      </c>
      <c r="H5" s="79">
        <f>+'Serviço da Divida Emp. Bancario'!I7+'Serviço da Divida Emp. Bancario'!I20</f>
        <v>37459.631249999999</v>
      </c>
    </row>
    <row r="6" spans="1:8" s="73" customFormat="1" ht="15" customHeight="1">
      <c r="A6" s="77" t="s">
        <v>61</v>
      </c>
      <c r="B6" s="75">
        <f>+'Mov dos Impostos S Rendi'!B6</f>
        <v>56720.302788298941</v>
      </c>
      <c r="C6" s="75">
        <f>+'Mov dos Impostos S Rendi'!C6</f>
        <v>70294.461030200357</v>
      </c>
      <c r="D6" s="75">
        <f>+'Mov dos Impostos S Rendi'!D6</f>
        <v>67583.31302233052</v>
      </c>
      <c r="E6" s="75">
        <f>+'Mov dos Impostos S Rendi'!E6</f>
        <v>123439.87614466736</v>
      </c>
      <c r="F6" s="75">
        <f>+'Mov dos Impostos S Rendi'!F6</f>
        <v>92667.710867952817</v>
      </c>
      <c r="G6" s="75">
        <f>+'Mov dos Impostos S Rendi'!G6</f>
        <v>0</v>
      </c>
      <c r="H6" s="75">
        <f>+'Mov dos Impostos S Rendi'!H6</f>
        <v>0</v>
      </c>
    </row>
    <row r="7" spans="1:8" s="37" customFormat="1" ht="15" customHeight="1">
      <c r="A7" s="76" t="s">
        <v>83</v>
      </c>
      <c r="B7" s="79">
        <f>+'Serviço da Divida Emp. Bancario'!C19</f>
        <v>14983.852500000001</v>
      </c>
      <c r="C7" s="79">
        <f>+'Serviço da Divida Emp. Bancario'!D19</f>
        <v>13110.870937500002</v>
      </c>
      <c r="D7" s="79">
        <f>+'Serviço da Divida Emp. Bancario'!E19</f>
        <v>11237.889375000001</v>
      </c>
      <c r="E7" s="79">
        <f>+'Serviço da Divida Emp. Bancario'!F19</f>
        <v>9364.9078124999996</v>
      </c>
      <c r="F7" s="79">
        <f>+'Serviço da Divida Emp. Bancario'!G19</f>
        <v>7491.9262500000004</v>
      </c>
      <c r="G7" s="79">
        <f>+'Serviço da Divida Emp. Bancario'!H19</f>
        <v>5618.9446874999994</v>
      </c>
      <c r="H7" s="79">
        <f>+'Serviço da Divida Emp. Bancario'!I19</f>
        <v>3745.9631249999993</v>
      </c>
    </row>
    <row r="8" spans="1:8" s="37" customFormat="1" ht="15" customHeight="1">
      <c r="A8" s="165" t="s">
        <v>0</v>
      </c>
      <c r="B8" s="80">
        <f>SUM(B3:B7)</f>
        <v>109163.78653829894</v>
      </c>
      <c r="C8" s="80">
        <f>SUM(C3:C7)</f>
        <v>158469.96321770037</v>
      </c>
      <c r="D8" s="80">
        <f>SUM(D3:D7)</f>
        <v>178955.833648584</v>
      </c>
      <c r="E8" s="80">
        <f>SUM(E3:E7)</f>
        <v>207869.41521092787</v>
      </c>
      <c r="F8" s="80">
        <f>SUM(F3:F7)</f>
        <v>170530.23164196298</v>
      </c>
      <c r="G8" s="80">
        <f t="shared" ref="G8:H8" si="3">SUM(G3:G7)</f>
        <v>43078.575937499998</v>
      </c>
      <c r="H8" s="80">
        <f t="shared" si="3"/>
        <v>41205.594375000001</v>
      </c>
    </row>
    <row r="9" spans="1:8" s="37" customFormat="1" ht="15" customHeight="1">
      <c r="A9" s="151" t="s">
        <v>62</v>
      </c>
      <c r="B9" s="166"/>
      <c r="C9" s="166"/>
      <c r="D9" s="166"/>
      <c r="E9" s="166"/>
      <c r="F9" s="166"/>
      <c r="G9" s="166"/>
      <c r="H9" s="166"/>
    </row>
    <row r="10" spans="1:8" s="37" customFormat="1" ht="15" customHeight="1">
      <c r="A10" s="74" t="s">
        <v>63</v>
      </c>
      <c r="B10" s="75">
        <v>0</v>
      </c>
      <c r="C10" s="75"/>
      <c r="D10" s="75"/>
      <c r="E10" s="75"/>
      <c r="F10" s="75"/>
      <c r="G10" s="75"/>
      <c r="H10" s="75"/>
    </row>
    <row r="11" spans="1:8" s="37" customFormat="1" ht="15" customHeight="1">
      <c r="A11" s="74" t="s">
        <v>147</v>
      </c>
      <c r="B11" s="79">
        <v>0</v>
      </c>
      <c r="C11" s="79">
        <f>+'MAPA INVESTIMENTOS'!B19</f>
        <v>18713.5</v>
      </c>
      <c r="D11" s="79">
        <f>+'MAPA INVESTIMENTOS'!C19</f>
        <v>18713.5</v>
      </c>
      <c r="E11" s="75"/>
      <c r="F11" s="75"/>
      <c r="G11" s="75"/>
      <c r="H11" s="75"/>
    </row>
    <row r="12" spans="1:8" s="37" customFormat="1" ht="15" customHeight="1">
      <c r="A12" s="74" t="s">
        <v>5</v>
      </c>
      <c r="B12" s="75">
        <f>+'DR SNC'!F19</f>
        <v>469213.25033159927</v>
      </c>
      <c r="C12" s="75">
        <f>+'DR SNC'!G19</f>
        <v>537764.11753947986</v>
      </c>
      <c r="D12" s="75">
        <f>+'DR SNC'!H19</f>
        <v>528765.90736749745</v>
      </c>
      <c r="E12" s="75">
        <f>+'DR SNC'!I19</f>
        <v>792876.5597208871</v>
      </c>
      <c r="F12" s="75">
        <f>+'DR SNC'!J19</f>
        <v>638684.45779307978</v>
      </c>
      <c r="G12" s="75">
        <f>+'DR SNC'!K19</f>
        <v>0</v>
      </c>
      <c r="H12" s="75">
        <f>+'DR SNC'!L19</f>
        <v>0</v>
      </c>
    </row>
    <row r="13" spans="1:8" s="37" customFormat="1" ht="15" customHeight="1">
      <c r="A13" s="74" t="s">
        <v>66</v>
      </c>
      <c r="B13" s="75">
        <f>IF('Capital Circulante'!B8&lt;0,-'Capital Circulante'!B8,0)</f>
        <v>392701.58922222187</v>
      </c>
      <c r="C13" s="75">
        <f>IF('Capital Circulante'!C8&lt;0,-'Capital Circulante'!C8,0)</f>
        <v>7817.3688931115903</v>
      </c>
      <c r="D13" s="75">
        <f>IF('Capital Circulante'!D8&lt;0,-'Capital Circulante'!D8,0)</f>
        <v>18223.61259424733</v>
      </c>
      <c r="E13" s="75">
        <f>IF('Capital Circulante'!E8&lt;0,-'Capital Circulante'!E8,0)</f>
        <v>10458.35103430762</v>
      </c>
      <c r="F13" s="75">
        <f>IF('Capital Circulante'!F8&lt;0,-'Capital Circulante'!F8,0)</f>
        <v>0</v>
      </c>
      <c r="G13" s="75">
        <f>IF('Capital Circulante'!G8&lt;0,-'Capital Circulante'!G8,0)</f>
        <v>27703.126663094852</v>
      </c>
      <c r="H13" s="75">
        <f>IF('Capital Circulante'!H8&lt;0,-'Capital Circulante'!H8,0)</f>
        <v>2308.5619887169451</v>
      </c>
    </row>
    <row r="14" spans="1:8" s="37" customFormat="1" ht="15" customHeight="1">
      <c r="A14" s="74" t="s">
        <v>158</v>
      </c>
      <c r="B14" s="79"/>
      <c r="C14" s="79">
        <f>+'Serviço da Divida Emp. Bancario'!C5</f>
        <v>0</v>
      </c>
      <c r="D14" s="75">
        <f>[1]MapaServiçoDívida!G5</f>
        <v>0</v>
      </c>
      <c r="E14" s="75">
        <f>[1]MapaServiçoDívida!H5</f>
        <v>0</v>
      </c>
      <c r="F14" s="75">
        <f>[1]MapaServiçoDívida!I5</f>
        <v>0</v>
      </c>
      <c r="G14" s="75">
        <v>0</v>
      </c>
      <c r="H14" s="75">
        <v>0</v>
      </c>
    </row>
    <row r="15" spans="1:8" s="37" customFormat="1" ht="15" customHeight="1">
      <c r="A15" s="165" t="s">
        <v>0</v>
      </c>
      <c r="B15" s="80">
        <f>SUM(B10:B14)</f>
        <v>861914.83955382113</v>
      </c>
      <c r="C15" s="80">
        <f>SUM(C10:C14)</f>
        <v>564294.98643259145</v>
      </c>
      <c r="D15" s="80">
        <f>SUM(D10:D14)</f>
        <v>565703.01996174478</v>
      </c>
      <c r="E15" s="80">
        <f>SUM(E10:E14)</f>
        <v>803334.91075519472</v>
      </c>
      <c r="F15" s="80">
        <f>SUM(F10:F14)</f>
        <v>638684.45779307978</v>
      </c>
      <c r="G15" s="80">
        <f t="shared" ref="G15:H15" si="4">SUM(G10:G14)</f>
        <v>27703.126663094852</v>
      </c>
      <c r="H15" s="80">
        <f t="shared" si="4"/>
        <v>2308.5619887169451</v>
      </c>
    </row>
    <row r="16" spans="1:8" s="37" customFormat="1" ht="15" customHeight="1">
      <c r="A16" s="165" t="s">
        <v>7</v>
      </c>
      <c r="B16" s="78">
        <f>B15-B8</f>
        <v>752751.05301552219</v>
      </c>
      <c r="C16" s="78">
        <f>C15-C8</f>
        <v>405825.02321489109</v>
      </c>
      <c r="D16" s="78">
        <f>D15-D8</f>
        <v>386747.18631316081</v>
      </c>
      <c r="E16" s="78">
        <f>E15-E8</f>
        <v>595465.49554426689</v>
      </c>
      <c r="F16" s="78">
        <f>F15-F8</f>
        <v>468154.22615111677</v>
      </c>
      <c r="G16" s="78">
        <f t="shared" ref="G16:H16" si="5">G15-G8</f>
        <v>-15375.449274405146</v>
      </c>
      <c r="H16" s="78">
        <f t="shared" si="5"/>
        <v>-38897.032386283056</v>
      </c>
    </row>
    <row r="17" spans="1:8" s="37" customFormat="1" ht="15" customHeight="1">
      <c r="A17" s="165" t="s">
        <v>64</v>
      </c>
      <c r="B17" s="80">
        <f>+'Balanço SNC'!D20</f>
        <v>163427.96</v>
      </c>
      <c r="C17" s="80">
        <f>B18</f>
        <v>916179.01301552216</v>
      </c>
      <c r="D17" s="80">
        <f>C18</f>
        <v>1322004.0362304132</v>
      </c>
      <c r="E17" s="80">
        <f>D18</f>
        <v>1708751.2225435739</v>
      </c>
      <c r="F17" s="80">
        <f>E18</f>
        <v>2304216.7180878408</v>
      </c>
      <c r="G17" s="80">
        <f t="shared" ref="G17:H17" si="6">F18</f>
        <v>2772370.9442389575</v>
      </c>
      <c r="H17" s="80">
        <f t="shared" si="6"/>
        <v>2756995.4949645521</v>
      </c>
    </row>
    <row r="18" spans="1:8" s="37" customFormat="1" ht="15" customHeight="1">
      <c r="A18" s="163" t="s">
        <v>65</v>
      </c>
      <c r="B18" s="167">
        <f>B17+B16</f>
        <v>916179.01301552216</v>
      </c>
      <c r="C18" s="167">
        <f>C17+C16</f>
        <v>1322004.0362304132</v>
      </c>
      <c r="D18" s="167">
        <f>D17+D16</f>
        <v>1708751.2225435739</v>
      </c>
      <c r="E18" s="167">
        <f>E17+E16</f>
        <v>2304216.7180878408</v>
      </c>
      <c r="F18" s="167">
        <f>F17+F16</f>
        <v>2772370.9442389575</v>
      </c>
      <c r="G18" s="167">
        <f t="shared" ref="G18:H18" si="7">G17+G16</f>
        <v>2756995.4949645521</v>
      </c>
      <c r="H18" s="167">
        <f t="shared" si="7"/>
        <v>2718098.4625782692</v>
      </c>
    </row>
    <row r="19" spans="1:8" s="37" customFormat="1" ht="15" customHeight="1">
      <c r="A19" s="36"/>
      <c r="B19" s="36"/>
      <c r="C19" s="36"/>
      <c r="D19" s="36"/>
      <c r="E19" s="36"/>
      <c r="F19" s="36"/>
    </row>
    <row r="20" spans="1:8" ht="20.100000000000001" customHeight="1">
      <c r="A20" s="115" t="s">
        <v>136</v>
      </c>
    </row>
    <row r="21" spans="1:8" ht="15" customHeight="1"/>
    <row r="22" spans="1:8" ht="15" customHeight="1"/>
    <row r="23" spans="1:8" ht="15" customHeight="1"/>
    <row r="24" spans="1:8" ht="15" customHeight="1"/>
    <row r="25" spans="1:8" ht="15" customHeight="1"/>
    <row r="26" spans="1:8" ht="15" customHeight="1"/>
    <row r="27" spans="1:8" ht="15" customHeight="1"/>
    <row r="28" spans="1:8" ht="15" customHeight="1"/>
    <row r="29" spans="1:8" ht="15" customHeight="1"/>
    <row r="30" spans="1:8" ht="15" customHeight="1"/>
    <row r="31" spans="1:8" ht="15" customHeight="1"/>
    <row r="32" spans="1:8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</sheetData>
  <hyperlinks>
    <hyperlink ref="A20" location="Índice!A1" display="Índice" xr:uid="{00000000-0004-0000-0A00-000000000000}"/>
  </hyperlinks>
  <pageMargins left="0.74803149606299213" right="0.74803149606299213" top="0.98425196850393704" bottom="0.98425196850393704" header="0.51181102362204722" footer="0.51181102362204722"/>
  <pageSetup paperSize="9" scale="83" fitToHeight="14" orientation="landscape" r:id="rId1"/>
  <headerFooter alignWithMargins="0">
    <oddHeader>&amp;L&amp;"Arial,Negrito"10 - Plano Financeiro</oddHeader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63"/>
  <sheetViews>
    <sheetView showGridLines="0" tabSelected="1" topLeftCell="A39" zoomScaleNormal="100" zoomScaleSheetLayoutView="100" workbookViewId="0">
      <selection activeCell="E50" sqref="E50"/>
    </sheetView>
  </sheetViews>
  <sheetFormatPr defaultRowHeight="12.75" customHeight="1"/>
  <cols>
    <col min="1" max="1" width="62.33203125" style="89" bestFit="1" customWidth="1"/>
    <col min="2" max="3" width="15" style="89" bestFit="1" customWidth="1"/>
    <col min="4" max="4" width="13.6640625" style="89" customWidth="1"/>
    <col min="5" max="5" width="13.5546875" style="89" bestFit="1" customWidth="1"/>
    <col min="6" max="8" width="13.5546875" style="89" customWidth="1"/>
    <col min="9" max="10" width="13.5546875" style="89" bestFit="1" customWidth="1"/>
    <col min="11" max="12" width="12.88671875" style="89" bestFit="1" customWidth="1"/>
    <col min="13" max="13" width="12.6640625" style="89" bestFit="1" customWidth="1"/>
    <col min="14" max="242" width="9.109375" style="89"/>
    <col min="243" max="243" width="8.6640625" style="89" customWidth="1"/>
    <col min="244" max="244" width="62.88671875" style="89" customWidth="1"/>
    <col min="245" max="245" width="7.6640625" style="89" customWidth="1"/>
    <col min="246" max="247" width="12.6640625" style="89" customWidth="1"/>
    <col min="248" max="498" width="9.109375" style="89"/>
    <col min="499" max="499" width="8.6640625" style="89" customWidth="1"/>
    <col min="500" max="500" width="62.88671875" style="89" customWidth="1"/>
    <col min="501" max="501" width="7.6640625" style="89" customWidth="1"/>
    <col min="502" max="503" width="12.6640625" style="89" customWidth="1"/>
    <col min="504" max="754" width="9.109375" style="89"/>
    <col min="755" max="755" width="8.6640625" style="89" customWidth="1"/>
    <col min="756" max="756" width="62.88671875" style="89" customWidth="1"/>
    <col min="757" max="757" width="7.6640625" style="89" customWidth="1"/>
    <col min="758" max="759" width="12.6640625" style="89" customWidth="1"/>
    <col min="760" max="1010" width="9.109375" style="89"/>
    <col min="1011" max="1011" width="8.6640625" style="89" customWidth="1"/>
    <col min="1012" max="1012" width="62.88671875" style="89" customWidth="1"/>
    <col min="1013" max="1013" width="7.6640625" style="89" customWidth="1"/>
    <col min="1014" max="1015" width="12.6640625" style="89" customWidth="1"/>
    <col min="1016" max="1266" width="9.109375" style="89"/>
    <col min="1267" max="1267" width="8.6640625" style="89" customWidth="1"/>
    <col min="1268" max="1268" width="62.88671875" style="89" customWidth="1"/>
    <col min="1269" max="1269" width="7.6640625" style="89" customWidth="1"/>
    <col min="1270" max="1271" width="12.6640625" style="89" customWidth="1"/>
    <col min="1272" max="1522" width="9.109375" style="89"/>
    <col min="1523" max="1523" width="8.6640625" style="89" customWidth="1"/>
    <col min="1524" max="1524" width="62.88671875" style="89" customWidth="1"/>
    <col min="1525" max="1525" width="7.6640625" style="89" customWidth="1"/>
    <col min="1526" max="1527" width="12.6640625" style="89" customWidth="1"/>
    <col min="1528" max="1778" width="9.109375" style="89"/>
    <col min="1779" max="1779" width="8.6640625" style="89" customWidth="1"/>
    <col min="1780" max="1780" width="62.88671875" style="89" customWidth="1"/>
    <col min="1781" max="1781" width="7.6640625" style="89" customWidth="1"/>
    <col min="1782" max="1783" width="12.6640625" style="89" customWidth="1"/>
    <col min="1784" max="2034" width="9.109375" style="89"/>
    <col min="2035" max="2035" width="8.6640625" style="89" customWidth="1"/>
    <col min="2036" max="2036" width="62.88671875" style="89" customWidth="1"/>
    <col min="2037" max="2037" width="7.6640625" style="89" customWidth="1"/>
    <col min="2038" max="2039" width="12.6640625" style="89" customWidth="1"/>
    <col min="2040" max="2290" width="9.109375" style="89"/>
    <col min="2291" max="2291" width="8.6640625" style="89" customWidth="1"/>
    <col min="2292" max="2292" width="62.88671875" style="89" customWidth="1"/>
    <col min="2293" max="2293" width="7.6640625" style="89" customWidth="1"/>
    <col min="2294" max="2295" width="12.6640625" style="89" customWidth="1"/>
    <col min="2296" max="2546" width="9.109375" style="89"/>
    <col min="2547" max="2547" width="8.6640625" style="89" customWidth="1"/>
    <col min="2548" max="2548" width="62.88671875" style="89" customWidth="1"/>
    <col min="2549" max="2549" width="7.6640625" style="89" customWidth="1"/>
    <col min="2550" max="2551" width="12.6640625" style="89" customWidth="1"/>
    <col min="2552" max="2802" width="9.109375" style="89"/>
    <col min="2803" max="2803" width="8.6640625" style="89" customWidth="1"/>
    <col min="2804" max="2804" width="62.88671875" style="89" customWidth="1"/>
    <col min="2805" max="2805" width="7.6640625" style="89" customWidth="1"/>
    <col min="2806" max="2807" width="12.6640625" style="89" customWidth="1"/>
    <col min="2808" max="3058" width="9.109375" style="89"/>
    <col min="3059" max="3059" width="8.6640625" style="89" customWidth="1"/>
    <col min="3060" max="3060" width="62.88671875" style="89" customWidth="1"/>
    <col min="3061" max="3061" width="7.6640625" style="89" customWidth="1"/>
    <col min="3062" max="3063" width="12.6640625" style="89" customWidth="1"/>
    <col min="3064" max="3314" width="9.109375" style="89"/>
    <col min="3315" max="3315" width="8.6640625" style="89" customWidth="1"/>
    <col min="3316" max="3316" width="62.88671875" style="89" customWidth="1"/>
    <col min="3317" max="3317" width="7.6640625" style="89" customWidth="1"/>
    <col min="3318" max="3319" width="12.6640625" style="89" customWidth="1"/>
    <col min="3320" max="3570" width="9.109375" style="89"/>
    <col min="3571" max="3571" width="8.6640625" style="89" customWidth="1"/>
    <col min="3572" max="3572" width="62.88671875" style="89" customWidth="1"/>
    <col min="3573" max="3573" width="7.6640625" style="89" customWidth="1"/>
    <col min="3574" max="3575" width="12.6640625" style="89" customWidth="1"/>
    <col min="3576" max="3826" width="9.109375" style="89"/>
    <col min="3827" max="3827" width="8.6640625" style="89" customWidth="1"/>
    <col min="3828" max="3828" width="62.88671875" style="89" customWidth="1"/>
    <col min="3829" max="3829" width="7.6640625" style="89" customWidth="1"/>
    <col min="3830" max="3831" width="12.6640625" style="89" customWidth="1"/>
    <col min="3832" max="4082" width="9.109375" style="89"/>
    <col min="4083" max="4083" width="8.6640625" style="89" customWidth="1"/>
    <col min="4084" max="4084" width="62.88671875" style="89" customWidth="1"/>
    <col min="4085" max="4085" width="7.6640625" style="89" customWidth="1"/>
    <col min="4086" max="4087" width="12.6640625" style="89" customWidth="1"/>
    <col min="4088" max="4338" width="9.109375" style="89"/>
    <col min="4339" max="4339" width="8.6640625" style="89" customWidth="1"/>
    <col min="4340" max="4340" width="62.88671875" style="89" customWidth="1"/>
    <col min="4341" max="4341" width="7.6640625" style="89" customWidth="1"/>
    <col min="4342" max="4343" width="12.6640625" style="89" customWidth="1"/>
    <col min="4344" max="4594" width="9.109375" style="89"/>
    <col min="4595" max="4595" width="8.6640625" style="89" customWidth="1"/>
    <col min="4596" max="4596" width="62.88671875" style="89" customWidth="1"/>
    <col min="4597" max="4597" width="7.6640625" style="89" customWidth="1"/>
    <col min="4598" max="4599" width="12.6640625" style="89" customWidth="1"/>
    <col min="4600" max="4850" width="9.109375" style="89"/>
    <col min="4851" max="4851" width="8.6640625" style="89" customWidth="1"/>
    <col min="4852" max="4852" width="62.88671875" style="89" customWidth="1"/>
    <col min="4853" max="4853" width="7.6640625" style="89" customWidth="1"/>
    <col min="4854" max="4855" width="12.6640625" style="89" customWidth="1"/>
    <col min="4856" max="5106" width="9.109375" style="89"/>
    <col min="5107" max="5107" width="8.6640625" style="89" customWidth="1"/>
    <col min="5108" max="5108" width="62.88671875" style="89" customWidth="1"/>
    <col min="5109" max="5109" width="7.6640625" style="89" customWidth="1"/>
    <col min="5110" max="5111" width="12.6640625" style="89" customWidth="1"/>
    <col min="5112" max="5362" width="9.109375" style="89"/>
    <col min="5363" max="5363" width="8.6640625" style="89" customWidth="1"/>
    <col min="5364" max="5364" width="62.88671875" style="89" customWidth="1"/>
    <col min="5365" max="5365" width="7.6640625" style="89" customWidth="1"/>
    <col min="5366" max="5367" width="12.6640625" style="89" customWidth="1"/>
    <col min="5368" max="5618" width="9.109375" style="89"/>
    <col min="5619" max="5619" width="8.6640625" style="89" customWidth="1"/>
    <col min="5620" max="5620" width="62.88671875" style="89" customWidth="1"/>
    <col min="5621" max="5621" width="7.6640625" style="89" customWidth="1"/>
    <col min="5622" max="5623" width="12.6640625" style="89" customWidth="1"/>
    <col min="5624" max="5874" width="9.109375" style="89"/>
    <col min="5875" max="5875" width="8.6640625" style="89" customWidth="1"/>
    <col min="5876" max="5876" width="62.88671875" style="89" customWidth="1"/>
    <col min="5877" max="5877" width="7.6640625" style="89" customWidth="1"/>
    <col min="5878" max="5879" width="12.6640625" style="89" customWidth="1"/>
    <col min="5880" max="6130" width="9.109375" style="89"/>
    <col min="6131" max="6131" width="8.6640625" style="89" customWidth="1"/>
    <col min="6132" max="6132" width="62.88671875" style="89" customWidth="1"/>
    <col min="6133" max="6133" width="7.6640625" style="89" customWidth="1"/>
    <col min="6134" max="6135" width="12.6640625" style="89" customWidth="1"/>
    <col min="6136" max="6386" width="9.109375" style="89"/>
    <col min="6387" max="6387" width="8.6640625" style="89" customWidth="1"/>
    <col min="6388" max="6388" width="62.88671875" style="89" customWidth="1"/>
    <col min="6389" max="6389" width="7.6640625" style="89" customWidth="1"/>
    <col min="6390" max="6391" width="12.6640625" style="89" customWidth="1"/>
    <col min="6392" max="6642" width="9.109375" style="89"/>
    <col min="6643" max="6643" width="8.6640625" style="89" customWidth="1"/>
    <col min="6644" max="6644" width="62.88671875" style="89" customWidth="1"/>
    <col min="6645" max="6645" width="7.6640625" style="89" customWidth="1"/>
    <col min="6646" max="6647" width="12.6640625" style="89" customWidth="1"/>
    <col min="6648" max="6898" width="9.109375" style="89"/>
    <col min="6899" max="6899" width="8.6640625" style="89" customWidth="1"/>
    <col min="6900" max="6900" width="62.88671875" style="89" customWidth="1"/>
    <col min="6901" max="6901" width="7.6640625" style="89" customWidth="1"/>
    <col min="6902" max="6903" width="12.6640625" style="89" customWidth="1"/>
    <col min="6904" max="7154" width="9.109375" style="89"/>
    <col min="7155" max="7155" width="8.6640625" style="89" customWidth="1"/>
    <col min="7156" max="7156" width="62.88671875" style="89" customWidth="1"/>
    <col min="7157" max="7157" width="7.6640625" style="89" customWidth="1"/>
    <col min="7158" max="7159" width="12.6640625" style="89" customWidth="1"/>
    <col min="7160" max="7410" width="9.109375" style="89"/>
    <col min="7411" max="7411" width="8.6640625" style="89" customWidth="1"/>
    <col min="7412" max="7412" width="62.88671875" style="89" customWidth="1"/>
    <col min="7413" max="7413" width="7.6640625" style="89" customWidth="1"/>
    <col min="7414" max="7415" width="12.6640625" style="89" customWidth="1"/>
    <col min="7416" max="7666" width="9.109375" style="89"/>
    <col min="7667" max="7667" width="8.6640625" style="89" customWidth="1"/>
    <col min="7668" max="7668" width="62.88671875" style="89" customWidth="1"/>
    <col min="7669" max="7669" width="7.6640625" style="89" customWidth="1"/>
    <col min="7670" max="7671" width="12.6640625" style="89" customWidth="1"/>
    <col min="7672" max="7922" width="9.109375" style="89"/>
    <col min="7923" max="7923" width="8.6640625" style="89" customWidth="1"/>
    <col min="7924" max="7924" width="62.88671875" style="89" customWidth="1"/>
    <col min="7925" max="7925" width="7.6640625" style="89" customWidth="1"/>
    <col min="7926" max="7927" width="12.6640625" style="89" customWidth="1"/>
    <col min="7928" max="8178" width="9.109375" style="89"/>
    <col min="8179" max="8179" width="8.6640625" style="89" customWidth="1"/>
    <col min="8180" max="8180" width="62.88671875" style="89" customWidth="1"/>
    <col min="8181" max="8181" width="7.6640625" style="89" customWidth="1"/>
    <col min="8182" max="8183" width="12.6640625" style="89" customWidth="1"/>
    <col min="8184" max="8434" width="9.109375" style="89"/>
    <col min="8435" max="8435" width="8.6640625" style="89" customWidth="1"/>
    <col min="8436" max="8436" width="62.88671875" style="89" customWidth="1"/>
    <col min="8437" max="8437" width="7.6640625" style="89" customWidth="1"/>
    <col min="8438" max="8439" width="12.6640625" style="89" customWidth="1"/>
    <col min="8440" max="8690" width="9.109375" style="89"/>
    <col min="8691" max="8691" width="8.6640625" style="89" customWidth="1"/>
    <col min="8692" max="8692" width="62.88671875" style="89" customWidth="1"/>
    <col min="8693" max="8693" width="7.6640625" style="89" customWidth="1"/>
    <col min="8694" max="8695" width="12.6640625" style="89" customWidth="1"/>
    <col min="8696" max="8946" width="9.109375" style="89"/>
    <col min="8947" max="8947" width="8.6640625" style="89" customWidth="1"/>
    <col min="8948" max="8948" width="62.88671875" style="89" customWidth="1"/>
    <col min="8949" max="8949" width="7.6640625" style="89" customWidth="1"/>
    <col min="8950" max="8951" width="12.6640625" style="89" customWidth="1"/>
    <col min="8952" max="9202" width="9.109375" style="89"/>
    <col min="9203" max="9203" width="8.6640625" style="89" customWidth="1"/>
    <col min="9204" max="9204" width="62.88671875" style="89" customWidth="1"/>
    <col min="9205" max="9205" width="7.6640625" style="89" customWidth="1"/>
    <col min="9206" max="9207" width="12.6640625" style="89" customWidth="1"/>
    <col min="9208" max="9458" width="9.109375" style="89"/>
    <col min="9459" max="9459" width="8.6640625" style="89" customWidth="1"/>
    <col min="9460" max="9460" width="62.88671875" style="89" customWidth="1"/>
    <col min="9461" max="9461" width="7.6640625" style="89" customWidth="1"/>
    <col min="9462" max="9463" width="12.6640625" style="89" customWidth="1"/>
    <col min="9464" max="9714" width="9.109375" style="89"/>
    <col min="9715" max="9715" width="8.6640625" style="89" customWidth="1"/>
    <col min="9716" max="9716" width="62.88671875" style="89" customWidth="1"/>
    <col min="9717" max="9717" width="7.6640625" style="89" customWidth="1"/>
    <col min="9718" max="9719" width="12.6640625" style="89" customWidth="1"/>
    <col min="9720" max="9970" width="9.109375" style="89"/>
    <col min="9971" max="9971" width="8.6640625" style="89" customWidth="1"/>
    <col min="9972" max="9972" width="62.88671875" style="89" customWidth="1"/>
    <col min="9973" max="9973" width="7.6640625" style="89" customWidth="1"/>
    <col min="9974" max="9975" width="12.6640625" style="89" customWidth="1"/>
    <col min="9976" max="10226" width="9.109375" style="89"/>
    <col min="10227" max="10227" width="8.6640625" style="89" customWidth="1"/>
    <col min="10228" max="10228" width="62.88671875" style="89" customWidth="1"/>
    <col min="10229" max="10229" width="7.6640625" style="89" customWidth="1"/>
    <col min="10230" max="10231" width="12.6640625" style="89" customWidth="1"/>
    <col min="10232" max="10482" width="9.109375" style="89"/>
    <col min="10483" max="10483" width="8.6640625" style="89" customWidth="1"/>
    <col min="10484" max="10484" width="62.88671875" style="89" customWidth="1"/>
    <col min="10485" max="10485" width="7.6640625" style="89" customWidth="1"/>
    <col min="10486" max="10487" width="12.6640625" style="89" customWidth="1"/>
    <col min="10488" max="10738" width="9.109375" style="89"/>
    <col min="10739" max="10739" width="8.6640625" style="89" customWidth="1"/>
    <col min="10740" max="10740" width="62.88671875" style="89" customWidth="1"/>
    <col min="10741" max="10741" width="7.6640625" style="89" customWidth="1"/>
    <col min="10742" max="10743" width="12.6640625" style="89" customWidth="1"/>
    <col min="10744" max="10994" width="9.109375" style="89"/>
    <col min="10995" max="10995" width="8.6640625" style="89" customWidth="1"/>
    <col min="10996" max="10996" width="62.88671875" style="89" customWidth="1"/>
    <col min="10997" max="10997" width="7.6640625" style="89" customWidth="1"/>
    <col min="10998" max="10999" width="12.6640625" style="89" customWidth="1"/>
    <col min="11000" max="11250" width="9.109375" style="89"/>
    <col min="11251" max="11251" width="8.6640625" style="89" customWidth="1"/>
    <col min="11252" max="11252" width="62.88671875" style="89" customWidth="1"/>
    <col min="11253" max="11253" width="7.6640625" style="89" customWidth="1"/>
    <col min="11254" max="11255" width="12.6640625" style="89" customWidth="1"/>
    <col min="11256" max="11506" width="9.109375" style="89"/>
    <col min="11507" max="11507" width="8.6640625" style="89" customWidth="1"/>
    <col min="11508" max="11508" width="62.88671875" style="89" customWidth="1"/>
    <col min="11509" max="11509" width="7.6640625" style="89" customWidth="1"/>
    <col min="11510" max="11511" width="12.6640625" style="89" customWidth="1"/>
    <col min="11512" max="11762" width="9.109375" style="89"/>
    <col min="11763" max="11763" width="8.6640625" style="89" customWidth="1"/>
    <col min="11764" max="11764" width="62.88671875" style="89" customWidth="1"/>
    <col min="11765" max="11765" width="7.6640625" style="89" customWidth="1"/>
    <col min="11766" max="11767" width="12.6640625" style="89" customWidth="1"/>
    <col min="11768" max="12018" width="9.109375" style="89"/>
    <col min="12019" max="12019" width="8.6640625" style="89" customWidth="1"/>
    <col min="12020" max="12020" width="62.88671875" style="89" customWidth="1"/>
    <col min="12021" max="12021" width="7.6640625" style="89" customWidth="1"/>
    <col min="12022" max="12023" width="12.6640625" style="89" customWidth="1"/>
    <col min="12024" max="12274" width="9.109375" style="89"/>
    <col min="12275" max="12275" width="8.6640625" style="89" customWidth="1"/>
    <col min="12276" max="12276" width="62.88671875" style="89" customWidth="1"/>
    <col min="12277" max="12277" width="7.6640625" style="89" customWidth="1"/>
    <col min="12278" max="12279" width="12.6640625" style="89" customWidth="1"/>
    <col min="12280" max="12530" width="9.109375" style="89"/>
    <col min="12531" max="12531" width="8.6640625" style="89" customWidth="1"/>
    <col min="12532" max="12532" width="62.88671875" style="89" customWidth="1"/>
    <col min="12533" max="12533" width="7.6640625" style="89" customWidth="1"/>
    <col min="12534" max="12535" width="12.6640625" style="89" customWidth="1"/>
    <col min="12536" max="12786" width="9.109375" style="89"/>
    <col min="12787" max="12787" width="8.6640625" style="89" customWidth="1"/>
    <col min="12788" max="12788" width="62.88671875" style="89" customWidth="1"/>
    <col min="12789" max="12789" width="7.6640625" style="89" customWidth="1"/>
    <col min="12790" max="12791" width="12.6640625" style="89" customWidth="1"/>
    <col min="12792" max="13042" width="9.109375" style="89"/>
    <col min="13043" max="13043" width="8.6640625" style="89" customWidth="1"/>
    <col min="13044" max="13044" width="62.88671875" style="89" customWidth="1"/>
    <col min="13045" max="13045" width="7.6640625" style="89" customWidth="1"/>
    <col min="13046" max="13047" width="12.6640625" style="89" customWidth="1"/>
    <col min="13048" max="13298" width="9.109375" style="89"/>
    <col min="13299" max="13299" width="8.6640625" style="89" customWidth="1"/>
    <col min="13300" max="13300" width="62.88671875" style="89" customWidth="1"/>
    <col min="13301" max="13301" width="7.6640625" style="89" customWidth="1"/>
    <col min="13302" max="13303" width="12.6640625" style="89" customWidth="1"/>
    <col min="13304" max="13554" width="9.109375" style="89"/>
    <col min="13555" max="13555" width="8.6640625" style="89" customWidth="1"/>
    <col min="13556" max="13556" width="62.88671875" style="89" customWidth="1"/>
    <col min="13557" max="13557" width="7.6640625" style="89" customWidth="1"/>
    <col min="13558" max="13559" width="12.6640625" style="89" customWidth="1"/>
    <col min="13560" max="13810" width="9.109375" style="89"/>
    <col min="13811" max="13811" width="8.6640625" style="89" customWidth="1"/>
    <col min="13812" max="13812" width="62.88671875" style="89" customWidth="1"/>
    <col min="13813" max="13813" width="7.6640625" style="89" customWidth="1"/>
    <col min="13814" max="13815" width="12.6640625" style="89" customWidth="1"/>
    <col min="13816" max="14066" width="9.109375" style="89"/>
    <col min="14067" max="14067" width="8.6640625" style="89" customWidth="1"/>
    <col min="14068" max="14068" width="62.88671875" style="89" customWidth="1"/>
    <col min="14069" max="14069" width="7.6640625" style="89" customWidth="1"/>
    <col min="14070" max="14071" width="12.6640625" style="89" customWidth="1"/>
    <col min="14072" max="14322" width="9.109375" style="89"/>
    <col min="14323" max="14323" width="8.6640625" style="89" customWidth="1"/>
    <col min="14324" max="14324" width="62.88671875" style="89" customWidth="1"/>
    <col min="14325" max="14325" width="7.6640625" style="89" customWidth="1"/>
    <col min="14326" max="14327" width="12.6640625" style="89" customWidth="1"/>
    <col min="14328" max="14578" width="9.109375" style="89"/>
    <col min="14579" max="14579" width="8.6640625" style="89" customWidth="1"/>
    <col min="14580" max="14580" width="62.88671875" style="89" customWidth="1"/>
    <col min="14581" max="14581" width="7.6640625" style="89" customWidth="1"/>
    <col min="14582" max="14583" width="12.6640625" style="89" customWidth="1"/>
    <col min="14584" max="14834" width="9.109375" style="89"/>
    <col min="14835" max="14835" width="8.6640625" style="89" customWidth="1"/>
    <col min="14836" max="14836" width="62.88671875" style="89" customWidth="1"/>
    <col min="14837" max="14837" width="7.6640625" style="89" customWidth="1"/>
    <col min="14838" max="14839" width="12.6640625" style="89" customWidth="1"/>
    <col min="14840" max="15090" width="9.109375" style="89"/>
    <col min="15091" max="15091" width="8.6640625" style="89" customWidth="1"/>
    <col min="15092" max="15092" width="62.88671875" style="89" customWidth="1"/>
    <col min="15093" max="15093" width="7.6640625" style="89" customWidth="1"/>
    <col min="15094" max="15095" width="12.6640625" style="89" customWidth="1"/>
    <col min="15096" max="15346" width="9.109375" style="89"/>
    <col min="15347" max="15347" width="8.6640625" style="89" customWidth="1"/>
    <col min="15348" max="15348" width="62.88671875" style="89" customWidth="1"/>
    <col min="15349" max="15349" width="7.6640625" style="89" customWidth="1"/>
    <col min="15350" max="15351" width="12.6640625" style="89" customWidth="1"/>
    <col min="15352" max="15602" width="9.109375" style="89"/>
    <col min="15603" max="15603" width="8.6640625" style="89" customWidth="1"/>
    <col min="15604" max="15604" width="62.88671875" style="89" customWidth="1"/>
    <col min="15605" max="15605" width="7.6640625" style="89" customWidth="1"/>
    <col min="15606" max="15607" width="12.6640625" style="89" customWidth="1"/>
    <col min="15608" max="15858" width="9.109375" style="89"/>
    <col min="15859" max="15859" width="8.6640625" style="89" customWidth="1"/>
    <col min="15860" max="15860" width="62.88671875" style="89" customWidth="1"/>
    <col min="15861" max="15861" width="7.6640625" style="89" customWidth="1"/>
    <col min="15862" max="15863" width="12.6640625" style="89" customWidth="1"/>
    <col min="15864" max="16114" width="9.109375" style="89"/>
    <col min="16115" max="16115" width="8.6640625" style="89" customWidth="1"/>
    <col min="16116" max="16116" width="62.88671875" style="89" customWidth="1"/>
    <col min="16117" max="16117" width="7.6640625" style="89" customWidth="1"/>
    <col min="16118" max="16119" width="12.6640625" style="89" customWidth="1"/>
    <col min="16120" max="16384" width="9.109375" style="89"/>
  </cols>
  <sheetData>
    <row r="1" spans="1:12" ht="12.75" customHeight="1">
      <c r="E1" s="102"/>
      <c r="F1" s="102"/>
      <c r="G1" s="102"/>
      <c r="H1" s="102"/>
      <c r="I1" s="102"/>
    </row>
    <row r="2" spans="1:12" ht="12.75" customHeight="1" thickBot="1"/>
    <row r="3" spans="1:12" ht="18" customHeight="1">
      <c r="A3" s="182" t="s">
        <v>140</v>
      </c>
      <c r="B3" s="183"/>
      <c r="C3" s="318">
        <v>2022</v>
      </c>
      <c r="D3" s="318">
        <v>2023</v>
      </c>
      <c r="E3" s="318">
        <v>2024</v>
      </c>
      <c r="F3" s="184">
        <v>2025</v>
      </c>
      <c r="G3" s="184">
        <v>2026</v>
      </c>
      <c r="H3" s="184">
        <v>2027</v>
      </c>
      <c r="I3" s="445">
        <v>2028</v>
      </c>
      <c r="J3" s="184">
        <v>2029</v>
      </c>
      <c r="K3" s="184">
        <v>2030</v>
      </c>
      <c r="L3" s="308">
        <v>2031</v>
      </c>
    </row>
    <row r="4" spans="1:12" ht="14.4">
      <c r="A4" s="168"/>
      <c r="B4" s="168"/>
      <c r="C4" s="337"/>
      <c r="D4" s="337"/>
      <c r="E4" s="416"/>
      <c r="F4" s="169"/>
      <c r="G4" s="169"/>
      <c r="H4" s="169"/>
      <c r="I4" s="446"/>
      <c r="J4" s="169"/>
      <c r="K4" s="169"/>
      <c r="L4" s="309"/>
    </row>
    <row r="5" spans="1:12" ht="12.75" customHeight="1">
      <c r="A5" s="170" t="s">
        <v>88</v>
      </c>
      <c r="B5" s="170"/>
      <c r="C5" s="338"/>
      <c r="D5" s="338"/>
      <c r="E5" s="417"/>
      <c r="F5" s="169"/>
      <c r="G5" s="169"/>
      <c r="H5" s="169"/>
      <c r="I5" s="446"/>
      <c r="J5" s="169"/>
      <c r="K5" s="169"/>
      <c r="L5" s="309"/>
    </row>
    <row r="6" spans="1:12" ht="12.75" customHeight="1">
      <c r="A6" s="170"/>
      <c r="B6" s="170"/>
      <c r="C6" s="338"/>
      <c r="D6" s="338"/>
      <c r="E6" s="417"/>
      <c r="F6" s="393"/>
      <c r="G6" s="393"/>
      <c r="H6" s="393"/>
      <c r="I6" s="447"/>
      <c r="J6" s="393"/>
      <c r="K6" s="393"/>
      <c r="L6" s="418"/>
    </row>
    <row r="7" spans="1:12" ht="12.75" customHeight="1">
      <c r="A7" s="171" t="s">
        <v>93</v>
      </c>
      <c r="B7" s="171"/>
      <c r="C7" s="339"/>
      <c r="D7" s="339"/>
      <c r="E7" s="429">
        <f>+'Previsão Receitas'!B8</f>
        <v>16975038.399999999</v>
      </c>
      <c r="F7" s="429">
        <f>+'Previsão Receitas'!C8</f>
        <v>17314539.167999998</v>
      </c>
      <c r="G7" s="429">
        <f>+'Previsão Receitas'!D8</f>
        <v>18102350.700143997</v>
      </c>
      <c r="H7" s="429">
        <f>+'Previsão Receitas'!E8</f>
        <v>18554467.946898814</v>
      </c>
      <c r="I7" s="448">
        <f>+'Previsão Receitas'!F8</f>
        <v>19201172.218057714</v>
      </c>
      <c r="J7" s="429">
        <f>+'Previsão Receitas'!G8</f>
        <v>19491486.592263758</v>
      </c>
      <c r="K7" s="317"/>
      <c r="L7" s="419"/>
    </row>
    <row r="8" spans="1:12" ht="12.75" customHeight="1">
      <c r="A8" s="171" t="s">
        <v>94</v>
      </c>
      <c r="B8" s="171"/>
      <c r="C8" s="339"/>
      <c r="D8" s="339"/>
      <c r="E8" s="430">
        <v>33276.04</v>
      </c>
      <c r="F8" s="430"/>
      <c r="G8" s="430">
        <f>+'MAPA INVESTIMENTOS'!B20</f>
        <v>56140.5</v>
      </c>
      <c r="H8" s="430">
        <f>+'MAPA INVESTIMENTOS'!C20</f>
        <v>56140.5</v>
      </c>
      <c r="I8" s="449"/>
      <c r="J8" s="430"/>
      <c r="K8" s="317"/>
      <c r="L8" s="419"/>
    </row>
    <row r="9" spans="1:12" ht="12.75" customHeight="1">
      <c r="A9" s="171" t="s">
        <v>92</v>
      </c>
      <c r="B9" s="171"/>
      <c r="C9" s="340"/>
      <c r="D9" s="340"/>
      <c r="E9" s="431">
        <v>47187.47</v>
      </c>
      <c r="F9" s="431"/>
      <c r="G9" s="431"/>
      <c r="H9" s="431"/>
      <c r="I9" s="450"/>
      <c r="J9" s="431"/>
      <c r="K9" s="169"/>
      <c r="L9" s="309"/>
    </row>
    <row r="10" spans="1:12" ht="12.75" customHeight="1">
      <c r="A10" s="171" t="s">
        <v>95</v>
      </c>
      <c r="B10" s="171"/>
      <c r="C10" s="340"/>
      <c r="D10" s="341"/>
      <c r="E10" s="172"/>
      <c r="F10" s="172"/>
      <c r="G10" s="172"/>
      <c r="H10" s="172"/>
      <c r="I10" s="451"/>
      <c r="J10" s="172"/>
      <c r="K10" s="172"/>
      <c r="L10" s="310"/>
    </row>
    <row r="11" spans="1:12" ht="12.75" customHeight="1">
      <c r="A11" s="171" t="s">
        <v>96</v>
      </c>
      <c r="B11" s="171"/>
      <c r="C11" s="341"/>
      <c r="D11" s="341"/>
      <c r="E11" s="203">
        <f>-'Capital Circulante'!B18</f>
        <v>-13877338.039999999</v>
      </c>
      <c r="F11" s="203">
        <f>-'Capital Circulante'!C18</f>
        <v>-14154635.769839998</v>
      </c>
      <c r="G11" s="203">
        <f>-'Capital Circulante'!D18</f>
        <v>-14798671.697367717</v>
      </c>
      <c r="H11" s="203">
        <f>-'Capital Circulante'!E18</f>
        <v>-15168277.546589781</v>
      </c>
      <c r="I11" s="452">
        <f>-'Capital Circulante'!F18</f>
        <v>-15456943.63553646</v>
      </c>
      <c r="J11" s="203">
        <f>-'Capital Circulante'!G18</f>
        <v>-15836832.856214304</v>
      </c>
      <c r="K11" s="203"/>
      <c r="L11" s="311"/>
    </row>
    <row r="12" spans="1:12" ht="12.75" customHeight="1">
      <c r="A12" s="171" t="s">
        <v>97</v>
      </c>
      <c r="B12" s="171"/>
      <c r="C12" s="341"/>
      <c r="D12" s="341"/>
      <c r="E12" s="203">
        <f>-'Fornecimento  Serviços Externos'!C18</f>
        <v>-871290.97000000009</v>
      </c>
      <c r="F12" s="203">
        <f>-'Fornecimento  Serviços Externos'!D18</f>
        <v>-912000</v>
      </c>
      <c r="G12" s="203">
        <f>-'Fornecimento  Serviços Externos'!E18</f>
        <v>-969750</v>
      </c>
      <c r="H12" s="203">
        <f>-'Fornecimento  Serviços Externos'!F18</f>
        <v>-1024213.5</v>
      </c>
      <c r="I12" s="452">
        <f>-'Fornecimento  Serviços Externos'!G18</f>
        <v>-1024213.5</v>
      </c>
      <c r="J12" s="203">
        <f>-'Fornecimento  Serviços Externos'!H18</f>
        <v>-1050287.9850000001</v>
      </c>
      <c r="K12" s="203"/>
      <c r="L12" s="311"/>
    </row>
    <row r="13" spans="1:12" ht="12.75" customHeight="1">
      <c r="A13" s="171" t="s">
        <v>98</v>
      </c>
      <c r="B13" s="171"/>
      <c r="C13" s="341"/>
      <c r="D13" s="341"/>
      <c r="E13" s="203">
        <f>-'63_G. Pess.'!C15</f>
        <v>-1743813.8704200001</v>
      </c>
      <c r="F13" s="203">
        <f>-'63_G. Pess.'!D15</f>
        <v>-1778690.1478284001</v>
      </c>
      <c r="G13" s="203">
        <f>-'63_G. Pess.'!E15</f>
        <v>-1852305.3852368002</v>
      </c>
      <c r="H13" s="203">
        <f>-'63_G. Pess.'!F15</f>
        <v>-1889351.4929415362</v>
      </c>
      <c r="I13" s="452">
        <f>-'63_G. Pess.'!G15</f>
        <v>-1927138.5228003671</v>
      </c>
      <c r="J13" s="203">
        <f>-'63_G. Pess.'!H15</f>
        <v>-1965681.2932563745</v>
      </c>
      <c r="K13" s="203"/>
      <c r="L13" s="311"/>
    </row>
    <row r="14" spans="1:12" ht="12.75" customHeight="1">
      <c r="A14" s="171" t="s">
        <v>220</v>
      </c>
      <c r="B14" s="171"/>
      <c r="C14" s="340"/>
      <c r="D14" s="340"/>
      <c r="E14" s="203">
        <v>-6255.26</v>
      </c>
      <c r="F14" s="169"/>
      <c r="G14" s="169"/>
      <c r="H14" s="169"/>
      <c r="I14" s="446"/>
      <c r="J14" s="169"/>
      <c r="K14" s="169"/>
      <c r="L14" s="309"/>
    </row>
    <row r="15" spans="1:12" ht="12.75" customHeight="1">
      <c r="A15" s="171" t="s">
        <v>221</v>
      </c>
      <c r="B15" s="171"/>
      <c r="C15" s="340"/>
      <c r="D15" s="340"/>
      <c r="E15" s="203">
        <v>-15666.4</v>
      </c>
      <c r="F15" s="169"/>
      <c r="G15" s="169"/>
      <c r="H15" s="169"/>
      <c r="I15" s="446"/>
      <c r="J15" s="169"/>
      <c r="K15" s="169"/>
      <c r="L15" s="309"/>
    </row>
    <row r="16" spans="1:12" ht="12.75" customHeight="1">
      <c r="A16" s="171" t="s">
        <v>99</v>
      </c>
      <c r="B16" s="171"/>
      <c r="C16" s="340"/>
      <c r="D16" s="342"/>
      <c r="E16" s="432">
        <v>284128.46000000002</v>
      </c>
      <c r="F16" s="169"/>
      <c r="G16" s="169"/>
      <c r="H16" s="169"/>
      <c r="I16" s="446"/>
      <c r="J16" s="169"/>
      <c r="K16" s="169"/>
      <c r="L16" s="309"/>
    </row>
    <row r="17" spans="1:13" ht="12.75" customHeight="1">
      <c r="A17" s="171" t="s">
        <v>100</v>
      </c>
      <c r="B17" s="171"/>
      <c r="C17" s="341"/>
      <c r="D17" s="341"/>
      <c r="E17" s="203">
        <v>-523818.23</v>
      </c>
      <c r="F17" s="174"/>
      <c r="G17" s="174"/>
      <c r="H17" s="174"/>
      <c r="I17" s="453"/>
      <c r="J17" s="174"/>
      <c r="K17" s="174"/>
      <c r="L17" s="312"/>
    </row>
    <row r="18" spans="1:13" ht="12.75" customHeight="1">
      <c r="A18" s="175"/>
      <c r="B18" s="175"/>
      <c r="C18" s="343"/>
      <c r="D18" s="343"/>
      <c r="E18" s="203"/>
      <c r="F18" s="169"/>
      <c r="G18" s="169"/>
      <c r="H18" s="169"/>
      <c r="I18" s="446"/>
      <c r="J18" s="169"/>
      <c r="K18" s="169"/>
      <c r="L18" s="309"/>
    </row>
    <row r="19" spans="1:13" ht="23.25" customHeight="1">
      <c r="A19" s="176" t="s">
        <v>141</v>
      </c>
      <c r="B19" s="176"/>
      <c r="C19" s="344">
        <f t="shared" ref="C19" si="0">SUM(C7:C18)</f>
        <v>0</v>
      </c>
      <c r="D19" s="344"/>
      <c r="E19" s="177">
        <f t="shared" ref="E19" si="1">SUM(E7:E18)</f>
        <v>301447.59957999713</v>
      </c>
      <c r="F19" s="177">
        <f t="shared" ref="F19:J19" si="2">SUM(F7:F18)</f>
        <v>469213.25033159927</v>
      </c>
      <c r="G19" s="177">
        <f t="shared" si="2"/>
        <v>537764.11753947986</v>
      </c>
      <c r="H19" s="177">
        <f t="shared" si="2"/>
        <v>528765.90736749745</v>
      </c>
      <c r="I19" s="454">
        <f t="shared" si="2"/>
        <v>792876.5597208871</v>
      </c>
      <c r="J19" s="177">
        <f t="shared" si="2"/>
        <v>638684.45779307978</v>
      </c>
      <c r="K19" s="177">
        <f t="shared" ref="K19" si="3">SUM(K7:K18)</f>
        <v>0</v>
      </c>
      <c r="L19" s="313">
        <f>SUM(L7:L18)</f>
        <v>0</v>
      </c>
    </row>
    <row r="20" spans="1:13" ht="12.75" customHeight="1">
      <c r="A20" s="175"/>
      <c r="B20" s="175"/>
      <c r="C20" s="343"/>
      <c r="D20" s="343"/>
      <c r="E20" s="169"/>
      <c r="F20" s="169"/>
      <c r="G20" s="169"/>
      <c r="H20" s="169"/>
      <c r="I20" s="446"/>
      <c r="J20" s="169"/>
      <c r="K20" s="169"/>
      <c r="L20" s="309"/>
    </row>
    <row r="21" spans="1:13" ht="12.75" customHeight="1">
      <c r="A21" s="175" t="s">
        <v>101</v>
      </c>
      <c r="B21" s="175"/>
      <c r="C21" s="343"/>
      <c r="D21" s="341"/>
      <c r="E21" s="203">
        <f>-Amortizações!M20</f>
        <v>-167370.81312541381</v>
      </c>
      <c r="F21" s="203">
        <f>-Amortizações!N20</f>
        <v>-167370.81312541381</v>
      </c>
      <c r="G21" s="203">
        <f>-Amortizações!O20</f>
        <v>-173155.81312483532</v>
      </c>
      <c r="H21" s="203">
        <f>-Amortizações!P20</f>
        <v>-178940.81312425682</v>
      </c>
      <c r="I21" s="452">
        <f>-Amortizações!Q20</f>
        <v>-178940.81312425682</v>
      </c>
      <c r="J21" s="203">
        <f>-Amortizações!R20</f>
        <v>-173155.81312425682</v>
      </c>
      <c r="K21" s="203"/>
      <c r="L21" s="311"/>
    </row>
    <row r="22" spans="1:13" ht="12.75" customHeight="1">
      <c r="A22" s="175" t="s">
        <v>142</v>
      </c>
      <c r="B22" s="175"/>
      <c r="C22" s="343"/>
      <c r="D22" s="343"/>
      <c r="E22" s="169"/>
      <c r="F22" s="169"/>
      <c r="G22" s="169"/>
      <c r="H22" s="169"/>
      <c r="I22" s="446"/>
      <c r="J22" s="169"/>
      <c r="K22" s="169"/>
      <c r="L22" s="309"/>
    </row>
    <row r="23" spans="1:13" ht="12.75" customHeight="1">
      <c r="A23" s="175"/>
      <c r="B23" s="175"/>
      <c r="C23" s="343"/>
      <c r="D23" s="343"/>
      <c r="E23" s="169"/>
      <c r="F23" s="169"/>
      <c r="G23" s="169"/>
      <c r="H23" s="169"/>
      <c r="I23" s="446"/>
      <c r="J23" s="169"/>
      <c r="K23" s="169"/>
      <c r="L23" s="309"/>
    </row>
    <row r="24" spans="1:13" ht="12.75" customHeight="1">
      <c r="A24" s="178" t="s">
        <v>89</v>
      </c>
      <c r="B24" s="178"/>
      <c r="C24" s="345">
        <f t="shared" ref="C24" si="4">+C19+C21+C22</f>
        <v>0</v>
      </c>
      <c r="D24" s="345"/>
      <c r="E24" s="179">
        <f t="shared" ref="E24:F24" si="5">+E19+E21+E22</f>
        <v>134076.78645458331</v>
      </c>
      <c r="F24" s="179">
        <f t="shared" si="5"/>
        <v>301842.43720618542</v>
      </c>
      <c r="G24" s="179">
        <f t="shared" ref="G24:J24" si="6">+G19+G21+G22</f>
        <v>364608.30441464455</v>
      </c>
      <c r="H24" s="179">
        <f t="shared" si="6"/>
        <v>349825.09424324066</v>
      </c>
      <c r="I24" s="455">
        <f t="shared" si="6"/>
        <v>613935.74659663031</v>
      </c>
      <c r="J24" s="179">
        <f t="shared" si="6"/>
        <v>465528.64466882299</v>
      </c>
      <c r="K24" s="179"/>
      <c r="L24" s="314"/>
    </row>
    <row r="25" spans="1:13" ht="12.75" customHeight="1">
      <c r="A25" s="175"/>
      <c r="B25" s="175"/>
      <c r="C25" s="343"/>
      <c r="D25" s="343"/>
      <c r="E25" s="169"/>
      <c r="F25" s="169"/>
      <c r="G25" s="169"/>
      <c r="H25" s="169"/>
      <c r="I25" s="446"/>
      <c r="J25" s="169"/>
      <c r="K25" s="169"/>
      <c r="L25" s="309"/>
    </row>
    <row r="26" spans="1:13" ht="12.75" customHeight="1">
      <c r="A26" s="175" t="s">
        <v>102</v>
      </c>
      <c r="B26" s="175"/>
      <c r="C26" s="343"/>
      <c r="D26" s="343"/>
      <c r="E26" s="169"/>
      <c r="F26" s="169"/>
      <c r="G26" s="169"/>
      <c r="H26" s="169"/>
      <c r="I26" s="446"/>
      <c r="J26" s="169"/>
      <c r="K26" s="169"/>
      <c r="L26" s="309"/>
    </row>
    <row r="27" spans="1:13" ht="12.75" customHeight="1">
      <c r="A27" s="175" t="s">
        <v>103</v>
      </c>
      <c r="B27" s="175"/>
      <c r="C27" s="343"/>
      <c r="D27" s="341"/>
      <c r="E27" s="203">
        <v>-28132.94</v>
      </c>
      <c r="F27" s="203">
        <f>-'Serviço da Divida Emp. Bancario'!C19-12000</f>
        <v>-26983.852500000001</v>
      </c>
      <c r="G27" s="203">
        <f>-'Serviço da Divida Emp. Bancario'!D19-12000</f>
        <v>-25110.870937500003</v>
      </c>
      <c r="H27" s="203">
        <f>-'Serviço da Divida Emp. Bancario'!E19-12000</f>
        <v>-23237.889374999999</v>
      </c>
      <c r="I27" s="452">
        <f>-'Serviço da Divida Emp. Bancario'!F19-12000</f>
        <v>-21364.907812500001</v>
      </c>
      <c r="J27" s="203">
        <f>-'Serviço da Divida Emp. Bancario'!G19-12000</f>
        <v>-19491.92625</v>
      </c>
      <c r="K27" s="203"/>
      <c r="L27" s="311"/>
    </row>
    <row r="28" spans="1:13" ht="12.75" customHeight="1">
      <c r="A28" s="171"/>
      <c r="B28" s="171"/>
      <c r="C28" s="340"/>
      <c r="D28" s="340"/>
      <c r="E28" s="169"/>
      <c r="F28" s="169"/>
      <c r="G28" s="169"/>
      <c r="H28" s="169"/>
      <c r="I28" s="446"/>
      <c r="J28" s="169"/>
      <c r="K28" s="169"/>
      <c r="L28" s="309"/>
    </row>
    <row r="29" spans="1:13" ht="12.75" customHeight="1">
      <c r="A29" s="178" t="s">
        <v>90</v>
      </c>
      <c r="B29" s="178"/>
      <c r="C29" s="345">
        <f t="shared" ref="C29" si="7">SUM(C24:C27)</f>
        <v>0</v>
      </c>
      <c r="D29" s="345"/>
      <c r="E29" s="179">
        <f>SUM(E24:E27)</f>
        <v>105943.84645458331</v>
      </c>
      <c r="F29" s="179">
        <f>SUM(F24:F27)</f>
        <v>274858.58470618544</v>
      </c>
      <c r="G29" s="179">
        <f t="shared" ref="G29:J29" si="8">SUM(G24:G27)</f>
        <v>339497.43347714457</v>
      </c>
      <c r="H29" s="179">
        <f t="shared" si="8"/>
        <v>326587.20486824063</v>
      </c>
      <c r="I29" s="455">
        <f t="shared" si="8"/>
        <v>592570.83878413029</v>
      </c>
      <c r="J29" s="179">
        <f t="shared" si="8"/>
        <v>446036.71841882297</v>
      </c>
      <c r="K29" s="179"/>
      <c r="L29" s="314"/>
    </row>
    <row r="30" spans="1:13" ht="12.75" customHeight="1">
      <c r="A30" s="168"/>
      <c r="B30" s="180">
        <v>0.17</v>
      </c>
      <c r="C30" s="346"/>
      <c r="D30" s="346"/>
      <c r="E30" s="203">
        <v>-34451.18</v>
      </c>
      <c r="F30" s="203">
        <f>-25000*$B$30</f>
        <v>-4250</v>
      </c>
      <c r="G30" s="203">
        <f>-25000*$B$30</f>
        <v>-4250</v>
      </c>
      <c r="H30" s="203">
        <f>-25000*$B$30</f>
        <v>-4250</v>
      </c>
      <c r="I30" s="452">
        <f>-25000*$B$30</f>
        <v>-4250</v>
      </c>
      <c r="J30" s="203">
        <f>-25000*$B$30</f>
        <v>-4250</v>
      </c>
      <c r="K30" s="203"/>
      <c r="L30" s="311"/>
    </row>
    <row r="31" spans="1:13" ht="12.75" customHeight="1">
      <c r="A31" s="175" t="s">
        <v>104</v>
      </c>
      <c r="B31" s="180">
        <v>0.21</v>
      </c>
      <c r="C31" s="341"/>
      <c r="D31" s="341"/>
      <c r="E31" s="203"/>
      <c r="F31" s="203">
        <f>-(F29-25000)*$B$31</f>
        <v>-52470.302788298941</v>
      </c>
      <c r="G31" s="203">
        <f>-(G29-25000)*$B$31</f>
        <v>-66044.461030200357</v>
      </c>
      <c r="H31" s="203">
        <f>-(H29-25000)*$B$31</f>
        <v>-63333.313022330527</v>
      </c>
      <c r="I31" s="452">
        <f>-(I29-25000)*$B$31</f>
        <v>-119189.87614466736</v>
      </c>
      <c r="J31" s="203">
        <f>-(J29-25000)*$B$31</f>
        <v>-88417.710867952817</v>
      </c>
      <c r="K31" s="203"/>
      <c r="L31" s="311"/>
      <c r="M31" s="89">
        <f>4250+119189.88</f>
        <v>123439.88</v>
      </c>
    </row>
    <row r="32" spans="1:13" ht="12.75" customHeight="1">
      <c r="A32" s="178" t="s">
        <v>91</v>
      </c>
      <c r="B32" s="181"/>
      <c r="C32" s="341">
        <f t="shared" ref="C32" si="9">SUM(C29:C31)</f>
        <v>0</v>
      </c>
      <c r="D32" s="341"/>
      <c r="E32" s="173">
        <f t="shared" ref="E32:F32" si="10">SUM(E29:E31)</f>
        <v>71492.666454583319</v>
      </c>
      <c r="F32" s="173">
        <f t="shared" si="10"/>
        <v>218138.28191788652</v>
      </c>
      <c r="G32" s="173">
        <f t="shared" ref="G32:J32" si="11">SUM(G29:G31)</f>
        <v>269202.97244694422</v>
      </c>
      <c r="H32" s="173">
        <f t="shared" si="11"/>
        <v>259003.89184591011</v>
      </c>
      <c r="I32" s="456">
        <f t="shared" si="11"/>
        <v>469130.9626394629</v>
      </c>
      <c r="J32" s="173">
        <f t="shared" si="11"/>
        <v>353369.00755087018</v>
      </c>
      <c r="K32" s="173"/>
      <c r="L32" s="315"/>
    </row>
    <row r="33" spans="1:12" ht="12.75" customHeight="1" thickBot="1">
      <c r="A33" s="99"/>
      <c r="B33" s="99"/>
      <c r="C33" s="347"/>
      <c r="D33" s="347"/>
      <c r="E33" s="348"/>
      <c r="F33" s="91"/>
      <c r="G33" s="91"/>
      <c r="H33" s="91"/>
      <c r="I33" s="457"/>
      <c r="J33" s="91"/>
      <c r="K33" s="91"/>
      <c r="L33" s="316"/>
    </row>
    <row r="35" spans="1:12" ht="12.75" customHeight="1">
      <c r="A35" s="100"/>
      <c r="F35" s="102"/>
      <c r="G35" s="102"/>
      <c r="H35" s="102"/>
      <c r="I35" s="102"/>
      <c r="J35" s="102"/>
    </row>
    <row r="36" spans="1:12" ht="20.100000000000001" customHeight="1">
      <c r="A36" s="115" t="s">
        <v>136</v>
      </c>
    </row>
    <row r="37" spans="1:12" ht="12.75" customHeight="1">
      <c r="F37" s="101"/>
      <c r="G37" s="102"/>
      <c r="H37" s="102"/>
      <c r="I37" s="102"/>
      <c r="J37" s="102"/>
    </row>
    <row r="39" spans="1:12" ht="12.75" customHeight="1">
      <c r="F39" s="101"/>
      <c r="G39" s="101">
        <f>E7</f>
        <v>16975038.399999999</v>
      </c>
      <c r="H39" s="89">
        <v>100</v>
      </c>
    </row>
    <row r="40" spans="1:12" ht="27.6" customHeight="1">
      <c r="A40" s="408" t="s">
        <v>194</v>
      </c>
      <c r="B40" s="407" t="s">
        <v>206</v>
      </c>
      <c r="C40" s="407" t="s">
        <v>207</v>
      </c>
      <c r="F40" s="101"/>
      <c r="G40" s="101">
        <f>I7</f>
        <v>19201172.218057714</v>
      </c>
      <c r="H40" s="458" t="s">
        <v>205</v>
      </c>
    </row>
    <row r="41" spans="1:12" ht="12.75" customHeight="1">
      <c r="A41" s="400" t="s">
        <v>197</v>
      </c>
      <c r="B41" s="401">
        <f>E7</f>
        <v>16975038.399999999</v>
      </c>
      <c r="C41" s="401">
        <f>I7</f>
        <v>19201172.218057714</v>
      </c>
    </row>
    <row r="42" spans="1:12" ht="12.75" customHeight="1">
      <c r="A42" s="400" t="s">
        <v>95</v>
      </c>
      <c r="B42" s="401">
        <v>0</v>
      </c>
      <c r="C42" s="401">
        <v>0</v>
      </c>
      <c r="G42" s="89">
        <f>G40*H39/G39</f>
        <v>113.11416071999999</v>
      </c>
    </row>
    <row r="43" spans="1:12" ht="12.75" customHeight="1">
      <c r="A43" s="400" t="s">
        <v>198</v>
      </c>
      <c r="B43" s="401">
        <v>0</v>
      </c>
      <c r="C43" s="401">
        <v>0</v>
      </c>
    </row>
    <row r="44" spans="1:12" ht="12.75" customHeight="1">
      <c r="A44" s="400" t="s">
        <v>199</v>
      </c>
      <c r="B44" s="401">
        <f>E16</f>
        <v>284128.46000000002</v>
      </c>
      <c r="C44" s="401">
        <v>0</v>
      </c>
    </row>
    <row r="45" spans="1:12" ht="12.75" customHeight="1">
      <c r="A45" s="400" t="s">
        <v>200</v>
      </c>
      <c r="B45" s="401">
        <f>E8</f>
        <v>33276.04</v>
      </c>
      <c r="C45" s="401">
        <f>I8</f>
        <v>0</v>
      </c>
    </row>
    <row r="46" spans="1:12" ht="12.75" customHeight="1">
      <c r="A46" s="402" t="s">
        <v>0</v>
      </c>
      <c r="B46" s="403">
        <f>SUM(B41:B45)</f>
        <v>17292442.899999999</v>
      </c>
      <c r="C46" s="403">
        <f>SUM(C41:C45)</f>
        <v>19201172.218057714</v>
      </c>
    </row>
    <row r="47" spans="1:12" ht="12.75" customHeight="1">
      <c r="A47" s="399" t="s">
        <v>201</v>
      </c>
      <c r="B47" s="399" t="s">
        <v>195</v>
      </c>
      <c r="C47" s="399" t="s">
        <v>196</v>
      </c>
    </row>
    <row r="48" spans="1:12" ht="12.75" customHeight="1">
      <c r="A48" s="400" t="s">
        <v>8</v>
      </c>
      <c r="B48" s="401">
        <f>-E11</f>
        <v>13877338.039999999</v>
      </c>
      <c r="C48" s="401">
        <f>-I11</f>
        <v>15456943.63553646</v>
      </c>
      <c r="F48" s="101">
        <f>E7</f>
        <v>16975038.399999999</v>
      </c>
      <c r="G48" s="89">
        <v>100</v>
      </c>
    </row>
    <row r="49" spans="1:7" ht="12.75" customHeight="1">
      <c r="A49" s="400" t="s">
        <v>202</v>
      </c>
      <c r="B49" s="401">
        <f>-E12</f>
        <v>871290.97000000009</v>
      </c>
      <c r="C49" s="401">
        <f>-I12</f>
        <v>1024213.5</v>
      </c>
      <c r="F49" s="89">
        <v>1766441.73</v>
      </c>
      <c r="G49" s="406" t="s">
        <v>227</v>
      </c>
    </row>
    <row r="50" spans="1:7" ht="12.75" customHeight="1">
      <c r="A50" s="400" t="s">
        <v>203</v>
      </c>
      <c r="B50" s="401">
        <v>0</v>
      </c>
      <c r="C50" s="401">
        <v>0</v>
      </c>
    </row>
    <row r="51" spans="1:7" ht="12.75" customHeight="1">
      <c r="A51" s="402" t="s">
        <v>0</v>
      </c>
      <c r="B51" s="403">
        <f>SUM(B48:B50)</f>
        <v>14748629.01</v>
      </c>
      <c r="C51" s="403">
        <f>SUM(C48:C50)</f>
        <v>16481157.13553646</v>
      </c>
      <c r="F51" s="406" t="s">
        <v>227</v>
      </c>
      <c r="G51" s="89">
        <f>F49*G48/F48</f>
        <v>10.406113308114815</v>
      </c>
    </row>
    <row r="52" spans="1:7" ht="12.75" customHeight="1">
      <c r="A52" s="404" t="s">
        <v>204</v>
      </c>
      <c r="B52" s="405">
        <f>B46-B51</f>
        <v>2543813.8899999987</v>
      </c>
      <c r="C52" s="405">
        <f>C46-C51</f>
        <v>2720015.0825212542</v>
      </c>
    </row>
    <row r="53" spans="1:7" ht="12.75" customHeight="1">
      <c r="F53" s="101">
        <f>I7</f>
        <v>19201172.218057714</v>
      </c>
      <c r="G53" s="89">
        <v>100</v>
      </c>
    </row>
    <row r="54" spans="1:7" ht="12.75" customHeight="1">
      <c r="F54" s="406" t="s">
        <v>227</v>
      </c>
      <c r="G54" s="89">
        <v>14</v>
      </c>
    </row>
    <row r="55" spans="1:7" ht="12.75" customHeight="1">
      <c r="B55" s="409">
        <f>B52</f>
        <v>2543813.8899999987</v>
      </c>
      <c r="C55" s="410">
        <v>100</v>
      </c>
      <c r="F55" s="406" t="s">
        <v>227</v>
      </c>
      <c r="G55" s="89">
        <f>G54*F53/100</f>
        <v>2688164.1105280798</v>
      </c>
    </row>
    <row r="56" spans="1:7" ht="12.75" customHeight="1">
      <c r="B56" s="411">
        <f>C52</f>
        <v>2720015.0825212542</v>
      </c>
      <c r="C56" s="412" t="s">
        <v>205</v>
      </c>
    </row>
    <row r="57" spans="1:7" ht="12.75" customHeight="1">
      <c r="B57" s="413"/>
      <c r="C57" s="414"/>
      <c r="G57" s="89">
        <v>2688164.1105280798</v>
      </c>
    </row>
    <row r="58" spans="1:7" ht="12.75" customHeight="1">
      <c r="B58" s="415" t="s">
        <v>205</v>
      </c>
      <c r="C58" s="412">
        <f>B56*C55/B55</f>
        <v>106.92665423417654</v>
      </c>
    </row>
    <row r="59" spans="1:7" ht="12.75" customHeight="1">
      <c r="B59" s="413"/>
      <c r="C59" s="414"/>
    </row>
    <row r="60" spans="1:7" ht="12.75" customHeight="1">
      <c r="B60" s="503" t="s">
        <v>209</v>
      </c>
      <c r="C60" s="504"/>
    </row>
    <row r="63" spans="1:7" ht="12.75" customHeight="1">
      <c r="A63" s="406" t="s">
        <v>208</v>
      </c>
      <c r="B63" s="434">
        <f>(C52-B52)/B52</f>
        <v>6.9266542341765241E-2</v>
      </c>
    </row>
  </sheetData>
  <mergeCells count="1">
    <mergeCell ref="B60:C60"/>
  </mergeCells>
  <hyperlinks>
    <hyperlink ref="A36" location="Índice!A1" display="Índice" xr:uid="{00000000-0004-0000-0B00-000000000000}"/>
  </hyperlinks>
  <pageMargins left="0.78740157480314965" right="0" top="0" bottom="0" header="0" footer="0"/>
  <pageSetup paperSize="9" orientation="landscape" useFirstPageNumber="1" r:id="rId1"/>
  <headerFooter>
    <oddHeader>&amp;L11 - Demonstração Resultados</oddHead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360"/>
  <sheetViews>
    <sheetView showGridLines="0" zoomScaleNormal="100" zoomScaleSheetLayoutView="100" workbookViewId="0">
      <selection activeCell="L54" sqref="L54"/>
    </sheetView>
  </sheetViews>
  <sheetFormatPr defaultRowHeight="12.75" customHeight="1"/>
  <cols>
    <col min="1" max="1" width="46" style="106" bestFit="1" customWidth="1"/>
    <col min="2" max="3" width="11.88671875" style="364" bestFit="1" customWidth="1"/>
    <col min="4" max="4" width="12.88671875" style="364" bestFit="1" customWidth="1"/>
    <col min="5" max="5" width="14.44140625" style="306" hidden="1" customWidth="1"/>
    <col min="6" max="6" width="12.5546875" style="306" hidden="1" customWidth="1"/>
    <col min="7" max="7" width="12.88671875" style="306" hidden="1" customWidth="1"/>
    <col min="8" max="8" width="12.88671875" style="306" bestFit="1" customWidth="1"/>
    <col min="9" max="9" width="14.21875" style="306" bestFit="1" customWidth="1"/>
    <col min="10" max="11" width="15" style="306" bestFit="1" customWidth="1"/>
    <col min="12" max="243" width="9.109375" style="90"/>
    <col min="244" max="244" width="12.44140625" style="90" customWidth="1"/>
    <col min="245" max="245" width="50.6640625" style="90" customWidth="1"/>
    <col min="246" max="246" width="7.6640625" style="90" customWidth="1"/>
    <col min="247" max="248" width="12.6640625" style="90" customWidth="1"/>
    <col min="249" max="249" width="3.88671875" style="90" customWidth="1"/>
    <col min="250" max="499" width="9.109375" style="90"/>
    <col min="500" max="500" width="12.44140625" style="90" customWidth="1"/>
    <col min="501" max="501" width="50.6640625" style="90" customWidth="1"/>
    <col min="502" max="502" width="7.6640625" style="90" customWidth="1"/>
    <col min="503" max="504" width="12.6640625" style="90" customWidth="1"/>
    <col min="505" max="505" width="3.88671875" style="90" customWidth="1"/>
    <col min="506" max="755" width="9.109375" style="90"/>
    <col min="756" max="756" width="12.44140625" style="90" customWidth="1"/>
    <col min="757" max="757" width="50.6640625" style="90" customWidth="1"/>
    <col min="758" max="758" width="7.6640625" style="90" customWidth="1"/>
    <col min="759" max="760" width="12.6640625" style="90" customWidth="1"/>
    <col min="761" max="761" width="3.88671875" style="90" customWidth="1"/>
    <col min="762" max="1011" width="9.109375" style="90"/>
    <col min="1012" max="1012" width="12.44140625" style="90" customWidth="1"/>
    <col min="1013" max="1013" width="50.6640625" style="90" customWidth="1"/>
    <col min="1014" max="1014" width="7.6640625" style="90" customWidth="1"/>
    <col min="1015" max="1016" width="12.6640625" style="90" customWidth="1"/>
    <col min="1017" max="1017" width="3.88671875" style="90" customWidth="1"/>
    <col min="1018" max="1267" width="9.109375" style="90"/>
    <col min="1268" max="1268" width="12.44140625" style="90" customWidth="1"/>
    <col min="1269" max="1269" width="50.6640625" style="90" customWidth="1"/>
    <col min="1270" max="1270" width="7.6640625" style="90" customWidth="1"/>
    <col min="1271" max="1272" width="12.6640625" style="90" customWidth="1"/>
    <col min="1273" max="1273" width="3.88671875" style="90" customWidth="1"/>
    <col min="1274" max="1523" width="9.109375" style="90"/>
    <col min="1524" max="1524" width="12.44140625" style="90" customWidth="1"/>
    <col min="1525" max="1525" width="50.6640625" style="90" customWidth="1"/>
    <col min="1526" max="1526" width="7.6640625" style="90" customWidth="1"/>
    <col min="1527" max="1528" width="12.6640625" style="90" customWidth="1"/>
    <col min="1529" max="1529" width="3.88671875" style="90" customWidth="1"/>
    <col min="1530" max="1779" width="9.109375" style="90"/>
    <col min="1780" max="1780" width="12.44140625" style="90" customWidth="1"/>
    <col min="1781" max="1781" width="50.6640625" style="90" customWidth="1"/>
    <col min="1782" max="1782" width="7.6640625" style="90" customWidth="1"/>
    <col min="1783" max="1784" width="12.6640625" style="90" customWidth="1"/>
    <col min="1785" max="1785" width="3.88671875" style="90" customWidth="1"/>
    <col min="1786" max="2035" width="9.109375" style="90"/>
    <col min="2036" max="2036" width="12.44140625" style="90" customWidth="1"/>
    <col min="2037" max="2037" width="50.6640625" style="90" customWidth="1"/>
    <col min="2038" max="2038" width="7.6640625" style="90" customWidth="1"/>
    <col min="2039" max="2040" width="12.6640625" style="90" customWidth="1"/>
    <col min="2041" max="2041" width="3.88671875" style="90" customWidth="1"/>
    <col min="2042" max="2291" width="9.109375" style="90"/>
    <col min="2292" max="2292" width="12.44140625" style="90" customWidth="1"/>
    <col min="2293" max="2293" width="50.6640625" style="90" customWidth="1"/>
    <col min="2294" max="2294" width="7.6640625" style="90" customWidth="1"/>
    <col min="2295" max="2296" width="12.6640625" style="90" customWidth="1"/>
    <col min="2297" max="2297" width="3.88671875" style="90" customWidth="1"/>
    <col min="2298" max="2547" width="9.109375" style="90"/>
    <col min="2548" max="2548" width="12.44140625" style="90" customWidth="1"/>
    <col min="2549" max="2549" width="50.6640625" style="90" customWidth="1"/>
    <col min="2550" max="2550" width="7.6640625" style="90" customWidth="1"/>
    <col min="2551" max="2552" width="12.6640625" style="90" customWidth="1"/>
    <col min="2553" max="2553" width="3.88671875" style="90" customWidth="1"/>
    <col min="2554" max="2803" width="9.109375" style="90"/>
    <col min="2804" max="2804" width="12.44140625" style="90" customWidth="1"/>
    <col min="2805" max="2805" width="50.6640625" style="90" customWidth="1"/>
    <col min="2806" max="2806" width="7.6640625" style="90" customWidth="1"/>
    <col min="2807" max="2808" width="12.6640625" style="90" customWidth="1"/>
    <col min="2809" max="2809" width="3.88671875" style="90" customWidth="1"/>
    <col min="2810" max="3059" width="9.109375" style="90"/>
    <col min="3060" max="3060" width="12.44140625" style="90" customWidth="1"/>
    <col min="3061" max="3061" width="50.6640625" style="90" customWidth="1"/>
    <col min="3062" max="3062" width="7.6640625" style="90" customWidth="1"/>
    <col min="3063" max="3064" width="12.6640625" style="90" customWidth="1"/>
    <col min="3065" max="3065" width="3.88671875" style="90" customWidth="1"/>
    <col min="3066" max="3315" width="9.109375" style="90"/>
    <col min="3316" max="3316" width="12.44140625" style="90" customWidth="1"/>
    <col min="3317" max="3317" width="50.6640625" style="90" customWidth="1"/>
    <col min="3318" max="3318" width="7.6640625" style="90" customWidth="1"/>
    <col min="3319" max="3320" width="12.6640625" style="90" customWidth="1"/>
    <col min="3321" max="3321" width="3.88671875" style="90" customWidth="1"/>
    <col min="3322" max="3571" width="9.109375" style="90"/>
    <col min="3572" max="3572" width="12.44140625" style="90" customWidth="1"/>
    <col min="3573" max="3573" width="50.6640625" style="90" customWidth="1"/>
    <col min="3574" max="3574" width="7.6640625" style="90" customWidth="1"/>
    <col min="3575" max="3576" width="12.6640625" style="90" customWidth="1"/>
    <col min="3577" max="3577" width="3.88671875" style="90" customWidth="1"/>
    <col min="3578" max="3827" width="9.109375" style="90"/>
    <col min="3828" max="3828" width="12.44140625" style="90" customWidth="1"/>
    <col min="3829" max="3829" width="50.6640625" style="90" customWidth="1"/>
    <col min="3830" max="3830" width="7.6640625" style="90" customWidth="1"/>
    <col min="3831" max="3832" width="12.6640625" style="90" customWidth="1"/>
    <col min="3833" max="3833" width="3.88671875" style="90" customWidth="1"/>
    <col min="3834" max="4083" width="9.109375" style="90"/>
    <col min="4084" max="4084" width="12.44140625" style="90" customWidth="1"/>
    <col min="4085" max="4085" width="50.6640625" style="90" customWidth="1"/>
    <col min="4086" max="4086" width="7.6640625" style="90" customWidth="1"/>
    <col min="4087" max="4088" width="12.6640625" style="90" customWidth="1"/>
    <col min="4089" max="4089" width="3.88671875" style="90" customWidth="1"/>
    <col min="4090" max="4339" width="9.109375" style="90"/>
    <col min="4340" max="4340" width="12.44140625" style="90" customWidth="1"/>
    <col min="4341" max="4341" width="50.6640625" style="90" customWidth="1"/>
    <col min="4342" max="4342" width="7.6640625" style="90" customWidth="1"/>
    <col min="4343" max="4344" width="12.6640625" style="90" customWidth="1"/>
    <col min="4345" max="4345" width="3.88671875" style="90" customWidth="1"/>
    <col min="4346" max="4595" width="9.109375" style="90"/>
    <col min="4596" max="4596" width="12.44140625" style="90" customWidth="1"/>
    <col min="4597" max="4597" width="50.6640625" style="90" customWidth="1"/>
    <col min="4598" max="4598" width="7.6640625" style="90" customWidth="1"/>
    <col min="4599" max="4600" width="12.6640625" style="90" customWidth="1"/>
    <col min="4601" max="4601" width="3.88671875" style="90" customWidth="1"/>
    <col min="4602" max="4851" width="9.109375" style="90"/>
    <col min="4852" max="4852" width="12.44140625" style="90" customWidth="1"/>
    <col min="4853" max="4853" width="50.6640625" style="90" customWidth="1"/>
    <col min="4854" max="4854" width="7.6640625" style="90" customWidth="1"/>
    <col min="4855" max="4856" width="12.6640625" style="90" customWidth="1"/>
    <col min="4857" max="4857" width="3.88671875" style="90" customWidth="1"/>
    <col min="4858" max="5107" width="9.109375" style="90"/>
    <col min="5108" max="5108" width="12.44140625" style="90" customWidth="1"/>
    <col min="5109" max="5109" width="50.6640625" style="90" customWidth="1"/>
    <col min="5110" max="5110" width="7.6640625" style="90" customWidth="1"/>
    <col min="5111" max="5112" width="12.6640625" style="90" customWidth="1"/>
    <col min="5113" max="5113" width="3.88671875" style="90" customWidth="1"/>
    <col min="5114" max="5363" width="9.109375" style="90"/>
    <col min="5364" max="5364" width="12.44140625" style="90" customWidth="1"/>
    <col min="5365" max="5365" width="50.6640625" style="90" customWidth="1"/>
    <col min="5366" max="5366" width="7.6640625" style="90" customWidth="1"/>
    <col min="5367" max="5368" width="12.6640625" style="90" customWidth="1"/>
    <col min="5369" max="5369" width="3.88671875" style="90" customWidth="1"/>
    <col min="5370" max="5619" width="9.109375" style="90"/>
    <col min="5620" max="5620" width="12.44140625" style="90" customWidth="1"/>
    <col min="5621" max="5621" width="50.6640625" style="90" customWidth="1"/>
    <col min="5622" max="5622" width="7.6640625" style="90" customWidth="1"/>
    <col min="5623" max="5624" width="12.6640625" style="90" customWidth="1"/>
    <col min="5625" max="5625" width="3.88671875" style="90" customWidth="1"/>
    <col min="5626" max="5875" width="9.109375" style="90"/>
    <col min="5876" max="5876" width="12.44140625" style="90" customWidth="1"/>
    <col min="5877" max="5877" width="50.6640625" style="90" customWidth="1"/>
    <col min="5878" max="5878" width="7.6640625" style="90" customWidth="1"/>
    <col min="5879" max="5880" width="12.6640625" style="90" customWidth="1"/>
    <col min="5881" max="5881" width="3.88671875" style="90" customWidth="1"/>
    <col min="5882" max="6131" width="9.109375" style="90"/>
    <col min="6132" max="6132" width="12.44140625" style="90" customWidth="1"/>
    <col min="6133" max="6133" width="50.6640625" style="90" customWidth="1"/>
    <col min="6134" max="6134" width="7.6640625" style="90" customWidth="1"/>
    <col min="6135" max="6136" width="12.6640625" style="90" customWidth="1"/>
    <col min="6137" max="6137" width="3.88671875" style="90" customWidth="1"/>
    <col min="6138" max="6387" width="9.109375" style="90"/>
    <col min="6388" max="6388" width="12.44140625" style="90" customWidth="1"/>
    <col min="6389" max="6389" width="50.6640625" style="90" customWidth="1"/>
    <col min="6390" max="6390" width="7.6640625" style="90" customWidth="1"/>
    <col min="6391" max="6392" width="12.6640625" style="90" customWidth="1"/>
    <col min="6393" max="6393" width="3.88671875" style="90" customWidth="1"/>
    <col min="6394" max="6643" width="9.109375" style="90"/>
    <col min="6644" max="6644" width="12.44140625" style="90" customWidth="1"/>
    <col min="6645" max="6645" width="50.6640625" style="90" customWidth="1"/>
    <col min="6646" max="6646" width="7.6640625" style="90" customWidth="1"/>
    <col min="6647" max="6648" width="12.6640625" style="90" customWidth="1"/>
    <col min="6649" max="6649" width="3.88671875" style="90" customWidth="1"/>
    <col min="6650" max="6899" width="9.109375" style="90"/>
    <col min="6900" max="6900" width="12.44140625" style="90" customWidth="1"/>
    <col min="6901" max="6901" width="50.6640625" style="90" customWidth="1"/>
    <col min="6902" max="6902" width="7.6640625" style="90" customWidth="1"/>
    <col min="6903" max="6904" width="12.6640625" style="90" customWidth="1"/>
    <col min="6905" max="6905" width="3.88671875" style="90" customWidth="1"/>
    <col min="6906" max="7155" width="9.109375" style="90"/>
    <col min="7156" max="7156" width="12.44140625" style="90" customWidth="1"/>
    <col min="7157" max="7157" width="50.6640625" style="90" customWidth="1"/>
    <col min="7158" max="7158" width="7.6640625" style="90" customWidth="1"/>
    <col min="7159" max="7160" width="12.6640625" style="90" customWidth="1"/>
    <col min="7161" max="7161" width="3.88671875" style="90" customWidth="1"/>
    <col min="7162" max="7411" width="9.109375" style="90"/>
    <col min="7412" max="7412" width="12.44140625" style="90" customWidth="1"/>
    <col min="7413" max="7413" width="50.6640625" style="90" customWidth="1"/>
    <col min="7414" max="7414" width="7.6640625" style="90" customWidth="1"/>
    <col min="7415" max="7416" width="12.6640625" style="90" customWidth="1"/>
    <col min="7417" max="7417" width="3.88671875" style="90" customWidth="1"/>
    <col min="7418" max="7667" width="9.109375" style="90"/>
    <col min="7668" max="7668" width="12.44140625" style="90" customWidth="1"/>
    <col min="7669" max="7669" width="50.6640625" style="90" customWidth="1"/>
    <col min="7670" max="7670" width="7.6640625" style="90" customWidth="1"/>
    <col min="7671" max="7672" width="12.6640625" style="90" customWidth="1"/>
    <col min="7673" max="7673" width="3.88671875" style="90" customWidth="1"/>
    <col min="7674" max="7923" width="9.109375" style="90"/>
    <col min="7924" max="7924" width="12.44140625" style="90" customWidth="1"/>
    <col min="7925" max="7925" width="50.6640625" style="90" customWidth="1"/>
    <col min="7926" max="7926" width="7.6640625" style="90" customWidth="1"/>
    <col min="7927" max="7928" width="12.6640625" style="90" customWidth="1"/>
    <col min="7929" max="7929" width="3.88671875" style="90" customWidth="1"/>
    <col min="7930" max="8179" width="9.109375" style="90"/>
    <col min="8180" max="8180" width="12.44140625" style="90" customWidth="1"/>
    <col min="8181" max="8181" width="50.6640625" style="90" customWidth="1"/>
    <col min="8182" max="8182" width="7.6640625" style="90" customWidth="1"/>
    <col min="8183" max="8184" width="12.6640625" style="90" customWidth="1"/>
    <col min="8185" max="8185" width="3.88671875" style="90" customWidth="1"/>
    <col min="8186" max="8435" width="9.109375" style="90"/>
    <col min="8436" max="8436" width="12.44140625" style="90" customWidth="1"/>
    <col min="8437" max="8437" width="50.6640625" style="90" customWidth="1"/>
    <col min="8438" max="8438" width="7.6640625" style="90" customWidth="1"/>
    <col min="8439" max="8440" width="12.6640625" style="90" customWidth="1"/>
    <col min="8441" max="8441" width="3.88671875" style="90" customWidth="1"/>
    <col min="8442" max="8691" width="9.109375" style="90"/>
    <col min="8692" max="8692" width="12.44140625" style="90" customWidth="1"/>
    <col min="8693" max="8693" width="50.6640625" style="90" customWidth="1"/>
    <col min="8694" max="8694" width="7.6640625" style="90" customWidth="1"/>
    <col min="8695" max="8696" width="12.6640625" style="90" customWidth="1"/>
    <col min="8697" max="8697" width="3.88671875" style="90" customWidth="1"/>
    <col min="8698" max="8947" width="9.109375" style="90"/>
    <col min="8948" max="8948" width="12.44140625" style="90" customWidth="1"/>
    <col min="8949" max="8949" width="50.6640625" style="90" customWidth="1"/>
    <col min="8950" max="8950" width="7.6640625" style="90" customWidth="1"/>
    <col min="8951" max="8952" width="12.6640625" style="90" customWidth="1"/>
    <col min="8953" max="8953" width="3.88671875" style="90" customWidth="1"/>
    <col min="8954" max="9203" width="9.109375" style="90"/>
    <col min="9204" max="9204" width="12.44140625" style="90" customWidth="1"/>
    <col min="9205" max="9205" width="50.6640625" style="90" customWidth="1"/>
    <col min="9206" max="9206" width="7.6640625" style="90" customWidth="1"/>
    <col min="9207" max="9208" width="12.6640625" style="90" customWidth="1"/>
    <col min="9209" max="9209" width="3.88671875" style="90" customWidth="1"/>
    <col min="9210" max="9459" width="9.109375" style="90"/>
    <col min="9460" max="9460" width="12.44140625" style="90" customWidth="1"/>
    <col min="9461" max="9461" width="50.6640625" style="90" customWidth="1"/>
    <col min="9462" max="9462" width="7.6640625" style="90" customWidth="1"/>
    <col min="9463" max="9464" width="12.6640625" style="90" customWidth="1"/>
    <col min="9465" max="9465" width="3.88671875" style="90" customWidth="1"/>
    <col min="9466" max="9715" width="9.109375" style="90"/>
    <col min="9716" max="9716" width="12.44140625" style="90" customWidth="1"/>
    <col min="9717" max="9717" width="50.6640625" style="90" customWidth="1"/>
    <col min="9718" max="9718" width="7.6640625" style="90" customWidth="1"/>
    <col min="9719" max="9720" width="12.6640625" style="90" customWidth="1"/>
    <col min="9721" max="9721" width="3.88671875" style="90" customWidth="1"/>
    <col min="9722" max="9971" width="9.109375" style="90"/>
    <col min="9972" max="9972" width="12.44140625" style="90" customWidth="1"/>
    <col min="9973" max="9973" width="50.6640625" style="90" customWidth="1"/>
    <col min="9974" max="9974" width="7.6640625" style="90" customWidth="1"/>
    <col min="9975" max="9976" width="12.6640625" style="90" customWidth="1"/>
    <col min="9977" max="9977" width="3.88671875" style="90" customWidth="1"/>
    <col min="9978" max="10227" width="9.109375" style="90"/>
    <col min="10228" max="10228" width="12.44140625" style="90" customWidth="1"/>
    <col min="10229" max="10229" width="50.6640625" style="90" customWidth="1"/>
    <col min="10230" max="10230" width="7.6640625" style="90" customWidth="1"/>
    <col min="10231" max="10232" width="12.6640625" style="90" customWidth="1"/>
    <col min="10233" max="10233" width="3.88671875" style="90" customWidth="1"/>
    <col min="10234" max="10483" width="9.109375" style="90"/>
    <col min="10484" max="10484" width="12.44140625" style="90" customWidth="1"/>
    <col min="10485" max="10485" width="50.6640625" style="90" customWidth="1"/>
    <col min="10486" max="10486" width="7.6640625" style="90" customWidth="1"/>
    <col min="10487" max="10488" width="12.6640625" style="90" customWidth="1"/>
    <col min="10489" max="10489" width="3.88671875" style="90" customWidth="1"/>
    <col min="10490" max="10739" width="9.109375" style="90"/>
    <col min="10740" max="10740" width="12.44140625" style="90" customWidth="1"/>
    <col min="10741" max="10741" width="50.6640625" style="90" customWidth="1"/>
    <col min="10742" max="10742" width="7.6640625" style="90" customWidth="1"/>
    <col min="10743" max="10744" width="12.6640625" style="90" customWidth="1"/>
    <col min="10745" max="10745" width="3.88671875" style="90" customWidth="1"/>
    <col min="10746" max="10995" width="9.109375" style="90"/>
    <col min="10996" max="10996" width="12.44140625" style="90" customWidth="1"/>
    <col min="10997" max="10997" width="50.6640625" style="90" customWidth="1"/>
    <col min="10998" max="10998" width="7.6640625" style="90" customWidth="1"/>
    <col min="10999" max="11000" width="12.6640625" style="90" customWidth="1"/>
    <col min="11001" max="11001" width="3.88671875" style="90" customWidth="1"/>
    <col min="11002" max="11251" width="9.109375" style="90"/>
    <col min="11252" max="11252" width="12.44140625" style="90" customWidth="1"/>
    <col min="11253" max="11253" width="50.6640625" style="90" customWidth="1"/>
    <col min="11254" max="11254" width="7.6640625" style="90" customWidth="1"/>
    <col min="11255" max="11256" width="12.6640625" style="90" customWidth="1"/>
    <col min="11257" max="11257" width="3.88671875" style="90" customWidth="1"/>
    <col min="11258" max="11507" width="9.109375" style="90"/>
    <col min="11508" max="11508" width="12.44140625" style="90" customWidth="1"/>
    <col min="11509" max="11509" width="50.6640625" style="90" customWidth="1"/>
    <col min="11510" max="11510" width="7.6640625" style="90" customWidth="1"/>
    <col min="11511" max="11512" width="12.6640625" style="90" customWidth="1"/>
    <col min="11513" max="11513" width="3.88671875" style="90" customWidth="1"/>
    <col min="11514" max="11763" width="9.109375" style="90"/>
    <col min="11764" max="11764" width="12.44140625" style="90" customWidth="1"/>
    <col min="11765" max="11765" width="50.6640625" style="90" customWidth="1"/>
    <col min="11766" max="11766" width="7.6640625" style="90" customWidth="1"/>
    <col min="11767" max="11768" width="12.6640625" style="90" customWidth="1"/>
    <col min="11769" max="11769" width="3.88671875" style="90" customWidth="1"/>
    <col min="11770" max="12019" width="9.109375" style="90"/>
    <col min="12020" max="12020" width="12.44140625" style="90" customWidth="1"/>
    <col min="12021" max="12021" width="50.6640625" style="90" customWidth="1"/>
    <col min="12022" max="12022" width="7.6640625" style="90" customWidth="1"/>
    <col min="12023" max="12024" width="12.6640625" style="90" customWidth="1"/>
    <col min="12025" max="12025" width="3.88671875" style="90" customWidth="1"/>
    <col min="12026" max="12275" width="9.109375" style="90"/>
    <col min="12276" max="12276" width="12.44140625" style="90" customWidth="1"/>
    <col min="12277" max="12277" width="50.6640625" style="90" customWidth="1"/>
    <col min="12278" max="12278" width="7.6640625" style="90" customWidth="1"/>
    <col min="12279" max="12280" width="12.6640625" style="90" customWidth="1"/>
    <col min="12281" max="12281" width="3.88671875" style="90" customWidth="1"/>
    <col min="12282" max="12531" width="9.109375" style="90"/>
    <col min="12532" max="12532" width="12.44140625" style="90" customWidth="1"/>
    <col min="12533" max="12533" width="50.6640625" style="90" customWidth="1"/>
    <col min="12534" max="12534" width="7.6640625" style="90" customWidth="1"/>
    <col min="12535" max="12536" width="12.6640625" style="90" customWidth="1"/>
    <col min="12537" max="12537" width="3.88671875" style="90" customWidth="1"/>
    <col min="12538" max="12787" width="9.109375" style="90"/>
    <col min="12788" max="12788" width="12.44140625" style="90" customWidth="1"/>
    <col min="12789" max="12789" width="50.6640625" style="90" customWidth="1"/>
    <col min="12790" max="12790" width="7.6640625" style="90" customWidth="1"/>
    <col min="12791" max="12792" width="12.6640625" style="90" customWidth="1"/>
    <col min="12793" max="12793" width="3.88671875" style="90" customWidth="1"/>
    <col min="12794" max="13043" width="9.109375" style="90"/>
    <col min="13044" max="13044" width="12.44140625" style="90" customWidth="1"/>
    <col min="13045" max="13045" width="50.6640625" style="90" customWidth="1"/>
    <col min="13046" max="13046" width="7.6640625" style="90" customWidth="1"/>
    <col min="13047" max="13048" width="12.6640625" style="90" customWidth="1"/>
    <col min="13049" max="13049" width="3.88671875" style="90" customWidth="1"/>
    <col min="13050" max="13299" width="9.109375" style="90"/>
    <col min="13300" max="13300" width="12.44140625" style="90" customWidth="1"/>
    <col min="13301" max="13301" width="50.6640625" style="90" customWidth="1"/>
    <col min="13302" max="13302" width="7.6640625" style="90" customWidth="1"/>
    <col min="13303" max="13304" width="12.6640625" style="90" customWidth="1"/>
    <col min="13305" max="13305" width="3.88671875" style="90" customWidth="1"/>
    <col min="13306" max="13555" width="9.109375" style="90"/>
    <col min="13556" max="13556" width="12.44140625" style="90" customWidth="1"/>
    <col min="13557" max="13557" width="50.6640625" style="90" customWidth="1"/>
    <col min="13558" max="13558" width="7.6640625" style="90" customWidth="1"/>
    <col min="13559" max="13560" width="12.6640625" style="90" customWidth="1"/>
    <col min="13561" max="13561" width="3.88671875" style="90" customWidth="1"/>
    <col min="13562" max="13811" width="9.109375" style="90"/>
    <col min="13812" max="13812" width="12.44140625" style="90" customWidth="1"/>
    <col min="13813" max="13813" width="50.6640625" style="90" customWidth="1"/>
    <col min="13814" max="13814" width="7.6640625" style="90" customWidth="1"/>
    <col min="13815" max="13816" width="12.6640625" style="90" customWidth="1"/>
    <col min="13817" max="13817" width="3.88671875" style="90" customWidth="1"/>
    <col min="13818" max="14067" width="9.109375" style="90"/>
    <col min="14068" max="14068" width="12.44140625" style="90" customWidth="1"/>
    <col min="14069" max="14069" width="50.6640625" style="90" customWidth="1"/>
    <col min="14070" max="14070" width="7.6640625" style="90" customWidth="1"/>
    <col min="14071" max="14072" width="12.6640625" style="90" customWidth="1"/>
    <col min="14073" max="14073" width="3.88671875" style="90" customWidth="1"/>
    <col min="14074" max="14323" width="9.109375" style="90"/>
    <col min="14324" max="14324" width="12.44140625" style="90" customWidth="1"/>
    <col min="14325" max="14325" width="50.6640625" style="90" customWidth="1"/>
    <col min="14326" max="14326" width="7.6640625" style="90" customWidth="1"/>
    <col min="14327" max="14328" width="12.6640625" style="90" customWidth="1"/>
    <col min="14329" max="14329" width="3.88671875" style="90" customWidth="1"/>
    <col min="14330" max="14579" width="9.109375" style="90"/>
    <col min="14580" max="14580" width="12.44140625" style="90" customWidth="1"/>
    <col min="14581" max="14581" width="50.6640625" style="90" customWidth="1"/>
    <col min="14582" max="14582" width="7.6640625" style="90" customWidth="1"/>
    <col min="14583" max="14584" width="12.6640625" style="90" customWidth="1"/>
    <col min="14585" max="14585" width="3.88671875" style="90" customWidth="1"/>
    <col min="14586" max="14835" width="9.109375" style="90"/>
    <col min="14836" max="14836" width="12.44140625" style="90" customWidth="1"/>
    <col min="14837" max="14837" width="50.6640625" style="90" customWidth="1"/>
    <col min="14838" max="14838" width="7.6640625" style="90" customWidth="1"/>
    <col min="14839" max="14840" width="12.6640625" style="90" customWidth="1"/>
    <col min="14841" max="14841" width="3.88671875" style="90" customWidth="1"/>
    <col min="14842" max="15091" width="9.109375" style="90"/>
    <col min="15092" max="15092" width="12.44140625" style="90" customWidth="1"/>
    <col min="15093" max="15093" width="50.6640625" style="90" customWidth="1"/>
    <col min="15094" max="15094" width="7.6640625" style="90" customWidth="1"/>
    <col min="15095" max="15096" width="12.6640625" style="90" customWidth="1"/>
    <col min="15097" max="15097" width="3.88671875" style="90" customWidth="1"/>
    <col min="15098" max="15347" width="9.109375" style="90"/>
    <col min="15348" max="15348" width="12.44140625" style="90" customWidth="1"/>
    <col min="15349" max="15349" width="50.6640625" style="90" customWidth="1"/>
    <col min="15350" max="15350" width="7.6640625" style="90" customWidth="1"/>
    <col min="15351" max="15352" width="12.6640625" style="90" customWidth="1"/>
    <col min="15353" max="15353" width="3.88671875" style="90" customWidth="1"/>
    <col min="15354" max="15603" width="9.109375" style="90"/>
    <col min="15604" max="15604" width="12.44140625" style="90" customWidth="1"/>
    <col min="15605" max="15605" width="50.6640625" style="90" customWidth="1"/>
    <col min="15606" max="15606" width="7.6640625" style="90" customWidth="1"/>
    <col min="15607" max="15608" width="12.6640625" style="90" customWidth="1"/>
    <col min="15609" max="15609" width="3.88671875" style="90" customWidth="1"/>
    <col min="15610" max="15859" width="9.109375" style="90"/>
    <col min="15860" max="15860" width="12.44140625" style="90" customWidth="1"/>
    <col min="15861" max="15861" width="50.6640625" style="90" customWidth="1"/>
    <col min="15862" max="15862" width="7.6640625" style="90" customWidth="1"/>
    <col min="15863" max="15864" width="12.6640625" style="90" customWidth="1"/>
    <col min="15865" max="15865" width="3.88671875" style="90" customWidth="1"/>
    <col min="15866" max="16115" width="9.109375" style="90"/>
    <col min="16116" max="16116" width="12.44140625" style="90" customWidth="1"/>
    <col min="16117" max="16117" width="50.6640625" style="90" customWidth="1"/>
    <col min="16118" max="16118" width="7.6640625" style="90" customWidth="1"/>
    <col min="16119" max="16120" width="12.6640625" style="90" customWidth="1"/>
    <col min="16121" max="16121" width="3.88671875" style="90" customWidth="1"/>
    <col min="16122" max="16384" width="9.109375" style="90"/>
  </cols>
  <sheetData>
    <row r="1" spans="1:12" ht="20.25" customHeight="1">
      <c r="A1" s="505" t="s">
        <v>87</v>
      </c>
      <c r="B1" s="507" t="s">
        <v>143</v>
      </c>
      <c r="C1" s="508"/>
      <c r="D1" s="508"/>
      <c r="E1" s="508"/>
      <c r="F1" s="508"/>
      <c r="G1" s="508"/>
      <c r="H1" s="508"/>
      <c r="I1" s="508"/>
      <c r="J1" s="508"/>
      <c r="K1" s="508"/>
    </row>
    <row r="2" spans="1:12" s="307" customFormat="1" ht="15" customHeight="1">
      <c r="A2" s="506"/>
      <c r="B2" s="350">
        <v>2022</v>
      </c>
      <c r="C2" s="350">
        <v>2023</v>
      </c>
      <c r="D2" s="350">
        <v>2024</v>
      </c>
      <c r="E2" s="196">
        <v>2025</v>
      </c>
      <c r="F2" s="196">
        <f t="shared" ref="F2:I2" si="0">+E2+1</f>
        <v>2026</v>
      </c>
      <c r="G2" s="196">
        <f t="shared" si="0"/>
        <v>2027</v>
      </c>
      <c r="H2" s="435">
        <f t="shared" si="0"/>
        <v>2028</v>
      </c>
      <c r="I2" s="196">
        <f t="shared" si="0"/>
        <v>2029</v>
      </c>
      <c r="J2" s="196">
        <f t="shared" ref="J2" si="1">+I2+1</f>
        <v>2030</v>
      </c>
      <c r="K2" s="196">
        <f t="shared" ref="K2" si="2">+J2+1</f>
        <v>2031</v>
      </c>
    </row>
    <row r="3" spans="1:12" ht="15" customHeight="1">
      <c r="A3" s="185" t="s">
        <v>3</v>
      </c>
      <c r="B3" s="351"/>
      <c r="C3" s="351"/>
      <c r="D3" s="351"/>
      <c r="E3" s="319"/>
      <c r="F3" s="319"/>
      <c r="G3" s="319"/>
      <c r="H3" s="436"/>
      <c r="I3" s="319"/>
      <c r="J3" s="319"/>
      <c r="K3" s="319"/>
    </row>
    <row r="4" spans="1:12" ht="15" customHeight="1">
      <c r="A4" s="185"/>
      <c r="B4" s="351"/>
      <c r="C4" s="351"/>
      <c r="D4" s="351"/>
      <c r="E4" s="320"/>
      <c r="F4" s="320"/>
      <c r="G4" s="320"/>
      <c r="H4" s="437"/>
      <c r="I4" s="320"/>
      <c r="J4" s="320"/>
      <c r="K4" s="320"/>
    </row>
    <row r="5" spans="1:12" ht="15" customHeight="1">
      <c r="A5" s="185" t="s">
        <v>105</v>
      </c>
      <c r="B5" s="351"/>
      <c r="C5" s="351"/>
      <c r="D5" s="351"/>
      <c r="E5" s="320"/>
      <c r="F5" s="320"/>
      <c r="G5" s="320"/>
      <c r="H5" s="437"/>
      <c r="I5" s="320"/>
      <c r="J5" s="320"/>
      <c r="K5" s="320"/>
    </row>
    <row r="6" spans="1:12" ht="15" customHeight="1">
      <c r="A6" s="186" t="s">
        <v>115</v>
      </c>
      <c r="B6" s="351"/>
      <c r="C6" s="352"/>
      <c r="D6" s="352">
        <v>1330054.7</v>
      </c>
      <c r="E6" s="242">
        <f>Amortizações!E6</f>
        <v>1162683.8837491723</v>
      </c>
      <c r="F6" s="242">
        <f>Amortizações!F6</f>
        <v>995313.07062375848</v>
      </c>
      <c r="G6" s="242">
        <f>Amortizações!G6*1.15</f>
        <v>952133.5961230963</v>
      </c>
      <c r="H6" s="438">
        <f>Amortizações!H6*1.3</f>
        <v>858742.87768481008</v>
      </c>
      <c r="I6" s="242">
        <f>Amortizações!I6*1.6</f>
        <v>789121.00999602722</v>
      </c>
      <c r="J6" s="242"/>
      <c r="K6" s="242"/>
      <c r="L6" s="90">
        <v>858742.87768480997</v>
      </c>
    </row>
    <row r="7" spans="1:12" ht="15" customHeight="1">
      <c r="A7" s="186" t="s">
        <v>222</v>
      </c>
      <c r="B7" s="351"/>
      <c r="C7" s="352"/>
      <c r="D7" s="352">
        <v>236590.85</v>
      </c>
      <c r="E7" s="242">
        <f>D7</f>
        <v>236590.85</v>
      </c>
      <c r="F7" s="242">
        <f t="shared" ref="F7:I7" si="3">E7</f>
        <v>236590.85</v>
      </c>
      <c r="G7" s="242">
        <f t="shared" si="3"/>
        <v>236590.85</v>
      </c>
      <c r="H7" s="438">
        <f t="shared" si="3"/>
        <v>236590.85</v>
      </c>
      <c r="I7" s="242">
        <f t="shared" si="3"/>
        <v>236590.85</v>
      </c>
      <c r="J7" s="242"/>
      <c r="K7" s="242"/>
      <c r="L7" s="90">
        <v>236590.85</v>
      </c>
    </row>
    <row r="8" spans="1:12" ht="15" customHeight="1">
      <c r="A8" s="186" t="s">
        <v>116</v>
      </c>
      <c r="B8" s="351"/>
      <c r="C8" s="352"/>
      <c r="D8" s="352">
        <v>670.71</v>
      </c>
      <c r="E8" s="242">
        <f>+Amortizações!E14</f>
        <v>0</v>
      </c>
      <c r="F8" s="242">
        <f>+Amortizações!F14</f>
        <v>37605</v>
      </c>
      <c r="G8" s="242">
        <f>+Amortizações!G14</f>
        <v>62675.000001253495</v>
      </c>
      <c r="H8" s="438">
        <f>+Amortizações!H14</f>
        <v>37605.000003760506</v>
      </c>
      <c r="I8" s="242">
        <f>+Amortizações!I14</f>
        <v>12535.000006267503</v>
      </c>
      <c r="J8" s="242"/>
      <c r="K8" s="242"/>
      <c r="L8" s="90">
        <v>37605.000003760499</v>
      </c>
    </row>
    <row r="9" spans="1:12" ht="15" customHeight="1">
      <c r="A9" s="186" t="s">
        <v>223</v>
      </c>
      <c r="B9" s="352"/>
      <c r="C9" s="352"/>
      <c r="D9" s="352">
        <v>102416.64</v>
      </c>
      <c r="E9" s="321">
        <f>D9</f>
        <v>102416.64</v>
      </c>
      <c r="F9" s="321">
        <f t="shared" ref="F9:I9" si="4">E9</f>
        <v>102416.64</v>
      </c>
      <c r="G9" s="321">
        <f t="shared" si="4"/>
        <v>102416.64</v>
      </c>
      <c r="H9" s="439">
        <f t="shared" si="4"/>
        <v>102416.64</v>
      </c>
      <c r="I9" s="321">
        <f t="shared" si="4"/>
        <v>102416.64</v>
      </c>
      <c r="J9" s="321"/>
      <c r="K9" s="321"/>
      <c r="L9" s="90">
        <v>102416.64</v>
      </c>
    </row>
    <row r="10" spans="1:12" ht="15" customHeight="1">
      <c r="A10" s="186" t="s">
        <v>173</v>
      </c>
      <c r="B10" s="385"/>
      <c r="C10" s="385"/>
      <c r="D10" s="385"/>
      <c r="E10" s="321"/>
      <c r="F10" s="321"/>
      <c r="G10" s="321"/>
      <c r="H10" s="439"/>
      <c r="I10" s="321"/>
      <c r="J10" s="321"/>
      <c r="K10" s="321"/>
    </row>
    <row r="11" spans="1:12" ht="15" customHeight="1">
      <c r="A11" s="187"/>
      <c r="B11" s="353">
        <f>SUM(B6:B9)</f>
        <v>0</v>
      </c>
      <c r="C11" s="353"/>
      <c r="D11" s="353">
        <f>SUM(D6:D10)</f>
        <v>1669732.9</v>
      </c>
      <c r="E11" s="322">
        <f>SUM(E6:E10)</f>
        <v>1501691.3737491723</v>
      </c>
      <c r="F11" s="322">
        <f t="shared" ref="F11:I11" si="5">SUM(F6:F10)</f>
        <v>1371925.5606237585</v>
      </c>
      <c r="G11" s="322">
        <f t="shared" si="5"/>
        <v>1353816.0861243499</v>
      </c>
      <c r="H11" s="440">
        <f t="shared" si="5"/>
        <v>1235355.3676885704</v>
      </c>
      <c r="I11" s="322">
        <f t="shared" si="5"/>
        <v>1140663.5000022945</v>
      </c>
      <c r="J11" s="322"/>
      <c r="K11" s="322"/>
      <c r="L11" s="90">
        <v>1235355.3676885704</v>
      </c>
    </row>
    <row r="12" spans="1:12" ht="15" customHeight="1">
      <c r="A12" s="186"/>
      <c r="B12" s="351"/>
      <c r="C12" s="351"/>
      <c r="D12" s="354"/>
      <c r="E12" s="319"/>
      <c r="F12" s="319"/>
      <c r="G12" s="319"/>
      <c r="H12" s="436"/>
      <c r="I12" s="319"/>
      <c r="J12" s="319"/>
      <c r="K12" s="319"/>
    </row>
    <row r="13" spans="1:12" ht="15" customHeight="1">
      <c r="A13" s="185" t="s">
        <v>106</v>
      </c>
      <c r="B13" s="351"/>
      <c r="C13" s="351"/>
      <c r="D13" s="352"/>
      <c r="E13" s="320"/>
      <c r="F13" s="320"/>
      <c r="G13" s="320"/>
      <c r="H13" s="437"/>
      <c r="I13" s="320"/>
      <c r="J13" s="320"/>
      <c r="K13" s="320"/>
    </row>
    <row r="14" spans="1:12" ht="15" customHeight="1">
      <c r="A14" s="186" t="s">
        <v>117</v>
      </c>
      <c r="B14" s="352"/>
      <c r="C14" s="352"/>
      <c r="D14" s="352">
        <v>248036.51</v>
      </c>
      <c r="E14" s="398">
        <f>+'Capital Circulante'!B4</f>
        <v>269837.12855555554</v>
      </c>
      <c r="F14" s="398">
        <f>+'Capital Circulante'!C4</f>
        <v>275229.02885799995</v>
      </c>
      <c r="G14" s="398">
        <f>+'Capital Circulante'!D4</f>
        <v>287751.94967103895</v>
      </c>
      <c r="H14" s="441">
        <f>+'Capital Circulante'!E4</f>
        <v>294938.73007257906</v>
      </c>
      <c r="I14" s="398">
        <f>+'Capital Circulante'!F4</f>
        <v>300551.68180209782</v>
      </c>
      <c r="J14" s="398"/>
      <c r="K14" s="398"/>
      <c r="L14" s="90">
        <v>294938.730072579</v>
      </c>
    </row>
    <row r="15" spans="1:12" ht="15" customHeight="1">
      <c r="A15" s="186" t="s">
        <v>1</v>
      </c>
      <c r="B15" s="352"/>
      <c r="C15" s="352"/>
      <c r="D15" s="352">
        <v>1498877.86</v>
      </c>
      <c r="E15" s="242">
        <f>+'Capital Circulante'!B3</f>
        <v>1650350.9555555554</v>
      </c>
      <c r="F15" s="325">
        <f>+'Capital Circulante'!C3</f>
        <v>1683357.9746666665</v>
      </c>
      <c r="G15" s="242">
        <f>+'Capital Circulante'!D3</f>
        <v>1759950.7625139996</v>
      </c>
      <c r="H15" s="438">
        <f>+'Capital Circulante'!E3</f>
        <v>1803906.6059484959</v>
      </c>
      <c r="I15" s="242">
        <f>+'Capital Circulante'!F3</f>
        <v>1866780.6323111667</v>
      </c>
      <c r="J15" s="242"/>
      <c r="K15" s="242"/>
      <c r="L15" s="90">
        <v>1803906.6059485001</v>
      </c>
    </row>
    <row r="16" spans="1:12" ht="15" customHeight="1">
      <c r="A16" s="186" t="s">
        <v>164</v>
      </c>
      <c r="B16" s="352"/>
      <c r="C16" s="352"/>
      <c r="D16" s="352">
        <v>653.83000000000004</v>
      </c>
      <c r="E16" s="242"/>
      <c r="F16" s="242"/>
      <c r="G16" s="242"/>
      <c r="H16" s="438"/>
      <c r="I16" s="242"/>
      <c r="J16" s="242"/>
      <c r="K16" s="242"/>
    </row>
    <row r="17" spans="1:12" ht="15" customHeight="1">
      <c r="A17" s="186" t="s">
        <v>224</v>
      </c>
      <c r="B17" s="352"/>
      <c r="C17" s="352"/>
      <c r="D17" s="352">
        <v>393681.53</v>
      </c>
      <c r="E17" s="242">
        <f>D17*1.04</f>
        <v>409428.79120000004</v>
      </c>
      <c r="F17" s="242">
        <f t="shared" ref="F17:F19" si="6">E17*1.03</f>
        <v>421711.65493600006</v>
      </c>
      <c r="G17" s="242">
        <f>F17*1.02</f>
        <v>430145.88803472009</v>
      </c>
      <c r="H17" s="438">
        <f t="shared" ref="H17:I19" si="7">G17*1.02</f>
        <v>438748.80579541449</v>
      </c>
      <c r="I17" s="242">
        <f t="shared" si="7"/>
        <v>447523.78191132279</v>
      </c>
      <c r="J17" s="242"/>
      <c r="K17" s="242"/>
      <c r="L17" s="90">
        <v>438748.80579541402</v>
      </c>
    </row>
    <row r="18" spans="1:12" ht="15" customHeight="1">
      <c r="A18" s="186" t="s">
        <v>165</v>
      </c>
      <c r="B18" s="352"/>
      <c r="C18" s="352"/>
      <c r="D18" s="352">
        <v>463434.78</v>
      </c>
      <c r="E18" s="242">
        <f>D18</f>
        <v>463434.78</v>
      </c>
      <c r="F18" s="242">
        <f t="shared" ref="F18:I18" si="8">E18</f>
        <v>463434.78</v>
      </c>
      <c r="G18" s="242">
        <f t="shared" si="8"/>
        <v>463434.78</v>
      </c>
      <c r="H18" s="438">
        <f t="shared" si="8"/>
        <v>463434.78</v>
      </c>
      <c r="I18" s="242">
        <f t="shared" si="8"/>
        <v>463434.78</v>
      </c>
      <c r="J18" s="242"/>
      <c r="K18" s="242"/>
      <c r="L18" s="90">
        <v>463434.78</v>
      </c>
    </row>
    <row r="19" spans="1:12" ht="15" customHeight="1">
      <c r="A19" s="186" t="s">
        <v>119</v>
      </c>
      <c r="B19" s="352"/>
      <c r="C19" s="352"/>
      <c r="D19" s="352">
        <v>34872.57</v>
      </c>
      <c r="E19" s="242">
        <f>D19*1.04</f>
        <v>36267.472800000003</v>
      </c>
      <c r="F19" s="242">
        <f t="shared" si="6"/>
        <v>37355.496984000005</v>
      </c>
      <c r="G19" s="242">
        <f>F19*1.02</f>
        <v>38102.606923680003</v>
      </c>
      <c r="H19" s="438">
        <f t="shared" si="7"/>
        <v>38864.659062153602</v>
      </c>
      <c r="I19" s="242">
        <f t="shared" si="7"/>
        <v>39641.952243396678</v>
      </c>
      <c r="J19" s="242"/>
      <c r="K19" s="242"/>
      <c r="L19" s="90">
        <v>38864.659062153602</v>
      </c>
    </row>
    <row r="20" spans="1:12" ht="15" customHeight="1">
      <c r="A20" s="186" t="s">
        <v>120</v>
      </c>
      <c r="B20" s="352"/>
      <c r="C20" s="352"/>
      <c r="D20" s="352">
        <v>163427.96</v>
      </c>
      <c r="E20" s="242">
        <f>+'Plano Financeiro '!B18-669876.8</f>
        <v>246302.21301552211</v>
      </c>
      <c r="F20" s="242">
        <f>+'Plano Financeiro '!C18-730211.75</f>
        <v>591792.28623041324</v>
      </c>
      <c r="G20" s="242">
        <f>+'Plano Financeiro '!D18-884325.49</f>
        <v>824425.73254357395</v>
      </c>
      <c r="H20" s="438">
        <f>+'Plano Financeiro '!E18-896757.68</f>
        <v>1407459.0380878407</v>
      </c>
      <c r="I20" s="242">
        <f>+'Plano Financeiro '!F18-1033047.57</f>
        <v>1739323.3742389577</v>
      </c>
      <c r="J20" s="242"/>
      <c r="K20" s="242"/>
      <c r="L20" s="90">
        <v>1407459.03808784</v>
      </c>
    </row>
    <row r="21" spans="1:12" ht="15" customHeight="1">
      <c r="A21" s="187"/>
      <c r="B21" s="353">
        <f t="shared" ref="B21:I21" si="9">SUM(B14:B20)</f>
        <v>0</v>
      </c>
      <c r="C21" s="353"/>
      <c r="D21" s="353">
        <f>SUM(D14:D20)</f>
        <v>2802985.0400000005</v>
      </c>
      <c r="E21" s="322">
        <f t="shared" si="9"/>
        <v>3075621.3411266338</v>
      </c>
      <c r="F21" s="322">
        <f t="shared" si="9"/>
        <v>3472881.2216750798</v>
      </c>
      <c r="G21" s="322">
        <f t="shared" si="9"/>
        <v>3803811.719687012</v>
      </c>
      <c r="H21" s="440">
        <f t="shared" si="9"/>
        <v>4447352.6189664844</v>
      </c>
      <c r="I21" s="322">
        <f t="shared" si="9"/>
        <v>4857256.2025069408</v>
      </c>
      <c r="J21" s="322"/>
      <c r="K21" s="322"/>
      <c r="L21" s="90">
        <v>4447352.6189664844</v>
      </c>
    </row>
    <row r="22" spans="1:12" ht="15" customHeight="1">
      <c r="A22" s="186"/>
      <c r="B22" s="351"/>
      <c r="C22" s="351"/>
      <c r="D22" s="351"/>
      <c r="E22" s="320"/>
      <c r="F22" s="320"/>
      <c r="G22" s="320"/>
      <c r="H22" s="437"/>
      <c r="I22" s="320"/>
      <c r="J22" s="320"/>
      <c r="K22" s="320"/>
    </row>
    <row r="23" spans="1:12" ht="15" customHeight="1">
      <c r="A23" s="185" t="s">
        <v>2</v>
      </c>
      <c r="B23" s="355">
        <f t="shared" ref="B23:I23" si="10">+B11+B21</f>
        <v>0</v>
      </c>
      <c r="C23" s="355"/>
      <c r="D23" s="355">
        <f t="shared" si="10"/>
        <v>4472717.9400000004</v>
      </c>
      <c r="E23" s="323">
        <f t="shared" si="10"/>
        <v>4577312.7148758061</v>
      </c>
      <c r="F23" s="323">
        <f t="shared" si="10"/>
        <v>4844806.7822988387</v>
      </c>
      <c r="G23" s="323">
        <f t="shared" si="10"/>
        <v>5157627.8058113623</v>
      </c>
      <c r="H23" s="442">
        <f t="shared" si="10"/>
        <v>5682707.9866550546</v>
      </c>
      <c r="I23" s="323">
        <f t="shared" si="10"/>
        <v>5997919.7025092356</v>
      </c>
      <c r="J23" s="323"/>
      <c r="K23" s="323"/>
      <c r="L23" s="90">
        <v>5682707.9866550546</v>
      </c>
    </row>
    <row r="24" spans="1:12" ht="15" customHeight="1">
      <c r="A24" s="187"/>
      <c r="B24" s="356"/>
      <c r="C24" s="356"/>
      <c r="D24" s="356"/>
      <c r="E24" s="324"/>
      <c r="F24" s="324"/>
      <c r="G24" s="324"/>
      <c r="H24" s="443"/>
      <c r="I24" s="324"/>
      <c r="J24" s="324"/>
      <c r="K24" s="324"/>
    </row>
    <row r="25" spans="1:12" ht="15" customHeight="1">
      <c r="A25" s="186"/>
      <c r="B25" s="351"/>
      <c r="C25" s="351"/>
      <c r="D25" s="351"/>
      <c r="E25" s="319"/>
      <c r="F25" s="319"/>
      <c r="G25" s="319"/>
      <c r="H25" s="436"/>
      <c r="I25" s="319"/>
      <c r="J25" s="319"/>
      <c r="K25" s="319"/>
    </row>
    <row r="26" spans="1:12" ht="15" customHeight="1">
      <c r="A26" s="185" t="s">
        <v>107</v>
      </c>
      <c r="B26" s="351"/>
      <c r="C26" s="351"/>
      <c r="D26" s="351"/>
      <c r="E26" s="325"/>
      <c r="F26" s="320"/>
      <c r="G26" s="320"/>
      <c r="H26" s="437"/>
      <c r="I26" s="320"/>
      <c r="J26" s="320"/>
      <c r="K26" s="320"/>
    </row>
    <row r="27" spans="1:12" ht="15" customHeight="1">
      <c r="A27" s="186"/>
      <c r="B27" s="351"/>
      <c r="C27" s="351"/>
      <c r="D27" s="351"/>
      <c r="E27" s="320"/>
      <c r="F27" s="320"/>
      <c r="G27" s="320"/>
      <c r="H27" s="437"/>
      <c r="I27" s="320"/>
      <c r="J27" s="320"/>
      <c r="K27" s="320"/>
    </row>
    <row r="28" spans="1:12" ht="15" customHeight="1">
      <c r="A28" s="185" t="s">
        <v>108</v>
      </c>
      <c r="B28" s="351"/>
      <c r="C28" s="351"/>
      <c r="D28" s="351"/>
      <c r="E28" s="320"/>
      <c r="F28" s="320"/>
      <c r="G28" s="320"/>
      <c r="H28" s="437"/>
      <c r="I28" s="320"/>
      <c r="J28" s="320"/>
      <c r="K28" s="320"/>
    </row>
    <row r="29" spans="1:12" ht="15" customHeight="1">
      <c r="A29" s="186" t="s">
        <v>121</v>
      </c>
      <c r="B29" s="352"/>
      <c r="C29" s="352"/>
      <c r="D29" s="352">
        <v>50000</v>
      </c>
      <c r="E29" s="242">
        <f>D29</f>
        <v>50000</v>
      </c>
      <c r="F29" s="242">
        <f t="shared" ref="F29:I29" si="11">E29</f>
        <v>50000</v>
      </c>
      <c r="G29" s="242">
        <f t="shared" si="11"/>
        <v>50000</v>
      </c>
      <c r="H29" s="438">
        <f t="shared" si="11"/>
        <v>50000</v>
      </c>
      <c r="I29" s="242">
        <f t="shared" si="11"/>
        <v>50000</v>
      </c>
      <c r="J29" s="242"/>
      <c r="K29" s="242"/>
      <c r="L29" s="90">
        <v>50000</v>
      </c>
    </row>
    <row r="30" spans="1:12" ht="15" customHeight="1">
      <c r="A30" s="186" t="s">
        <v>122</v>
      </c>
      <c r="B30" s="352"/>
      <c r="C30" s="351"/>
      <c r="D30" s="351"/>
      <c r="E30" s="320"/>
      <c r="F30" s="320"/>
      <c r="G30" s="320"/>
      <c r="H30" s="437"/>
      <c r="I30" s="320"/>
      <c r="J30" s="320"/>
      <c r="K30" s="320"/>
    </row>
    <row r="31" spans="1:12" ht="15" customHeight="1">
      <c r="A31" s="186" t="s">
        <v>123</v>
      </c>
      <c r="B31" s="352"/>
      <c r="C31" s="352"/>
      <c r="D31" s="351"/>
      <c r="E31" s="242"/>
      <c r="F31" s="242">
        <f>+'MAPA INVESTIMENTOS'!B19</f>
        <v>18713.5</v>
      </c>
      <c r="G31" s="242">
        <f>+F31+'MAPA INVESTIMENTOS'!C19</f>
        <v>37427</v>
      </c>
      <c r="H31" s="438">
        <f t="shared" ref="H31:I31" si="12">+G31</f>
        <v>37427</v>
      </c>
      <c r="I31" s="242">
        <f t="shared" si="12"/>
        <v>37427</v>
      </c>
      <c r="J31" s="242"/>
      <c r="K31" s="242"/>
      <c r="L31" s="90">
        <v>37427</v>
      </c>
    </row>
    <row r="32" spans="1:12" ht="15" customHeight="1">
      <c r="A32" s="186" t="s">
        <v>124</v>
      </c>
      <c r="B32" s="352"/>
      <c r="C32" s="352"/>
      <c r="D32" s="352">
        <v>15832.13</v>
      </c>
      <c r="E32" s="242">
        <v>1000</v>
      </c>
      <c r="F32" s="242">
        <v>1000</v>
      </c>
      <c r="G32" s="242">
        <v>1000</v>
      </c>
      <c r="H32" s="438">
        <v>1000</v>
      </c>
      <c r="I32" s="242">
        <v>1000</v>
      </c>
      <c r="J32" s="242"/>
      <c r="K32" s="242"/>
      <c r="L32" s="90">
        <v>1000</v>
      </c>
    </row>
    <row r="33" spans="1:12" ht="15" customHeight="1">
      <c r="A33" s="186" t="s">
        <v>125</v>
      </c>
      <c r="B33" s="352"/>
      <c r="C33" s="352"/>
      <c r="D33" s="352">
        <v>80000</v>
      </c>
      <c r="E33" s="242"/>
      <c r="F33" s="242"/>
      <c r="G33" s="242"/>
      <c r="H33" s="438"/>
      <c r="I33" s="242"/>
      <c r="J33" s="242"/>
      <c r="K33" s="242"/>
    </row>
    <row r="34" spans="1:12" ht="15" customHeight="1">
      <c r="A34" s="186" t="s">
        <v>126</v>
      </c>
      <c r="B34" s="352"/>
      <c r="C34" s="357"/>
      <c r="D34" s="352">
        <v>931579.86</v>
      </c>
      <c r="E34" s="242">
        <f t="shared" ref="E34:I34" si="13">+D34+D37</f>
        <v>1003072.5264545833</v>
      </c>
      <c r="F34" s="242">
        <f t="shared" si="13"/>
        <v>1221210.8083724699</v>
      </c>
      <c r="G34" s="242">
        <f t="shared" si="13"/>
        <v>1490413.7808194142</v>
      </c>
      <c r="H34" s="438">
        <f t="shared" si="13"/>
        <v>1749417.6726653243</v>
      </c>
      <c r="I34" s="242">
        <f t="shared" si="13"/>
        <v>2218548.6353047872</v>
      </c>
      <c r="J34" s="242"/>
      <c r="K34" s="242"/>
      <c r="L34" s="90">
        <v>1749417.6726653201</v>
      </c>
    </row>
    <row r="35" spans="1:12" ht="15" customHeight="1">
      <c r="A35" s="186" t="s">
        <v>225</v>
      </c>
      <c r="B35" s="351"/>
      <c r="C35" s="351"/>
      <c r="D35" s="352">
        <v>47991.79</v>
      </c>
      <c r="E35" s="242">
        <f>D35</f>
        <v>47991.79</v>
      </c>
      <c r="F35" s="242">
        <f t="shared" ref="F35:I35" si="14">E35</f>
        <v>47991.79</v>
      </c>
      <c r="G35" s="242">
        <f t="shared" si="14"/>
        <v>47991.79</v>
      </c>
      <c r="H35" s="438">
        <f t="shared" si="14"/>
        <v>47991.79</v>
      </c>
      <c r="I35" s="242">
        <f t="shared" si="14"/>
        <v>47991.79</v>
      </c>
      <c r="J35" s="320"/>
      <c r="K35" s="320"/>
      <c r="L35" s="90">
        <v>47991.79</v>
      </c>
    </row>
    <row r="36" spans="1:12" ht="15" customHeight="1">
      <c r="A36" s="186"/>
      <c r="B36" s="351"/>
      <c r="C36" s="351"/>
      <c r="D36" s="352"/>
      <c r="E36" s="242"/>
      <c r="F36" s="242"/>
      <c r="G36" s="242"/>
      <c r="H36" s="438"/>
      <c r="I36" s="242"/>
      <c r="J36" s="242"/>
      <c r="K36" s="242"/>
    </row>
    <row r="37" spans="1:12" ht="15" customHeight="1">
      <c r="A37" s="186" t="s">
        <v>91</v>
      </c>
      <c r="B37" s="358">
        <v>0</v>
      </c>
      <c r="C37" s="358"/>
      <c r="D37" s="352">
        <f>+'DR SNC'!E32</f>
        <v>71492.666454583319</v>
      </c>
      <c r="E37" s="242">
        <f>+'DR SNC'!F32</f>
        <v>218138.28191788652</v>
      </c>
      <c r="F37" s="242">
        <f>+'DR SNC'!G32</f>
        <v>269202.97244694422</v>
      </c>
      <c r="G37" s="242">
        <f>+'DR SNC'!H32</f>
        <v>259003.89184591011</v>
      </c>
      <c r="H37" s="438">
        <f>+'DR SNC'!I32</f>
        <v>469130.9626394629</v>
      </c>
      <c r="I37" s="242">
        <f>+'DR SNC'!J32</f>
        <v>353369.00755087018</v>
      </c>
      <c r="J37" s="242"/>
      <c r="K37" s="242"/>
      <c r="L37" s="90">
        <v>469130.96263946302</v>
      </c>
    </row>
    <row r="38" spans="1:12" ht="15" customHeight="1">
      <c r="A38" s="186" t="s">
        <v>127</v>
      </c>
      <c r="B38" s="351"/>
      <c r="C38" s="351"/>
      <c r="D38" s="352"/>
      <c r="E38" s="320"/>
      <c r="F38" s="320"/>
      <c r="G38" s="320"/>
      <c r="H38" s="437"/>
      <c r="I38" s="320"/>
      <c r="J38" s="320"/>
      <c r="K38" s="320"/>
    </row>
    <row r="39" spans="1:12" ht="15" customHeight="1">
      <c r="A39" s="186"/>
      <c r="B39" s="351"/>
      <c r="C39" s="351"/>
      <c r="D39" s="352"/>
      <c r="E39" s="320"/>
      <c r="F39" s="320"/>
      <c r="G39" s="320"/>
      <c r="H39" s="437"/>
      <c r="I39" s="320"/>
      <c r="J39" s="320"/>
      <c r="K39" s="320"/>
    </row>
    <row r="40" spans="1:12" ht="15" customHeight="1">
      <c r="A40" s="188" t="s">
        <v>109</v>
      </c>
      <c r="B40" s="359">
        <f t="shared" ref="B40" si="15">SUM(B29:B39)</f>
        <v>0</v>
      </c>
      <c r="C40" s="359"/>
      <c r="D40" s="359">
        <f>SUM(D29:D38)</f>
        <v>1196896.4464545834</v>
      </c>
      <c r="E40" s="326">
        <f>SUM(E29:E39)</f>
        <v>1320202.5983724699</v>
      </c>
      <c r="F40" s="326">
        <f>SUM(F29:F39)</f>
        <v>1608119.0708194142</v>
      </c>
      <c r="G40" s="326">
        <f>SUM(G28:G39)</f>
        <v>1885836.4626653243</v>
      </c>
      <c r="H40" s="444">
        <f>SUM(H28:H39)</f>
        <v>2354967.4253047872</v>
      </c>
      <c r="I40" s="326">
        <f>SUM(I28:I39)</f>
        <v>2708336.4328556573</v>
      </c>
      <c r="J40" s="326"/>
      <c r="K40" s="326"/>
      <c r="L40" s="90">
        <v>2354967.4253047872</v>
      </c>
    </row>
    <row r="41" spans="1:12" ht="15" customHeight="1">
      <c r="A41" s="186"/>
      <c r="B41" s="351"/>
      <c r="C41" s="351"/>
      <c r="D41" s="351"/>
      <c r="E41" s="319"/>
      <c r="F41" s="319"/>
      <c r="G41" s="319"/>
      <c r="H41" s="436"/>
      <c r="I41" s="319"/>
      <c r="J41" s="319"/>
      <c r="K41" s="319"/>
    </row>
    <row r="42" spans="1:12" ht="15" customHeight="1">
      <c r="A42" s="185" t="s">
        <v>110</v>
      </c>
      <c r="B42" s="351"/>
      <c r="C42" s="351"/>
      <c r="D42" s="351"/>
      <c r="E42" s="320"/>
      <c r="F42" s="320"/>
      <c r="G42" s="320"/>
      <c r="H42" s="437"/>
      <c r="I42" s="320"/>
      <c r="J42" s="320"/>
      <c r="K42" s="320"/>
    </row>
    <row r="43" spans="1:12" ht="15" customHeight="1">
      <c r="A43" s="186"/>
      <c r="B43" s="351"/>
      <c r="C43" s="351"/>
      <c r="D43" s="351"/>
      <c r="E43" s="320"/>
      <c r="F43" s="320"/>
      <c r="G43" s="320"/>
      <c r="H43" s="437"/>
      <c r="I43" s="320"/>
      <c r="J43" s="320"/>
      <c r="K43" s="320"/>
    </row>
    <row r="44" spans="1:12" ht="15" customHeight="1">
      <c r="A44" s="185" t="s">
        <v>111</v>
      </c>
      <c r="B44" s="351"/>
      <c r="C44" s="351"/>
      <c r="D44" s="351"/>
      <c r="E44" s="320"/>
      <c r="F44" s="320"/>
      <c r="G44" s="320"/>
      <c r="H44" s="437"/>
      <c r="I44" s="320"/>
      <c r="J44" s="320"/>
      <c r="K44" s="320"/>
    </row>
    <row r="45" spans="1:12" ht="15" customHeight="1">
      <c r="A45" s="186" t="s">
        <v>128</v>
      </c>
      <c r="B45" s="351"/>
      <c r="C45" s="351"/>
      <c r="D45" s="433">
        <v>299677.05</v>
      </c>
      <c r="E45" s="242">
        <f>'Serviço da Divida Emp. Bancario'!D18</f>
        <v>262217.41875000001</v>
      </c>
      <c r="F45" s="242">
        <f>'Serviço da Divida Emp. Bancario'!E18</f>
        <v>224757.78750000001</v>
      </c>
      <c r="G45" s="242">
        <f>'Serviço da Divida Emp. Bancario'!F18</f>
        <v>187298.15625</v>
      </c>
      <c r="H45" s="438">
        <f>'Serviço da Divida Emp. Bancario'!G18</f>
        <v>149838.52499999999</v>
      </c>
      <c r="I45" s="242">
        <f>'Serviço da Divida Emp. Bancario'!H18</f>
        <v>112378.89374999999</v>
      </c>
      <c r="J45" s="242"/>
      <c r="K45" s="242"/>
      <c r="L45" s="90">
        <v>149838.52499999999</v>
      </c>
    </row>
    <row r="46" spans="1:12" ht="15" customHeight="1">
      <c r="A46" s="186" t="s">
        <v>129</v>
      </c>
      <c r="B46" s="351"/>
      <c r="C46" s="351"/>
      <c r="D46" s="351"/>
      <c r="E46" s="320"/>
      <c r="F46" s="320"/>
      <c r="G46" s="320"/>
      <c r="H46" s="437"/>
      <c r="I46" s="320"/>
      <c r="J46" s="320"/>
      <c r="K46" s="320"/>
    </row>
    <row r="47" spans="1:12" ht="15" customHeight="1">
      <c r="A47" s="186"/>
      <c r="B47" s="351"/>
      <c r="C47" s="351"/>
      <c r="D47" s="351"/>
      <c r="E47" s="320"/>
      <c r="F47" s="320"/>
      <c r="G47" s="320"/>
      <c r="H47" s="437"/>
      <c r="I47" s="320"/>
      <c r="J47" s="320"/>
      <c r="K47" s="320"/>
    </row>
    <row r="48" spans="1:12" ht="15" customHeight="1">
      <c r="A48" s="187"/>
      <c r="B48" s="359">
        <f t="shared" ref="B48:D48" si="16">SUM(B45:B47)</f>
        <v>0</v>
      </c>
      <c r="C48" s="359"/>
      <c r="D48" s="359">
        <f t="shared" si="16"/>
        <v>299677.05</v>
      </c>
      <c r="E48" s="326">
        <f>SUM(E45:E47)</f>
        <v>262217.41875000001</v>
      </c>
      <c r="F48" s="326">
        <f>SUM(F45:F47)</f>
        <v>224757.78750000001</v>
      </c>
      <c r="G48" s="326">
        <f>SUM(G45:G47)</f>
        <v>187298.15625</v>
      </c>
      <c r="H48" s="444">
        <f>SUM(H45:H47)</f>
        <v>149838.52499999999</v>
      </c>
      <c r="I48" s="326">
        <f>SUM(I45:I47)</f>
        <v>112378.89374999999</v>
      </c>
      <c r="J48" s="326"/>
      <c r="K48" s="326"/>
      <c r="L48" s="90">
        <v>149838.52499999999</v>
      </c>
    </row>
    <row r="49" spans="1:12" ht="15" customHeight="1">
      <c r="A49" s="185" t="s">
        <v>112</v>
      </c>
      <c r="B49" s="352"/>
      <c r="C49" s="352"/>
      <c r="D49" s="352"/>
      <c r="E49" s="319"/>
      <c r="F49" s="319"/>
      <c r="G49" s="319"/>
      <c r="H49" s="436"/>
      <c r="I49" s="319"/>
      <c r="J49" s="319"/>
      <c r="K49" s="319"/>
    </row>
    <row r="50" spans="1:12" ht="15" customHeight="1">
      <c r="A50" s="186" t="s">
        <v>4</v>
      </c>
      <c r="B50" s="352"/>
      <c r="C50" s="352"/>
      <c r="D50" s="352">
        <v>2289504</v>
      </c>
      <c r="E50" s="242">
        <f>+'Capital Circulante'!B6</f>
        <v>2312889.6733333329</v>
      </c>
      <c r="F50" s="242">
        <f>+'Capital Circulante'!C6</f>
        <v>2359105.9616399999</v>
      </c>
      <c r="G50" s="242">
        <f>+'Capital Circulante'!D6</f>
        <v>2466445.2828946193</v>
      </c>
      <c r="H50" s="438">
        <f>+'Capital Circulante'!E6</f>
        <v>2528046.2577649634</v>
      </c>
      <c r="I50" s="242">
        <f>+'Capital Circulante'!F6</f>
        <v>2576157.2725894102</v>
      </c>
      <c r="J50" s="242"/>
      <c r="K50" s="242"/>
      <c r="L50" s="90">
        <v>2528046.2577649602</v>
      </c>
    </row>
    <row r="51" spans="1:12" ht="15" customHeight="1">
      <c r="A51" s="186" t="s">
        <v>167</v>
      </c>
      <c r="B51" s="352"/>
      <c r="C51" s="352"/>
      <c r="D51" s="352"/>
      <c r="E51" s="242"/>
      <c r="F51" s="242"/>
      <c r="G51" s="242"/>
      <c r="H51" s="242"/>
      <c r="I51" s="242"/>
      <c r="J51" s="242"/>
      <c r="K51" s="242"/>
    </row>
    <row r="52" spans="1:12" ht="15" customHeight="1">
      <c r="A52" s="186" t="s">
        <v>118</v>
      </c>
      <c r="B52" s="352"/>
      <c r="C52" s="352"/>
      <c r="D52" s="352">
        <v>53155.67</v>
      </c>
      <c r="E52" s="242">
        <f>'63_G. Pess.'!$E$11-'DR SNC'!F30-'DR SNC'!F31</f>
        <v>57518.927788298941</v>
      </c>
      <c r="F52" s="242">
        <f>'63_G. Pess.'!$E$11-'DR SNC'!G30-'DR SNC'!G31</f>
        <v>71093.086030200357</v>
      </c>
      <c r="G52" s="242">
        <f>'63_G. Pess.'!$E$11-'DR SNC'!H30-'DR SNC'!H31</f>
        <v>68381.93802233052</v>
      </c>
      <c r="H52" s="242">
        <f>'63_G. Pess.'!$E$11-'DR SNC'!I30-'DR SNC'!I31</f>
        <v>124238.50114466736</v>
      </c>
      <c r="I52" s="242">
        <f>'63_G. Pess.'!$E$11-'DR SNC'!J30-'DR SNC'!J31</f>
        <v>93466.335867952817</v>
      </c>
      <c r="J52" s="242"/>
      <c r="K52" s="242"/>
      <c r="L52" s="90">
        <v>124238.501144667</v>
      </c>
    </row>
    <row r="53" spans="1:12" ht="15" customHeight="1">
      <c r="A53" s="186" t="s">
        <v>128</v>
      </c>
      <c r="B53" s="352"/>
      <c r="C53" s="352"/>
      <c r="D53" s="352">
        <v>180013.54</v>
      </c>
      <c r="E53" s="242">
        <f>D53*0.95</f>
        <v>171012.86300000001</v>
      </c>
      <c r="F53" s="242">
        <f>E53*0.75</f>
        <v>128259.64725000001</v>
      </c>
      <c r="G53" s="242">
        <f>F53*0.75</f>
        <v>96194.7354375</v>
      </c>
      <c r="H53" s="242">
        <f>G53*0.75</f>
        <v>72146.051578125</v>
      </c>
      <c r="I53" s="242">
        <f>H53*0.75</f>
        <v>54109.538683593753</v>
      </c>
      <c r="J53" s="242"/>
      <c r="K53" s="242"/>
      <c r="L53" s="90">
        <v>72146.051578125</v>
      </c>
    </row>
    <row r="54" spans="1:12" ht="15" customHeight="1">
      <c r="A54" s="186" t="s">
        <v>129</v>
      </c>
      <c r="B54" s="352"/>
      <c r="C54" s="352"/>
      <c r="D54" s="352">
        <v>453471.23</v>
      </c>
      <c r="E54" s="242">
        <f>D54</f>
        <v>453471.23</v>
      </c>
      <c r="F54" s="242">
        <f t="shared" ref="F54:I54" si="17">E54</f>
        <v>453471.23</v>
      </c>
      <c r="G54" s="242">
        <f t="shared" si="17"/>
        <v>453471.23</v>
      </c>
      <c r="H54" s="242">
        <f t="shared" si="17"/>
        <v>453471.23</v>
      </c>
      <c r="I54" s="242">
        <f t="shared" si="17"/>
        <v>453471.23</v>
      </c>
      <c r="J54" s="320"/>
      <c r="K54" s="320"/>
      <c r="L54" s="90">
        <v>453471.23</v>
      </c>
    </row>
    <row r="55" spans="1:12" ht="15" customHeight="1">
      <c r="A55" s="186" t="s">
        <v>119</v>
      </c>
      <c r="B55" s="352"/>
      <c r="C55" s="352"/>
      <c r="D55" s="351"/>
      <c r="E55" s="320"/>
      <c r="F55" s="320"/>
      <c r="G55" s="320"/>
      <c r="H55" s="320"/>
      <c r="I55" s="320"/>
      <c r="J55" s="320"/>
      <c r="K55" s="320"/>
    </row>
    <row r="56" spans="1:12" ht="15" customHeight="1">
      <c r="A56" s="187"/>
      <c r="B56" s="359">
        <f t="shared" ref="B56:D56" si="18">SUM(B50:B55)</f>
        <v>0</v>
      </c>
      <c r="C56" s="359"/>
      <c r="D56" s="359">
        <f t="shared" si="18"/>
        <v>2976144.44</v>
      </c>
      <c r="E56" s="326">
        <f>SUM(E50:E55)</f>
        <v>2994892.6941216318</v>
      </c>
      <c r="F56" s="326">
        <f>SUM(F50:F55)</f>
        <v>3011929.9249202004</v>
      </c>
      <c r="G56" s="326">
        <f>SUM(G50:G55)</f>
        <v>3084493.1863544495</v>
      </c>
      <c r="H56" s="326">
        <f>SUM(H50:H55)</f>
        <v>3177902.0404877556</v>
      </c>
      <c r="I56" s="326">
        <f>SUM(I50:I55)</f>
        <v>3177204.3771409569</v>
      </c>
      <c r="J56" s="326"/>
      <c r="K56" s="326"/>
      <c r="L56" s="90">
        <v>3177902.0404877556</v>
      </c>
    </row>
    <row r="57" spans="1:12" ht="15" customHeight="1">
      <c r="A57" s="186"/>
      <c r="B57" s="360"/>
      <c r="C57" s="360"/>
      <c r="D57" s="360"/>
      <c r="E57" s="319"/>
      <c r="F57" s="319"/>
      <c r="G57" s="319"/>
      <c r="H57" s="319"/>
      <c r="I57" s="319"/>
      <c r="J57" s="319"/>
      <c r="K57" s="319"/>
    </row>
    <row r="58" spans="1:12" ht="15" customHeight="1">
      <c r="A58" s="186"/>
      <c r="B58" s="351"/>
      <c r="C58" s="351"/>
      <c r="D58" s="351"/>
      <c r="E58" s="320"/>
      <c r="F58" s="320"/>
      <c r="G58" s="320"/>
      <c r="H58" s="320"/>
      <c r="I58" s="320"/>
      <c r="J58" s="320"/>
      <c r="K58" s="320"/>
    </row>
    <row r="59" spans="1:12" ht="15" customHeight="1">
      <c r="A59" s="189" t="s">
        <v>113</v>
      </c>
      <c r="B59" s="361">
        <f t="shared" ref="B59:D59" si="19">+B48+B56</f>
        <v>0</v>
      </c>
      <c r="C59" s="361"/>
      <c r="D59" s="361">
        <f t="shared" si="19"/>
        <v>3275821.4899999998</v>
      </c>
      <c r="E59" s="327">
        <f>+E48+E56</f>
        <v>3257110.112871632</v>
      </c>
      <c r="F59" s="327">
        <f>+F48+F56</f>
        <v>3236687.7124202005</v>
      </c>
      <c r="G59" s="327">
        <f>+G48+G56</f>
        <v>3271791.3426044495</v>
      </c>
      <c r="H59" s="327">
        <f>+H48+H56</f>
        <v>3327740.5654877555</v>
      </c>
      <c r="I59" s="327">
        <f>+I48+I56</f>
        <v>3289583.2708909567</v>
      </c>
      <c r="J59" s="327"/>
      <c r="K59" s="327"/>
      <c r="L59" s="90">
        <v>3327740.5654877555</v>
      </c>
    </row>
    <row r="60" spans="1:12" ht="15" customHeight="1">
      <c r="A60" s="185"/>
      <c r="B60" s="351"/>
      <c r="C60" s="351"/>
      <c r="D60" s="351"/>
      <c r="E60" s="320"/>
      <c r="F60" s="320"/>
      <c r="G60" s="320"/>
      <c r="H60" s="320"/>
      <c r="I60" s="320"/>
      <c r="J60" s="320"/>
      <c r="K60" s="320"/>
    </row>
    <row r="61" spans="1:12" ht="15" customHeight="1">
      <c r="A61" s="186"/>
      <c r="B61" s="351"/>
      <c r="C61" s="351"/>
      <c r="D61" s="351"/>
      <c r="E61" s="320"/>
      <c r="F61" s="320"/>
      <c r="G61" s="320"/>
      <c r="H61" s="320"/>
      <c r="I61" s="320"/>
      <c r="J61" s="320"/>
      <c r="K61" s="320"/>
    </row>
    <row r="62" spans="1:12" ht="15" customHeight="1">
      <c r="A62" s="188" t="s">
        <v>114</v>
      </c>
      <c r="B62" s="359">
        <f t="shared" ref="B62:D62" si="20">+B40+B59</f>
        <v>0</v>
      </c>
      <c r="C62" s="359"/>
      <c r="D62" s="359">
        <f t="shared" si="20"/>
        <v>4472717.936454583</v>
      </c>
      <c r="E62" s="326">
        <f>+E40+E59</f>
        <v>4577312.7112441016</v>
      </c>
      <c r="F62" s="326">
        <f>+F40+F59</f>
        <v>4844806.7832396142</v>
      </c>
      <c r="G62" s="326">
        <f>+G40+G59</f>
        <v>5157627.805269774</v>
      </c>
      <c r="H62" s="326">
        <f>+H40+H59</f>
        <v>5682707.9907925427</v>
      </c>
      <c r="I62" s="326">
        <f>+I40+I59</f>
        <v>5997919.703746614</v>
      </c>
      <c r="J62" s="326"/>
      <c r="K62" s="326"/>
      <c r="L62" s="90">
        <v>5682707.9907925427</v>
      </c>
    </row>
    <row r="63" spans="1:12" ht="15" customHeight="1">
      <c r="A63" s="185"/>
      <c r="B63" s="351"/>
      <c r="C63" s="351"/>
      <c r="D63" s="351"/>
      <c r="E63" s="319"/>
      <c r="F63" s="319"/>
      <c r="G63" s="319"/>
      <c r="H63" s="319"/>
      <c r="I63" s="319"/>
      <c r="J63" s="319"/>
      <c r="K63" s="319"/>
    </row>
    <row r="64" spans="1:12" ht="15" customHeight="1">
      <c r="A64" s="188" t="s">
        <v>130</v>
      </c>
      <c r="B64" s="362">
        <f t="shared" ref="B64:D64" si="21">+B23-B62</f>
        <v>0</v>
      </c>
      <c r="C64" s="362">
        <f t="shared" si="21"/>
        <v>0</v>
      </c>
      <c r="D64" s="362">
        <f t="shared" si="21"/>
        <v>3.5454174503684044E-3</v>
      </c>
      <c r="E64" s="349">
        <f>+E23-E62</f>
        <v>3.6317044869065285E-3</v>
      </c>
      <c r="F64" s="328">
        <f>+F23-F62</f>
        <v>-9.4077549874782562E-4</v>
      </c>
      <c r="G64" s="328">
        <f>+G23-G62</f>
        <v>5.4158829152584076E-4</v>
      </c>
      <c r="H64" s="328">
        <f>+H23-H62</f>
        <v>-4.1374880820512772E-3</v>
      </c>
      <c r="I64" s="328">
        <f>+I23-I62</f>
        <v>-1.2373784556984901E-3</v>
      </c>
      <c r="J64" s="329"/>
      <c r="K64" s="329"/>
      <c r="L64" s="90">
        <v>-4.1374880820512772E-3</v>
      </c>
    </row>
    <row r="65" spans="1:11" ht="12.75" customHeight="1">
      <c r="A65" s="330" t="s">
        <v>166</v>
      </c>
      <c r="B65" s="363" t="e">
        <f>+B40/B23</f>
        <v>#DIV/0!</v>
      </c>
      <c r="C65" s="363" t="e">
        <f t="shared" ref="C65:I65" si="22">+C40/C23</f>
        <v>#DIV/0!</v>
      </c>
      <c r="D65" s="363">
        <f t="shared" si="22"/>
        <v>0.26759935737297652</v>
      </c>
      <c r="E65" s="331">
        <f t="shared" si="22"/>
        <v>0.28842307279595386</v>
      </c>
      <c r="F65" s="331">
        <f t="shared" si="22"/>
        <v>0.33192635807374121</v>
      </c>
      <c r="G65" s="331">
        <f t="shared" si="22"/>
        <v>0.36564027759825091</v>
      </c>
      <c r="H65" s="331">
        <f t="shared" si="22"/>
        <v>0.41440936800466566</v>
      </c>
      <c r="I65" s="331">
        <f t="shared" si="22"/>
        <v>0.45154596379851869</v>
      </c>
      <c r="J65" s="331"/>
      <c r="K65" s="331"/>
    </row>
    <row r="66" spans="1:11" ht="12.75" customHeight="1">
      <c r="B66" s="365"/>
      <c r="C66" s="365"/>
      <c r="D66" s="365"/>
    </row>
    <row r="67" spans="1:11" ht="20.100000000000001" customHeight="1">
      <c r="A67" s="115" t="s">
        <v>136</v>
      </c>
      <c r="B67" s="366"/>
      <c r="C67" s="366"/>
      <c r="D67" s="366"/>
    </row>
    <row r="68" spans="1:11" ht="12.75" customHeight="1">
      <c r="B68" s="365"/>
      <c r="C68" s="365"/>
      <c r="D68" s="365"/>
    </row>
    <row r="69" spans="1:11" ht="12.75" customHeight="1">
      <c r="B69" s="365"/>
      <c r="C69" s="365"/>
      <c r="D69" s="365"/>
    </row>
    <row r="70" spans="1:11" ht="12.75" customHeight="1">
      <c r="B70" s="365"/>
      <c r="C70" s="365"/>
      <c r="D70" s="365"/>
    </row>
    <row r="71" spans="1:11" ht="12.75" customHeight="1">
      <c r="B71" s="365"/>
      <c r="C71" s="365"/>
      <c r="D71" s="365"/>
    </row>
    <row r="72" spans="1:11" ht="12.75" customHeight="1">
      <c r="B72" s="365"/>
      <c r="C72" s="365"/>
      <c r="D72" s="365"/>
    </row>
    <row r="73" spans="1:11" ht="12.75" customHeight="1">
      <c r="B73" s="365"/>
      <c r="C73" s="365"/>
      <c r="D73" s="365"/>
    </row>
    <row r="74" spans="1:11" ht="12.75" customHeight="1">
      <c r="B74" s="365"/>
      <c r="C74" s="365"/>
      <c r="D74" s="365"/>
    </row>
    <row r="75" spans="1:11" ht="12.75" customHeight="1">
      <c r="B75" s="365"/>
      <c r="C75" s="365"/>
      <c r="D75" s="365"/>
    </row>
    <row r="76" spans="1:11" ht="12.75" customHeight="1">
      <c r="B76" s="365"/>
      <c r="C76" s="365"/>
      <c r="D76" s="365"/>
    </row>
    <row r="77" spans="1:11" ht="12.75" customHeight="1">
      <c r="B77" s="365"/>
      <c r="C77" s="365"/>
      <c r="D77" s="365"/>
    </row>
    <row r="78" spans="1:11" ht="12.75" customHeight="1">
      <c r="B78" s="365"/>
      <c r="C78" s="365"/>
      <c r="D78" s="365"/>
    </row>
    <row r="79" spans="1:11" ht="12.75" customHeight="1">
      <c r="B79" s="365"/>
      <c r="C79" s="365"/>
      <c r="D79" s="365"/>
    </row>
    <row r="80" spans="1:11" ht="12.75" customHeight="1">
      <c r="B80" s="365"/>
      <c r="C80" s="365"/>
      <c r="D80" s="365"/>
    </row>
    <row r="81" spans="2:4" ht="12.75" customHeight="1">
      <c r="B81" s="365"/>
      <c r="C81" s="365"/>
      <c r="D81" s="365"/>
    </row>
    <row r="82" spans="2:4" ht="12.75" customHeight="1">
      <c r="B82" s="365"/>
      <c r="C82" s="365"/>
      <c r="D82" s="365"/>
    </row>
    <row r="83" spans="2:4" ht="12.75" customHeight="1">
      <c r="B83" s="365"/>
      <c r="C83" s="365"/>
      <c r="D83" s="365"/>
    </row>
    <row r="84" spans="2:4" ht="12.75" customHeight="1">
      <c r="B84" s="365"/>
      <c r="C84" s="365"/>
      <c r="D84" s="365"/>
    </row>
    <row r="85" spans="2:4" ht="12.75" customHeight="1">
      <c r="B85" s="365"/>
      <c r="C85" s="365"/>
      <c r="D85" s="365"/>
    </row>
    <row r="86" spans="2:4" ht="12.75" customHeight="1">
      <c r="B86" s="365"/>
      <c r="C86" s="365"/>
      <c r="D86" s="365"/>
    </row>
    <row r="87" spans="2:4" ht="12.75" customHeight="1">
      <c r="B87" s="365"/>
      <c r="C87" s="365"/>
      <c r="D87" s="365"/>
    </row>
    <row r="88" spans="2:4" ht="12.75" customHeight="1">
      <c r="B88" s="365"/>
      <c r="C88" s="365"/>
      <c r="D88" s="365"/>
    </row>
    <row r="89" spans="2:4" ht="12.75" customHeight="1">
      <c r="B89" s="365"/>
      <c r="C89" s="365"/>
      <c r="D89" s="365"/>
    </row>
    <row r="90" spans="2:4" ht="12.75" customHeight="1">
      <c r="B90" s="365"/>
      <c r="C90" s="365"/>
      <c r="D90" s="365"/>
    </row>
    <row r="91" spans="2:4" ht="12.75" customHeight="1">
      <c r="B91" s="365"/>
      <c r="C91" s="365"/>
      <c r="D91" s="365"/>
    </row>
    <row r="92" spans="2:4" ht="12.75" customHeight="1">
      <c r="B92" s="365"/>
      <c r="C92" s="365"/>
      <c r="D92" s="365"/>
    </row>
    <row r="93" spans="2:4" ht="12.75" customHeight="1">
      <c r="B93" s="365"/>
      <c r="C93" s="365"/>
      <c r="D93" s="365"/>
    </row>
    <row r="94" spans="2:4" ht="12.75" customHeight="1">
      <c r="B94" s="365"/>
      <c r="C94" s="365"/>
      <c r="D94" s="365"/>
    </row>
    <row r="95" spans="2:4" ht="12.75" customHeight="1">
      <c r="B95" s="365"/>
      <c r="C95" s="365"/>
      <c r="D95" s="365"/>
    </row>
    <row r="96" spans="2:4" ht="12.75" customHeight="1">
      <c r="B96" s="365"/>
      <c r="C96" s="365"/>
      <c r="D96" s="365"/>
    </row>
    <row r="97" spans="2:4" ht="12.75" customHeight="1">
      <c r="B97" s="365"/>
      <c r="C97" s="365"/>
      <c r="D97" s="365"/>
    </row>
    <row r="98" spans="2:4" ht="12.75" customHeight="1">
      <c r="B98" s="365"/>
      <c r="C98" s="365"/>
      <c r="D98" s="365"/>
    </row>
    <row r="99" spans="2:4" ht="12.75" customHeight="1">
      <c r="B99" s="365"/>
      <c r="C99" s="365"/>
      <c r="D99" s="365"/>
    </row>
    <row r="100" spans="2:4" ht="12.75" customHeight="1">
      <c r="B100" s="365"/>
      <c r="C100" s="365"/>
      <c r="D100" s="365"/>
    </row>
    <row r="101" spans="2:4" ht="12.75" customHeight="1">
      <c r="B101" s="365"/>
      <c r="C101" s="365"/>
      <c r="D101" s="365"/>
    </row>
    <row r="102" spans="2:4" ht="12.75" customHeight="1">
      <c r="B102" s="365"/>
      <c r="C102" s="365"/>
      <c r="D102" s="365"/>
    </row>
    <row r="103" spans="2:4" ht="12.75" customHeight="1">
      <c r="B103" s="365"/>
      <c r="C103" s="365"/>
      <c r="D103" s="365"/>
    </row>
    <row r="104" spans="2:4" ht="12.75" customHeight="1">
      <c r="B104" s="365"/>
      <c r="C104" s="365"/>
      <c r="D104" s="365"/>
    </row>
    <row r="105" spans="2:4" ht="12.75" customHeight="1">
      <c r="B105" s="365"/>
      <c r="C105" s="365"/>
      <c r="D105" s="365"/>
    </row>
    <row r="106" spans="2:4" ht="12.75" customHeight="1">
      <c r="B106" s="365"/>
      <c r="C106" s="365"/>
      <c r="D106" s="365"/>
    </row>
    <row r="107" spans="2:4" ht="12.75" customHeight="1">
      <c r="B107" s="365"/>
      <c r="C107" s="365"/>
      <c r="D107" s="365"/>
    </row>
    <row r="108" spans="2:4" ht="12.75" customHeight="1">
      <c r="B108" s="365"/>
      <c r="C108" s="365"/>
      <c r="D108" s="365"/>
    </row>
    <row r="109" spans="2:4" ht="12.75" customHeight="1">
      <c r="B109" s="365"/>
      <c r="C109" s="365"/>
      <c r="D109" s="365"/>
    </row>
    <row r="110" spans="2:4" ht="12.75" customHeight="1">
      <c r="B110" s="365"/>
      <c r="C110" s="365"/>
      <c r="D110" s="365"/>
    </row>
    <row r="111" spans="2:4" ht="12.75" customHeight="1">
      <c r="B111" s="365"/>
      <c r="C111" s="365"/>
      <c r="D111" s="365"/>
    </row>
    <row r="112" spans="2:4" ht="12.75" customHeight="1">
      <c r="B112" s="365"/>
      <c r="C112" s="365"/>
      <c r="D112" s="365"/>
    </row>
    <row r="113" spans="2:4" ht="12.75" customHeight="1">
      <c r="B113" s="365"/>
      <c r="C113" s="365"/>
      <c r="D113" s="365"/>
    </row>
    <row r="114" spans="2:4" ht="12.75" customHeight="1">
      <c r="B114" s="365"/>
      <c r="C114" s="365"/>
      <c r="D114" s="365"/>
    </row>
    <row r="115" spans="2:4" ht="12.75" customHeight="1">
      <c r="B115" s="365"/>
      <c r="C115" s="365"/>
      <c r="D115" s="365"/>
    </row>
    <row r="116" spans="2:4" ht="12.75" customHeight="1">
      <c r="B116" s="365"/>
      <c r="C116" s="365"/>
      <c r="D116" s="365"/>
    </row>
    <row r="117" spans="2:4" ht="12.75" customHeight="1">
      <c r="B117" s="365"/>
      <c r="C117" s="365"/>
      <c r="D117" s="365"/>
    </row>
    <row r="118" spans="2:4" ht="12.75" customHeight="1">
      <c r="B118" s="365"/>
      <c r="C118" s="365"/>
      <c r="D118" s="365"/>
    </row>
    <row r="119" spans="2:4" ht="12.75" customHeight="1">
      <c r="B119" s="365"/>
      <c r="C119" s="365"/>
      <c r="D119" s="365"/>
    </row>
    <row r="120" spans="2:4" ht="12.75" customHeight="1">
      <c r="B120" s="365"/>
      <c r="C120" s="365"/>
      <c r="D120" s="365"/>
    </row>
    <row r="121" spans="2:4" ht="12.75" customHeight="1">
      <c r="B121" s="365"/>
      <c r="C121" s="365"/>
      <c r="D121" s="365"/>
    </row>
    <row r="122" spans="2:4" ht="12.75" customHeight="1">
      <c r="B122" s="365"/>
      <c r="C122" s="365"/>
      <c r="D122" s="365"/>
    </row>
    <row r="123" spans="2:4" ht="12.75" customHeight="1">
      <c r="B123" s="365"/>
      <c r="C123" s="365"/>
      <c r="D123" s="365"/>
    </row>
    <row r="124" spans="2:4" ht="12.75" customHeight="1">
      <c r="B124" s="365"/>
      <c r="C124" s="365"/>
      <c r="D124" s="365"/>
    </row>
    <row r="125" spans="2:4" ht="12.75" customHeight="1">
      <c r="B125" s="365"/>
      <c r="C125" s="365"/>
      <c r="D125" s="365"/>
    </row>
    <row r="126" spans="2:4" ht="12.75" customHeight="1">
      <c r="B126" s="365"/>
      <c r="C126" s="365"/>
      <c r="D126" s="365"/>
    </row>
    <row r="127" spans="2:4" ht="12.75" customHeight="1">
      <c r="B127" s="365"/>
      <c r="C127" s="365"/>
      <c r="D127" s="365"/>
    </row>
    <row r="128" spans="2:4" ht="12.75" customHeight="1">
      <c r="B128" s="365"/>
      <c r="C128" s="365"/>
      <c r="D128" s="365"/>
    </row>
    <row r="129" spans="2:4" ht="12.75" customHeight="1">
      <c r="B129" s="365"/>
      <c r="C129" s="365"/>
      <c r="D129" s="365"/>
    </row>
    <row r="130" spans="2:4" ht="12.75" customHeight="1">
      <c r="B130" s="365"/>
      <c r="C130" s="365"/>
      <c r="D130" s="365"/>
    </row>
    <row r="131" spans="2:4" ht="12.75" customHeight="1">
      <c r="B131" s="365"/>
      <c r="C131" s="365"/>
      <c r="D131" s="365"/>
    </row>
    <row r="132" spans="2:4" ht="12.75" customHeight="1">
      <c r="B132" s="365"/>
      <c r="C132" s="365"/>
      <c r="D132" s="365"/>
    </row>
    <row r="133" spans="2:4" ht="12.75" customHeight="1">
      <c r="B133" s="365"/>
      <c r="C133" s="365"/>
      <c r="D133" s="365"/>
    </row>
    <row r="134" spans="2:4" ht="12.75" customHeight="1">
      <c r="B134" s="365"/>
      <c r="C134" s="365"/>
      <c r="D134" s="365"/>
    </row>
    <row r="135" spans="2:4" ht="12.75" customHeight="1">
      <c r="B135" s="365"/>
      <c r="C135" s="365"/>
      <c r="D135" s="365"/>
    </row>
    <row r="136" spans="2:4" ht="12.75" customHeight="1">
      <c r="B136" s="365"/>
      <c r="C136" s="365"/>
      <c r="D136" s="365"/>
    </row>
    <row r="137" spans="2:4" ht="12.75" customHeight="1">
      <c r="B137" s="365"/>
      <c r="C137" s="365"/>
      <c r="D137" s="365"/>
    </row>
    <row r="138" spans="2:4" ht="12.75" customHeight="1">
      <c r="B138" s="365"/>
      <c r="C138" s="365"/>
      <c r="D138" s="365"/>
    </row>
    <row r="139" spans="2:4" ht="12.75" customHeight="1">
      <c r="B139" s="365"/>
      <c r="C139" s="365"/>
      <c r="D139" s="365"/>
    </row>
    <row r="140" spans="2:4" ht="12.75" customHeight="1">
      <c r="B140" s="365"/>
      <c r="C140" s="365"/>
      <c r="D140" s="365"/>
    </row>
    <row r="141" spans="2:4" ht="12.75" customHeight="1">
      <c r="B141" s="365"/>
      <c r="C141" s="365"/>
      <c r="D141" s="365"/>
    </row>
    <row r="142" spans="2:4" ht="12.75" customHeight="1">
      <c r="B142" s="365"/>
      <c r="C142" s="365"/>
      <c r="D142" s="365"/>
    </row>
    <row r="143" spans="2:4" ht="12.75" customHeight="1">
      <c r="B143" s="365"/>
      <c r="C143" s="365"/>
      <c r="D143" s="365"/>
    </row>
    <row r="144" spans="2:4" ht="12.75" customHeight="1">
      <c r="B144" s="365"/>
      <c r="C144" s="365"/>
      <c r="D144" s="365"/>
    </row>
    <row r="145" spans="2:4" ht="12.75" customHeight="1">
      <c r="B145" s="365"/>
      <c r="C145" s="365"/>
      <c r="D145" s="365"/>
    </row>
    <row r="146" spans="2:4" ht="12.75" customHeight="1">
      <c r="B146" s="365"/>
      <c r="C146" s="365"/>
      <c r="D146" s="365"/>
    </row>
    <row r="147" spans="2:4" ht="12.75" customHeight="1">
      <c r="B147" s="365"/>
      <c r="C147" s="365"/>
      <c r="D147" s="365"/>
    </row>
    <row r="148" spans="2:4" ht="12.75" customHeight="1">
      <c r="B148" s="365"/>
      <c r="C148" s="365"/>
      <c r="D148" s="365"/>
    </row>
    <row r="149" spans="2:4" ht="12.75" customHeight="1">
      <c r="B149" s="365"/>
      <c r="C149" s="365"/>
      <c r="D149" s="365"/>
    </row>
    <row r="150" spans="2:4" ht="12.75" customHeight="1">
      <c r="B150" s="365"/>
      <c r="C150" s="365"/>
      <c r="D150" s="365"/>
    </row>
    <row r="151" spans="2:4" ht="12.75" customHeight="1">
      <c r="B151" s="365"/>
      <c r="C151" s="365"/>
      <c r="D151" s="365"/>
    </row>
    <row r="152" spans="2:4" ht="12.75" customHeight="1">
      <c r="B152" s="365"/>
      <c r="C152" s="365"/>
      <c r="D152" s="365"/>
    </row>
    <row r="153" spans="2:4" ht="12.75" customHeight="1">
      <c r="B153" s="365"/>
      <c r="C153" s="365"/>
      <c r="D153" s="365"/>
    </row>
    <row r="154" spans="2:4" ht="12.75" customHeight="1">
      <c r="B154" s="365"/>
      <c r="C154" s="365"/>
      <c r="D154" s="365"/>
    </row>
    <row r="155" spans="2:4" ht="12.75" customHeight="1">
      <c r="B155" s="365"/>
      <c r="C155" s="365"/>
      <c r="D155" s="365"/>
    </row>
    <row r="156" spans="2:4" ht="12.75" customHeight="1">
      <c r="B156" s="365"/>
      <c r="C156" s="365"/>
      <c r="D156" s="365"/>
    </row>
    <row r="157" spans="2:4" ht="12.75" customHeight="1">
      <c r="B157" s="365"/>
      <c r="C157" s="365"/>
      <c r="D157" s="365"/>
    </row>
    <row r="158" spans="2:4" ht="12.75" customHeight="1">
      <c r="B158" s="365"/>
      <c r="C158" s="365"/>
      <c r="D158" s="365"/>
    </row>
    <row r="159" spans="2:4" ht="12.75" customHeight="1">
      <c r="B159" s="365"/>
      <c r="C159" s="365"/>
      <c r="D159" s="365"/>
    </row>
    <row r="160" spans="2:4" ht="12.75" customHeight="1">
      <c r="B160" s="365"/>
      <c r="C160" s="365"/>
      <c r="D160" s="365"/>
    </row>
    <row r="161" spans="2:4" ht="12.75" customHeight="1">
      <c r="B161" s="365"/>
      <c r="C161" s="365"/>
      <c r="D161" s="365"/>
    </row>
    <row r="162" spans="2:4" ht="12.75" customHeight="1">
      <c r="B162" s="365"/>
      <c r="C162" s="365"/>
      <c r="D162" s="365"/>
    </row>
    <row r="163" spans="2:4" ht="12.75" customHeight="1">
      <c r="B163" s="365"/>
      <c r="C163" s="365"/>
      <c r="D163" s="365"/>
    </row>
    <row r="164" spans="2:4" ht="12.75" customHeight="1">
      <c r="B164" s="365"/>
      <c r="C164" s="365"/>
      <c r="D164" s="365"/>
    </row>
    <row r="165" spans="2:4" ht="12.75" customHeight="1">
      <c r="B165" s="365"/>
      <c r="C165" s="365"/>
      <c r="D165" s="365"/>
    </row>
    <row r="166" spans="2:4" ht="12.75" customHeight="1">
      <c r="B166" s="365"/>
      <c r="C166" s="365"/>
      <c r="D166" s="365"/>
    </row>
    <row r="167" spans="2:4" ht="12.75" customHeight="1">
      <c r="B167" s="365"/>
      <c r="C167" s="365"/>
      <c r="D167" s="365"/>
    </row>
    <row r="168" spans="2:4" ht="12.75" customHeight="1">
      <c r="B168" s="365"/>
      <c r="C168" s="365"/>
      <c r="D168" s="365"/>
    </row>
    <row r="169" spans="2:4" ht="12.75" customHeight="1">
      <c r="B169" s="365"/>
      <c r="C169" s="365"/>
      <c r="D169" s="365"/>
    </row>
    <row r="170" spans="2:4" ht="12.75" customHeight="1">
      <c r="B170" s="365"/>
      <c r="C170" s="365"/>
      <c r="D170" s="365"/>
    </row>
    <row r="171" spans="2:4" ht="12.75" customHeight="1">
      <c r="B171" s="365"/>
      <c r="C171" s="365"/>
      <c r="D171" s="365"/>
    </row>
    <row r="172" spans="2:4" ht="12.75" customHeight="1">
      <c r="B172" s="365"/>
      <c r="C172" s="365"/>
      <c r="D172" s="365"/>
    </row>
    <row r="173" spans="2:4" ht="12.75" customHeight="1">
      <c r="B173" s="365"/>
      <c r="C173" s="365"/>
      <c r="D173" s="365"/>
    </row>
    <row r="174" spans="2:4" ht="12.75" customHeight="1">
      <c r="B174" s="365"/>
      <c r="C174" s="365"/>
      <c r="D174" s="365"/>
    </row>
    <row r="175" spans="2:4" ht="12.75" customHeight="1">
      <c r="B175" s="365"/>
      <c r="C175" s="365"/>
      <c r="D175" s="365"/>
    </row>
    <row r="176" spans="2:4" ht="12.75" customHeight="1">
      <c r="B176" s="365"/>
      <c r="C176" s="365"/>
      <c r="D176" s="365"/>
    </row>
    <row r="177" spans="2:4" ht="12.75" customHeight="1">
      <c r="B177" s="365"/>
      <c r="C177" s="365"/>
      <c r="D177" s="365"/>
    </row>
    <row r="178" spans="2:4" ht="12.75" customHeight="1">
      <c r="B178" s="365"/>
      <c r="C178" s="365"/>
      <c r="D178" s="365"/>
    </row>
    <row r="179" spans="2:4" ht="12.75" customHeight="1">
      <c r="B179" s="365"/>
      <c r="C179" s="365"/>
      <c r="D179" s="365"/>
    </row>
    <row r="180" spans="2:4" ht="12.75" customHeight="1">
      <c r="B180" s="365"/>
      <c r="C180" s="365"/>
      <c r="D180" s="365"/>
    </row>
    <row r="181" spans="2:4" ht="12.75" customHeight="1">
      <c r="B181" s="365"/>
      <c r="C181" s="365"/>
      <c r="D181" s="365"/>
    </row>
    <row r="182" spans="2:4" ht="12.75" customHeight="1">
      <c r="B182" s="365"/>
      <c r="C182" s="365"/>
      <c r="D182" s="365"/>
    </row>
    <row r="183" spans="2:4" ht="12.75" customHeight="1">
      <c r="B183" s="365"/>
      <c r="C183" s="365"/>
      <c r="D183" s="365"/>
    </row>
    <row r="184" spans="2:4" ht="12.75" customHeight="1">
      <c r="B184" s="365"/>
      <c r="C184" s="365"/>
      <c r="D184" s="365"/>
    </row>
    <row r="185" spans="2:4" ht="12.75" customHeight="1">
      <c r="B185" s="365"/>
      <c r="C185" s="365"/>
      <c r="D185" s="365"/>
    </row>
    <row r="186" spans="2:4" ht="12.75" customHeight="1">
      <c r="B186" s="365"/>
      <c r="C186" s="365"/>
      <c r="D186" s="365"/>
    </row>
    <row r="187" spans="2:4" ht="12.75" customHeight="1">
      <c r="B187" s="365"/>
      <c r="C187" s="365"/>
      <c r="D187" s="365"/>
    </row>
    <row r="188" spans="2:4" ht="12.75" customHeight="1">
      <c r="B188" s="365"/>
      <c r="C188" s="365"/>
      <c r="D188" s="365"/>
    </row>
    <row r="189" spans="2:4" ht="12.75" customHeight="1">
      <c r="B189" s="365"/>
      <c r="C189" s="365"/>
      <c r="D189" s="365"/>
    </row>
    <row r="190" spans="2:4" ht="12.75" customHeight="1">
      <c r="B190" s="365"/>
      <c r="C190" s="365"/>
      <c r="D190" s="365"/>
    </row>
    <row r="191" spans="2:4" ht="12.75" customHeight="1">
      <c r="B191" s="365"/>
      <c r="C191" s="365"/>
      <c r="D191" s="365"/>
    </row>
    <row r="192" spans="2:4" ht="12.75" customHeight="1">
      <c r="B192" s="365"/>
      <c r="C192" s="365"/>
      <c r="D192" s="365"/>
    </row>
    <row r="193" spans="2:4" ht="12.75" customHeight="1">
      <c r="B193" s="365"/>
      <c r="C193" s="365"/>
      <c r="D193" s="365"/>
    </row>
    <row r="194" spans="2:4" ht="12.75" customHeight="1">
      <c r="B194" s="365"/>
      <c r="C194" s="365"/>
      <c r="D194" s="365"/>
    </row>
    <row r="195" spans="2:4" ht="12.75" customHeight="1">
      <c r="B195" s="365"/>
      <c r="C195" s="365"/>
      <c r="D195" s="365"/>
    </row>
    <row r="196" spans="2:4" ht="12.75" customHeight="1">
      <c r="B196" s="365"/>
      <c r="C196" s="365"/>
      <c r="D196" s="365"/>
    </row>
    <row r="197" spans="2:4" ht="12.75" customHeight="1">
      <c r="B197" s="365"/>
      <c r="C197" s="365"/>
      <c r="D197" s="365"/>
    </row>
    <row r="198" spans="2:4" ht="12.75" customHeight="1">
      <c r="B198" s="365"/>
      <c r="C198" s="365"/>
      <c r="D198" s="365"/>
    </row>
    <row r="199" spans="2:4" ht="12.75" customHeight="1">
      <c r="B199" s="365"/>
      <c r="C199" s="365"/>
      <c r="D199" s="365"/>
    </row>
    <row r="200" spans="2:4" ht="12.75" customHeight="1">
      <c r="B200" s="365"/>
      <c r="C200" s="365"/>
      <c r="D200" s="365"/>
    </row>
    <row r="201" spans="2:4" ht="12.75" customHeight="1">
      <c r="B201" s="365"/>
      <c r="C201" s="365"/>
      <c r="D201" s="365"/>
    </row>
    <row r="202" spans="2:4" ht="12.75" customHeight="1">
      <c r="B202" s="365"/>
      <c r="C202" s="365"/>
      <c r="D202" s="365"/>
    </row>
    <row r="203" spans="2:4" ht="12.75" customHeight="1">
      <c r="B203" s="365"/>
      <c r="C203" s="365"/>
      <c r="D203" s="365"/>
    </row>
    <row r="204" spans="2:4" ht="12.75" customHeight="1">
      <c r="B204" s="365"/>
      <c r="C204" s="365"/>
      <c r="D204" s="365"/>
    </row>
    <row r="205" spans="2:4" ht="12.75" customHeight="1">
      <c r="B205" s="365"/>
      <c r="C205" s="365"/>
      <c r="D205" s="365"/>
    </row>
    <row r="206" spans="2:4" ht="12.75" customHeight="1">
      <c r="B206" s="365"/>
      <c r="C206" s="365"/>
      <c r="D206" s="365"/>
    </row>
    <row r="207" spans="2:4" ht="12.75" customHeight="1">
      <c r="B207" s="365"/>
      <c r="C207" s="365"/>
      <c r="D207" s="365"/>
    </row>
    <row r="208" spans="2:4" ht="12.75" customHeight="1">
      <c r="B208" s="365"/>
      <c r="C208" s="365"/>
      <c r="D208" s="365"/>
    </row>
    <row r="209" spans="2:4" ht="12.75" customHeight="1">
      <c r="B209" s="365"/>
      <c r="C209" s="365"/>
      <c r="D209" s="365"/>
    </row>
    <row r="210" spans="2:4" ht="12.75" customHeight="1">
      <c r="B210" s="365"/>
      <c r="C210" s="365"/>
      <c r="D210" s="365"/>
    </row>
    <row r="211" spans="2:4" ht="12.75" customHeight="1">
      <c r="B211" s="365"/>
      <c r="C211" s="365"/>
      <c r="D211" s="365"/>
    </row>
    <row r="212" spans="2:4" ht="12.75" customHeight="1">
      <c r="B212" s="365"/>
      <c r="C212" s="365"/>
      <c r="D212" s="365"/>
    </row>
    <row r="213" spans="2:4" ht="12.75" customHeight="1">
      <c r="B213" s="365"/>
      <c r="C213" s="365"/>
      <c r="D213" s="365"/>
    </row>
    <row r="214" spans="2:4" ht="12.75" customHeight="1">
      <c r="B214" s="365"/>
      <c r="C214" s="365"/>
      <c r="D214" s="365"/>
    </row>
    <row r="215" spans="2:4" ht="12.75" customHeight="1">
      <c r="B215" s="365"/>
      <c r="C215" s="365"/>
      <c r="D215" s="365"/>
    </row>
    <row r="216" spans="2:4" ht="12.75" customHeight="1">
      <c r="B216" s="365"/>
      <c r="C216" s="365"/>
      <c r="D216" s="365"/>
    </row>
    <row r="217" spans="2:4" ht="12.75" customHeight="1">
      <c r="B217" s="365"/>
      <c r="C217" s="365"/>
      <c r="D217" s="365"/>
    </row>
    <row r="218" spans="2:4" ht="12.75" customHeight="1">
      <c r="B218" s="365"/>
      <c r="C218" s="365"/>
      <c r="D218" s="365"/>
    </row>
    <row r="219" spans="2:4" ht="12.75" customHeight="1">
      <c r="B219" s="365"/>
      <c r="C219" s="365"/>
      <c r="D219" s="365"/>
    </row>
    <row r="220" spans="2:4" ht="12.75" customHeight="1">
      <c r="B220" s="365"/>
      <c r="C220" s="365"/>
      <c r="D220" s="365"/>
    </row>
    <row r="221" spans="2:4" ht="12.75" customHeight="1">
      <c r="B221" s="365"/>
      <c r="C221" s="365"/>
      <c r="D221" s="365"/>
    </row>
    <row r="222" spans="2:4" ht="12.75" customHeight="1">
      <c r="B222" s="365"/>
      <c r="C222" s="365"/>
      <c r="D222" s="365"/>
    </row>
    <row r="223" spans="2:4" ht="12.75" customHeight="1">
      <c r="B223" s="365"/>
      <c r="C223" s="365"/>
      <c r="D223" s="365"/>
    </row>
    <row r="224" spans="2:4" ht="12.75" customHeight="1">
      <c r="B224" s="365"/>
      <c r="C224" s="365"/>
      <c r="D224" s="365"/>
    </row>
    <row r="225" spans="2:4" ht="12.75" customHeight="1">
      <c r="B225" s="365"/>
      <c r="C225" s="365"/>
      <c r="D225" s="365"/>
    </row>
    <row r="226" spans="2:4" ht="12.75" customHeight="1">
      <c r="B226" s="365"/>
      <c r="C226" s="365"/>
      <c r="D226" s="365"/>
    </row>
    <row r="227" spans="2:4" ht="12.75" customHeight="1">
      <c r="B227" s="365"/>
      <c r="C227" s="365"/>
      <c r="D227" s="365"/>
    </row>
    <row r="228" spans="2:4" ht="12.75" customHeight="1">
      <c r="B228" s="365"/>
      <c r="C228" s="365"/>
      <c r="D228" s="365"/>
    </row>
    <row r="229" spans="2:4" ht="12.75" customHeight="1">
      <c r="B229" s="365"/>
      <c r="C229" s="365"/>
      <c r="D229" s="365"/>
    </row>
    <row r="230" spans="2:4" ht="12.75" customHeight="1">
      <c r="B230" s="365"/>
      <c r="C230" s="365"/>
      <c r="D230" s="365"/>
    </row>
    <row r="231" spans="2:4" ht="12.75" customHeight="1">
      <c r="B231" s="365"/>
      <c r="C231" s="365"/>
      <c r="D231" s="365"/>
    </row>
    <row r="232" spans="2:4" ht="12.75" customHeight="1">
      <c r="B232" s="365"/>
      <c r="C232" s="365"/>
      <c r="D232" s="365"/>
    </row>
    <row r="233" spans="2:4" ht="12.75" customHeight="1">
      <c r="B233" s="365"/>
      <c r="C233" s="365"/>
      <c r="D233" s="365"/>
    </row>
    <row r="234" spans="2:4" ht="12.75" customHeight="1">
      <c r="B234" s="365"/>
      <c r="C234" s="365"/>
      <c r="D234" s="365"/>
    </row>
    <row r="235" spans="2:4" ht="12.75" customHeight="1">
      <c r="B235" s="365"/>
      <c r="C235" s="365"/>
      <c r="D235" s="365"/>
    </row>
    <row r="236" spans="2:4" ht="12.75" customHeight="1">
      <c r="B236" s="365"/>
      <c r="C236" s="365"/>
      <c r="D236" s="365"/>
    </row>
    <row r="237" spans="2:4" ht="12.75" customHeight="1">
      <c r="B237" s="365"/>
      <c r="C237" s="365"/>
      <c r="D237" s="365"/>
    </row>
    <row r="238" spans="2:4" ht="12.75" customHeight="1">
      <c r="B238" s="365"/>
      <c r="C238" s="365"/>
      <c r="D238" s="365"/>
    </row>
    <row r="239" spans="2:4" ht="12.75" customHeight="1">
      <c r="B239" s="365"/>
      <c r="C239" s="365"/>
      <c r="D239" s="365"/>
    </row>
    <row r="240" spans="2:4" ht="12.75" customHeight="1">
      <c r="B240" s="365"/>
      <c r="C240" s="365"/>
      <c r="D240" s="365"/>
    </row>
    <row r="241" spans="2:4" ht="12.75" customHeight="1">
      <c r="B241" s="365"/>
      <c r="C241" s="365"/>
      <c r="D241" s="365"/>
    </row>
    <row r="242" spans="2:4" ht="12.75" customHeight="1">
      <c r="B242" s="365"/>
      <c r="C242" s="365"/>
      <c r="D242" s="365"/>
    </row>
    <row r="243" spans="2:4" ht="12.75" customHeight="1">
      <c r="B243" s="365"/>
      <c r="C243" s="365"/>
      <c r="D243" s="365"/>
    </row>
    <row r="244" spans="2:4" ht="12.75" customHeight="1">
      <c r="B244" s="365"/>
      <c r="C244" s="365"/>
      <c r="D244" s="365"/>
    </row>
    <row r="245" spans="2:4" ht="12.75" customHeight="1">
      <c r="B245" s="365"/>
      <c r="C245" s="365"/>
      <c r="D245" s="365"/>
    </row>
    <row r="246" spans="2:4" ht="12.75" customHeight="1">
      <c r="B246" s="365"/>
      <c r="C246" s="365"/>
      <c r="D246" s="365"/>
    </row>
    <row r="247" spans="2:4" ht="12.75" customHeight="1">
      <c r="B247" s="365"/>
      <c r="C247" s="365"/>
      <c r="D247" s="365"/>
    </row>
    <row r="248" spans="2:4" ht="12.75" customHeight="1">
      <c r="B248" s="365"/>
      <c r="C248" s="365"/>
      <c r="D248" s="365"/>
    </row>
    <row r="249" spans="2:4" ht="12.75" customHeight="1">
      <c r="B249" s="365"/>
      <c r="C249" s="365"/>
      <c r="D249" s="365"/>
    </row>
    <row r="250" spans="2:4" ht="12.75" customHeight="1">
      <c r="B250" s="365"/>
      <c r="C250" s="365"/>
      <c r="D250" s="365"/>
    </row>
    <row r="251" spans="2:4" ht="12.75" customHeight="1">
      <c r="B251" s="365"/>
      <c r="C251" s="365"/>
      <c r="D251" s="365"/>
    </row>
    <row r="252" spans="2:4" ht="12.75" customHeight="1">
      <c r="B252" s="365"/>
      <c r="C252" s="365"/>
      <c r="D252" s="365"/>
    </row>
    <row r="253" spans="2:4" ht="12.75" customHeight="1">
      <c r="B253" s="365"/>
      <c r="C253" s="365"/>
      <c r="D253" s="365"/>
    </row>
    <row r="254" spans="2:4" ht="12.75" customHeight="1">
      <c r="B254" s="365"/>
      <c r="C254" s="365"/>
      <c r="D254" s="365"/>
    </row>
    <row r="255" spans="2:4" ht="12.75" customHeight="1">
      <c r="B255" s="365"/>
      <c r="C255" s="365"/>
      <c r="D255" s="365"/>
    </row>
    <row r="256" spans="2:4" ht="12.75" customHeight="1">
      <c r="B256" s="365"/>
      <c r="C256" s="365"/>
      <c r="D256" s="365"/>
    </row>
    <row r="257" spans="2:4" ht="12.75" customHeight="1">
      <c r="B257" s="365"/>
      <c r="C257" s="365"/>
      <c r="D257" s="365"/>
    </row>
    <row r="258" spans="2:4" ht="12.75" customHeight="1">
      <c r="B258" s="365"/>
      <c r="C258" s="365"/>
      <c r="D258" s="365"/>
    </row>
    <row r="259" spans="2:4" ht="12.75" customHeight="1">
      <c r="B259" s="365"/>
      <c r="C259" s="365"/>
      <c r="D259" s="365"/>
    </row>
    <row r="260" spans="2:4" ht="12.75" customHeight="1">
      <c r="B260" s="365"/>
      <c r="C260" s="365"/>
      <c r="D260" s="365"/>
    </row>
    <row r="261" spans="2:4" ht="12.75" customHeight="1">
      <c r="B261" s="365"/>
      <c r="C261" s="365"/>
      <c r="D261" s="365"/>
    </row>
    <row r="262" spans="2:4" ht="12.75" customHeight="1">
      <c r="B262" s="365"/>
      <c r="C262" s="365"/>
      <c r="D262" s="365"/>
    </row>
    <row r="263" spans="2:4" ht="12.75" customHeight="1">
      <c r="B263" s="365"/>
      <c r="C263" s="365"/>
      <c r="D263" s="365"/>
    </row>
    <row r="264" spans="2:4" ht="12.75" customHeight="1">
      <c r="B264" s="365"/>
      <c r="C264" s="365"/>
      <c r="D264" s="365"/>
    </row>
    <row r="265" spans="2:4" ht="12.75" customHeight="1">
      <c r="B265" s="365"/>
      <c r="C265" s="365"/>
      <c r="D265" s="365"/>
    </row>
    <row r="266" spans="2:4" ht="12.75" customHeight="1">
      <c r="B266" s="365"/>
      <c r="C266" s="365"/>
      <c r="D266" s="365"/>
    </row>
    <row r="267" spans="2:4" ht="12.75" customHeight="1">
      <c r="B267" s="365"/>
      <c r="C267" s="365"/>
      <c r="D267" s="365"/>
    </row>
    <row r="268" spans="2:4" ht="12.75" customHeight="1">
      <c r="B268" s="365"/>
      <c r="C268" s="365"/>
      <c r="D268" s="365"/>
    </row>
    <row r="269" spans="2:4" ht="12.75" customHeight="1">
      <c r="B269" s="365"/>
      <c r="C269" s="365"/>
      <c r="D269" s="365"/>
    </row>
    <row r="270" spans="2:4" ht="12.75" customHeight="1">
      <c r="B270" s="365"/>
      <c r="C270" s="365"/>
      <c r="D270" s="365"/>
    </row>
    <row r="271" spans="2:4" ht="12.75" customHeight="1">
      <c r="B271" s="365"/>
      <c r="C271" s="365"/>
      <c r="D271" s="365"/>
    </row>
    <row r="272" spans="2:4" ht="12.75" customHeight="1">
      <c r="B272" s="365"/>
      <c r="C272" s="365"/>
      <c r="D272" s="365"/>
    </row>
    <row r="273" spans="2:4" ht="12.75" customHeight="1">
      <c r="B273" s="365"/>
      <c r="C273" s="365"/>
      <c r="D273" s="365"/>
    </row>
    <row r="274" spans="2:4" ht="12.75" customHeight="1">
      <c r="B274" s="365"/>
      <c r="C274" s="365"/>
      <c r="D274" s="365"/>
    </row>
    <row r="275" spans="2:4" ht="12.75" customHeight="1">
      <c r="B275" s="365"/>
      <c r="C275" s="365"/>
      <c r="D275" s="365"/>
    </row>
    <row r="276" spans="2:4" ht="12.75" customHeight="1">
      <c r="B276" s="365"/>
      <c r="C276" s="365"/>
      <c r="D276" s="365"/>
    </row>
    <row r="277" spans="2:4" ht="12.75" customHeight="1">
      <c r="B277" s="365"/>
      <c r="C277" s="365"/>
      <c r="D277" s="365"/>
    </row>
    <row r="278" spans="2:4" ht="12.75" customHeight="1">
      <c r="B278" s="365"/>
      <c r="C278" s="365"/>
      <c r="D278" s="365"/>
    </row>
    <row r="279" spans="2:4" ht="12.75" customHeight="1">
      <c r="B279" s="365"/>
      <c r="C279" s="365"/>
      <c r="D279" s="365"/>
    </row>
    <row r="280" spans="2:4" ht="12.75" customHeight="1">
      <c r="B280" s="365"/>
      <c r="C280" s="365"/>
      <c r="D280" s="365"/>
    </row>
    <row r="281" spans="2:4" ht="12.75" customHeight="1">
      <c r="B281" s="365"/>
      <c r="C281" s="365"/>
      <c r="D281" s="365"/>
    </row>
    <row r="282" spans="2:4" ht="12.75" customHeight="1">
      <c r="B282" s="365"/>
      <c r="C282" s="365"/>
      <c r="D282" s="365"/>
    </row>
    <row r="283" spans="2:4" ht="12.75" customHeight="1">
      <c r="B283" s="365"/>
      <c r="C283" s="365"/>
      <c r="D283" s="365"/>
    </row>
    <row r="284" spans="2:4" ht="12.75" customHeight="1">
      <c r="B284" s="365"/>
      <c r="C284" s="365"/>
      <c r="D284" s="365"/>
    </row>
    <row r="285" spans="2:4" ht="12.75" customHeight="1">
      <c r="B285" s="365"/>
      <c r="C285" s="365"/>
      <c r="D285" s="365"/>
    </row>
    <row r="286" spans="2:4" ht="12.75" customHeight="1">
      <c r="B286" s="365"/>
      <c r="C286" s="365"/>
      <c r="D286" s="365"/>
    </row>
    <row r="287" spans="2:4" ht="12.75" customHeight="1">
      <c r="B287" s="365"/>
      <c r="C287" s="365"/>
      <c r="D287" s="365"/>
    </row>
    <row r="288" spans="2:4" ht="12.75" customHeight="1">
      <c r="B288" s="365"/>
      <c r="C288" s="365"/>
      <c r="D288" s="365"/>
    </row>
    <row r="289" spans="2:4" ht="12.75" customHeight="1">
      <c r="B289" s="365"/>
      <c r="C289" s="365"/>
      <c r="D289" s="365"/>
    </row>
    <row r="290" spans="2:4" ht="12.75" customHeight="1">
      <c r="B290" s="365"/>
      <c r="C290" s="365"/>
      <c r="D290" s="365"/>
    </row>
    <row r="291" spans="2:4" ht="12.75" customHeight="1">
      <c r="B291" s="365"/>
      <c r="C291" s="365"/>
      <c r="D291" s="365"/>
    </row>
    <row r="292" spans="2:4" ht="12.75" customHeight="1">
      <c r="B292" s="365"/>
      <c r="C292" s="365"/>
      <c r="D292" s="365"/>
    </row>
    <row r="293" spans="2:4" ht="12.75" customHeight="1">
      <c r="B293" s="365"/>
      <c r="C293" s="365"/>
      <c r="D293" s="365"/>
    </row>
    <row r="294" spans="2:4" ht="12.75" customHeight="1">
      <c r="B294" s="365"/>
      <c r="C294" s="365"/>
      <c r="D294" s="365"/>
    </row>
    <row r="295" spans="2:4" ht="12.75" customHeight="1">
      <c r="B295" s="365"/>
      <c r="C295" s="365"/>
      <c r="D295" s="365"/>
    </row>
    <row r="296" spans="2:4" ht="12.75" customHeight="1">
      <c r="B296" s="365"/>
      <c r="C296" s="365"/>
      <c r="D296" s="365"/>
    </row>
    <row r="297" spans="2:4" ht="12.75" customHeight="1">
      <c r="B297" s="365"/>
      <c r="C297" s="365"/>
      <c r="D297" s="365"/>
    </row>
    <row r="298" spans="2:4" ht="12.75" customHeight="1">
      <c r="B298" s="365"/>
      <c r="C298" s="365"/>
      <c r="D298" s="365"/>
    </row>
    <row r="299" spans="2:4" ht="12.75" customHeight="1">
      <c r="B299" s="365"/>
      <c r="C299" s="365"/>
      <c r="D299" s="365"/>
    </row>
    <row r="300" spans="2:4" ht="12.75" customHeight="1">
      <c r="B300" s="365"/>
      <c r="C300" s="365"/>
      <c r="D300" s="365"/>
    </row>
    <row r="301" spans="2:4" ht="12.75" customHeight="1">
      <c r="B301" s="365"/>
      <c r="C301" s="365"/>
      <c r="D301" s="365"/>
    </row>
    <row r="302" spans="2:4" ht="12.75" customHeight="1">
      <c r="B302" s="365"/>
      <c r="C302" s="365"/>
      <c r="D302" s="365"/>
    </row>
    <row r="303" spans="2:4" ht="12.75" customHeight="1">
      <c r="B303" s="365"/>
      <c r="C303" s="365"/>
      <c r="D303" s="365"/>
    </row>
    <row r="304" spans="2:4" ht="12.75" customHeight="1">
      <c r="B304" s="365"/>
      <c r="C304" s="365"/>
      <c r="D304" s="365"/>
    </row>
    <row r="305" spans="2:4" ht="12.75" customHeight="1">
      <c r="B305" s="365"/>
      <c r="C305" s="365"/>
      <c r="D305" s="365"/>
    </row>
    <row r="306" spans="2:4" ht="12.75" customHeight="1">
      <c r="B306" s="365"/>
      <c r="C306" s="365"/>
      <c r="D306" s="365"/>
    </row>
    <row r="307" spans="2:4" ht="12.75" customHeight="1">
      <c r="B307" s="365"/>
      <c r="C307" s="365"/>
      <c r="D307" s="365"/>
    </row>
    <row r="308" spans="2:4" ht="12.75" customHeight="1">
      <c r="B308" s="365"/>
      <c r="C308" s="365"/>
      <c r="D308" s="365"/>
    </row>
    <row r="309" spans="2:4" ht="12.75" customHeight="1">
      <c r="B309" s="365"/>
      <c r="C309" s="365"/>
      <c r="D309" s="365"/>
    </row>
    <row r="310" spans="2:4" ht="12.75" customHeight="1">
      <c r="B310" s="365"/>
      <c r="C310" s="365"/>
      <c r="D310" s="365"/>
    </row>
    <row r="311" spans="2:4" ht="12.75" customHeight="1">
      <c r="B311" s="365"/>
      <c r="C311" s="365"/>
      <c r="D311" s="365"/>
    </row>
    <row r="312" spans="2:4" ht="12.75" customHeight="1">
      <c r="B312" s="365"/>
      <c r="C312" s="365"/>
      <c r="D312" s="365"/>
    </row>
    <row r="313" spans="2:4" ht="12.75" customHeight="1">
      <c r="B313" s="365"/>
      <c r="C313" s="365"/>
      <c r="D313" s="365"/>
    </row>
    <row r="314" spans="2:4" ht="12.75" customHeight="1">
      <c r="B314" s="365"/>
      <c r="C314" s="365"/>
      <c r="D314" s="365"/>
    </row>
    <row r="315" spans="2:4" ht="12.75" customHeight="1">
      <c r="B315" s="365"/>
      <c r="C315" s="365"/>
      <c r="D315" s="365"/>
    </row>
    <row r="316" spans="2:4" ht="12.75" customHeight="1">
      <c r="B316" s="365"/>
      <c r="C316" s="365"/>
      <c r="D316" s="365"/>
    </row>
    <row r="317" spans="2:4" ht="12.75" customHeight="1">
      <c r="B317" s="365"/>
      <c r="C317" s="365"/>
      <c r="D317" s="365"/>
    </row>
    <row r="318" spans="2:4" ht="12.75" customHeight="1">
      <c r="B318" s="365"/>
      <c r="C318" s="365"/>
      <c r="D318" s="365"/>
    </row>
    <row r="319" spans="2:4" ht="12.75" customHeight="1">
      <c r="B319" s="365"/>
      <c r="C319" s="365"/>
      <c r="D319" s="365"/>
    </row>
    <row r="320" spans="2:4" ht="12.75" customHeight="1">
      <c r="B320" s="365"/>
      <c r="C320" s="365"/>
      <c r="D320" s="365"/>
    </row>
    <row r="321" spans="2:4" ht="12.75" customHeight="1">
      <c r="B321" s="365"/>
      <c r="C321" s="365"/>
      <c r="D321" s="365"/>
    </row>
    <row r="322" spans="2:4" ht="12.75" customHeight="1">
      <c r="B322" s="365"/>
      <c r="C322" s="365"/>
      <c r="D322" s="365"/>
    </row>
    <row r="323" spans="2:4" ht="12.75" customHeight="1">
      <c r="B323" s="365"/>
      <c r="C323" s="365"/>
      <c r="D323" s="365"/>
    </row>
    <row r="324" spans="2:4" ht="12.75" customHeight="1">
      <c r="B324" s="365"/>
      <c r="C324" s="365"/>
      <c r="D324" s="365"/>
    </row>
    <row r="325" spans="2:4" ht="12.75" customHeight="1">
      <c r="B325" s="365"/>
      <c r="C325" s="365"/>
      <c r="D325" s="365"/>
    </row>
    <row r="326" spans="2:4" ht="12.75" customHeight="1">
      <c r="B326" s="365"/>
      <c r="C326" s="365"/>
      <c r="D326" s="365"/>
    </row>
    <row r="327" spans="2:4" ht="12.75" customHeight="1">
      <c r="B327" s="365"/>
      <c r="C327" s="365"/>
      <c r="D327" s="365"/>
    </row>
    <row r="328" spans="2:4" ht="12.75" customHeight="1">
      <c r="B328" s="365"/>
      <c r="C328" s="365"/>
      <c r="D328" s="365"/>
    </row>
    <row r="329" spans="2:4" ht="12.75" customHeight="1">
      <c r="B329" s="365"/>
      <c r="C329" s="365"/>
      <c r="D329" s="365"/>
    </row>
    <row r="330" spans="2:4" ht="12.75" customHeight="1">
      <c r="B330" s="365"/>
      <c r="C330" s="365"/>
      <c r="D330" s="365"/>
    </row>
    <row r="331" spans="2:4" ht="12.75" customHeight="1">
      <c r="B331" s="365"/>
      <c r="C331" s="365"/>
      <c r="D331" s="365"/>
    </row>
    <row r="332" spans="2:4" ht="12.75" customHeight="1">
      <c r="B332" s="365"/>
      <c r="C332" s="365"/>
      <c r="D332" s="365"/>
    </row>
    <row r="333" spans="2:4" ht="12.75" customHeight="1">
      <c r="B333" s="365"/>
      <c r="C333" s="365"/>
      <c r="D333" s="365"/>
    </row>
    <row r="334" spans="2:4" ht="12.75" customHeight="1">
      <c r="B334" s="365"/>
      <c r="C334" s="365"/>
      <c r="D334" s="365"/>
    </row>
    <row r="335" spans="2:4" ht="12.75" customHeight="1">
      <c r="B335" s="365"/>
      <c r="C335" s="365"/>
      <c r="D335" s="365"/>
    </row>
    <row r="336" spans="2:4" ht="12.75" customHeight="1">
      <c r="B336" s="365"/>
      <c r="C336" s="365"/>
      <c r="D336" s="365"/>
    </row>
    <row r="337" spans="2:4" ht="12.75" customHeight="1">
      <c r="B337" s="365"/>
      <c r="C337" s="365"/>
      <c r="D337" s="365"/>
    </row>
    <row r="338" spans="2:4" ht="12.75" customHeight="1">
      <c r="B338" s="365"/>
      <c r="C338" s="365"/>
      <c r="D338" s="365"/>
    </row>
    <row r="339" spans="2:4" ht="12.75" customHeight="1">
      <c r="B339" s="365"/>
      <c r="C339" s="365"/>
      <c r="D339" s="365"/>
    </row>
    <row r="340" spans="2:4" ht="12.75" customHeight="1">
      <c r="B340" s="365"/>
      <c r="C340" s="365"/>
      <c r="D340" s="365"/>
    </row>
    <row r="341" spans="2:4" ht="12.75" customHeight="1">
      <c r="B341" s="365"/>
      <c r="C341" s="365"/>
      <c r="D341" s="365"/>
    </row>
    <row r="342" spans="2:4" ht="12.75" customHeight="1">
      <c r="B342" s="365"/>
      <c r="C342" s="365"/>
      <c r="D342" s="365"/>
    </row>
    <row r="343" spans="2:4" ht="12.75" customHeight="1">
      <c r="B343" s="365"/>
      <c r="C343" s="365"/>
      <c r="D343" s="365"/>
    </row>
    <row r="344" spans="2:4" ht="12.75" customHeight="1">
      <c r="B344" s="365"/>
      <c r="C344" s="365"/>
      <c r="D344" s="365"/>
    </row>
    <row r="345" spans="2:4" ht="12.75" customHeight="1">
      <c r="B345" s="365"/>
      <c r="C345" s="365"/>
      <c r="D345" s="365"/>
    </row>
    <row r="346" spans="2:4" ht="12.75" customHeight="1">
      <c r="B346" s="365"/>
      <c r="C346" s="365"/>
      <c r="D346" s="365"/>
    </row>
    <row r="347" spans="2:4" ht="12.75" customHeight="1">
      <c r="B347" s="365"/>
      <c r="C347" s="365"/>
      <c r="D347" s="365"/>
    </row>
    <row r="348" spans="2:4" ht="12.75" customHeight="1">
      <c r="B348" s="365"/>
      <c r="C348" s="365"/>
      <c r="D348" s="365"/>
    </row>
    <row r="349" spans="2:4" ht="12.75" customHeight="1">
      <c r="B349" s="365"/>
      <c r="C349" s="365"/>
      <c r="D349" s="365"/>
    </row>
    <row r="350" spans="2:4" ht="12.75" customHeight="1">
      <c r="B350" s="365"/>
      <c r="C350" s="365"/>
      <c r="D350" s="365"/>
    </row>
    <row r="351" spans="2:4" ht="12.75" customHeight="1">
      <c r="B351" s="365"/>
      <c r="C351" s="365"/>
      <c r="D351" s="365"/>
    </row>
    <row r="352" spans="2:4" ht="12.75" customHeight="1">
      <c r="B352" s="365"/>
      <c r="C352" s="365"/>
      <c r="D352" s="365"/>
    </row>
    <row r="353" spans="2:4" ht="12.75" customHeight="1">
      <c r="B353" s="365"/>
      <c r="C353" s="365"/>
      <c r="D353" s="365"/>
    </row>
    <row r="354" spans="2:4" ht="12.75" customHeight="1">
      <c r="B354" s="365"/>
      <c r="C354" s="365"/>
      <c r="D354" s="365"/>
    </row>
    <row r="355" spans="2:4" ht="12.75" customHeight="1">
      <c r="B355" s="365"/>
      <c r="C355" s="365"/>
      <c r="D355" s="365"/>
    </row>
    <row r="356" spans="2:4" ht="12.75" customHeight="1">
      <c r="B356" s="365"/>
      <c r="C356" s="365"/>
      <c r="D356" s="365"/>
    </row>
    <row r="357" spans="2:4" ht="12.75" customHeight="1">
      <c r="B357" s="365"/>
      <c r="C357" s="365"/>
      <c r="D357" s="365"/>
    </row>
    <row r="358" spans="2:4" ht="12.75" customHeight="1">
      <c r="B358" s="365"/>
      <c r="C358" s="365"/>
      <c r="D358" s="365"/>
    </row>
    <row r="359" spans="2:4" ht="12.75" customHeight="1">
      <c r="B359" s="365"/>
      <c r="C359" s="365"/>
      <c r="D359" s="365"/>
    </row>
    <row r="360" spans="2:4" ht="12.75" customHeight="1">
      <c r="B360" s="365"/>
      <c r="C360" s="365"/>
      <c r="D360" s="365"/>
    </row>
  </sheetData>
  <mergeCells count="2">
    <mergeCell ref="A1:A2"/>
    <mergeCell ref="B1:K1"/>
  </mergeCells>
  <hyperlinks>
    <hyperlink ref="A67" location="Índice!A1" display="Índice" xr:uid="{00000000-0004-0000-0C00-000000000000}"/>
  </hyperlinks>
  <printOptions horizontalCentered="1" verticalCentered="1"/>
  <pageMargins left="0.51181102362204722" right="0.51181102362204722" top="0.39370078740157483" bottom="0.39370078740157483" header="0.31496062992125984" footer="0.31496062992125984"/>
  <pageSetup paperSize="9" scale="60" pageOrder="overThenDown" orientation="portrait" r:id="rId1"/>
  <headerFooter alignWithMargins="0">
    <oddHeader xml:space="preserve">&amp;L&amp;"-,Negrito"&amp;11 12 - Balanço
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2" tint="-0.749992370372631"/>
    <pageSetUpPr fitToPage="1"/>
  </sheetPr>
  <dimension ref="A1:I242"/>
  <sheetViews>
    <sheetView showGridLines="0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12" sqref="E12"/>
    </sheetView>
  </sheetViews>
  <sheetFormatPr defaultColWidth="9.109375" defaultRowHeight="10.199999999999999"/>
  <cols>
    <col min="1" max="1" width="45.44140625" style="1" customWidth="1"/>
    <col min="2" max="2" width="15.6640625" style="216" customWidth="1"/>
    <col min="3" max="6" width="15.6640625" style="1" customWidth="1"/>
    <col min="7" max="9" width="14.5546875" style="1" bestFit="1" customWidth="1"/>
    <col min="10" max="16384" width="9.109375" style="1"/>
  </cols>
  <sheetData>
    <row r="1" spans="1:9" s="37" customFormat="1" ht="21" customHeight="1">
      <c r="A1" s="190" t="s">
        <v>22</v>
      </c>
      <c r="B1" s="112">
        <v>0</v>
      </c>
      <c r="C1" s="112">
        <v>2024</v>
      </c>
      <c r="D1" s="112">
        <f>+C1+1</f>
        <v>2025</v>
      </c>
      <c r="E1" s="112">
        <f t="shared" ref="E1:G1" si="0">+D1+1</f>
        <v>2026</v>
      </c>
      <c r="F1" s="112">
        <f t="shared" si="0"/>
        <v>2027</v>
      </c>
      <c r="G1" s="112">
        <f t="shared" si="0"/>
        <v>2028</v>
      </c>
      <c r="H1" s="112">
        <f t="shared" ref="H1" si="1">+G1+1</f>
        <v>2029</v>
      </c>
      <c r="I1" s="112">
        <f t="shared" ref="I1" si="2">+H1+1</f>
        <v>2030</v>
      </c>
    </row>
    <row r="2" spans="1:9" s="73" customFormat="1" ht="15" customHeight="1">
      <c r="A2" s="81" t="s">
        <v>40</v>
      </c>
      <c r="B2" s="204">
        <v>0</v>
      </c>
      <c r="C2" s="82">
        <f>+'DR SNC'!F32</f>
        <v>218138.28191788652</v>
      </c>
      <c r="D2" s="82">
        <f>+'DR SNC'!G32</f>
        <v>269202.97244694422</v>
      </c>
      <c r="E2" s="82">
        <f>+'DR SNC'!H32</f>
        <v>259003.89184591011</v>
      </c>
      <c r="F2" s="82">
        <f>+'DR SNC'!I32</f>
        <v>469130.9626394629</v>
      </c>
      <c r="G2" s="82">
        <f>+'DR SNC'!J32</f>
        <v>353369.00755087018</v>
      </c>
      <c r="H2" s="82">
        <f>+'DR SNC'!K32</f>
        <v>0</v>
      </c>
      <c r="I2" s="82">
        <f>+'DR SNC'!L32</f>
        <v>0</v>
      </c>
    </row>
    <row r="3" spans="1:9" s="73" customFormat="1" ht="15" customHeight="1">
      <c r="A3" s="25" t="s">
        <v>39</v>
      </c>
      <c r="B3" s="205">
        <v>0</v>
      </c>
      <c r="C3" s="79">
        <f>-'DR SNC'!F21</f>
        <v>167370.81312541381</v>
      </c>
      <c r="D3" s="79">
        <f>-'DR SNC'!G21</f>
        <v>173155.81312483532</v>
      </c>
      <c r="E3" s="79">
        <f>-'DR SNC'!H21</f>
        <v>178940.81312425682</v>
      </c>
      <c r="F3" s="79">
        <f>-'DR SNC'!I21</f>
        <v>178940.81312425682</v>
      </c>
      <c r="G3" s="79">
        <f>-'DR SNC'!J21</f>
        <v>173155.81312425682</v>
      </c>
      <c r="H3" s="79">
        <f>-'DR SNC'!K21</f>
        <v>0</v>
      </c>
      <c r="I3" s="79">
        <f>-'DR SNC'!L21</f>
        <v>0</v>
      </c>
    </row>
    <row r="4" spans="1:9" s="73" customFormat="1" ht="15" customHeight="1">
      <c r="A4" s="25" t="s">
        <v>57</v>
      </c>
      <c r="B4" s="206">
        <f>SUM(B2:B3)</f>
        <v>0</v>
      </c>
      <c r="C4" s="110">
        <f t="shared" ref="C4:F4" si="3">SUM(C2:C3)</f>
        <v>385509.0950433003</v>
      </c>
      <c r="D4" s="110">
        <f t="shared" si="3"/>
        <v>442358.78557177953</v>
      </c>
      <c r="E4" s="110">
        <f t="shared" si="3"/>
        <v>437944.7049701669</v>
      </c>
      <c r="F4" s="110">
        <f t="shared" si="3"/>
        <v>648071.77576371969</v>
      </c>
      <c r="G4" s="110">
        <f t="shared" ref="G4:I4" si="4">SUM(G2:G3)</f>
        <v>526524.82067512698</v>
      </c>
      <c r="H4" s="110">
        <f t="shared" si="4"/>
        <v>0</v>
      </c>
      <c r="I4" s="110">
        <f t="shared" si="4"/>
        <v>0</v>
      </c>
    </row>
    <row r="5" spans="1:9" s="73" customFormat="1" ht="15" customHeight="1">
      <c r="A5" s="25" t="s">
        <v>78</v>
      </c>
      <c r="B5" s="207"/>
      <c r="C5" s="83"/>
      <c r="D5" s="83"/>
      <c r="E5" s="83"/>
      <c r="F5" s="83"/>
      <c r="G5" s="83"/>
      <c r="H5" s="83"/>
      <c r="I5" s="83"/>
    </row>
    <row r="6" spans="1:9" s="73" customFormat="1" ht="15" customHeight="1">
      <c r="A6" s="25" t="s">
        <v>42</v>
      </c>
      <c r="B6" s="207">
        <f>'MAPA INVESTIMENTOS'!B12+'MAPA INVESTIMENTOS'!C12</f>
        <v>149708</v>
      </c>
      <c r="C6" s="72"/>
      <c r="D6" s="72"/>
      <c r="E6" s="72"/>
      <c r="F6" s="72"/>
      <c r="G6" s="72"/>
      <c r="H6" s="72"/>
      <c r="I6" s="72"/>
    </row>
    <row r="7" spans="1:9" s="73" customFormat="1" ht="15" customHeight="1">
      <c r="A7" s="26" t="s">
        <v>58</v>
      </c>
      <c r="B7" s="208">
        <f>-B6</f>
        <v>-149708</v>
      </c>
      <c r="C7" s="84">
        <f t="shared" ref="C7:F7" si="5">+C4+C5+C6</f>
        <v>385509.0950433003</v>
      </c>
      <c r="D7" s="84">
        <f t="shared" si="5"/>
        <v>442358.78557177953</v>
      </c>
      <c r="E7" s="84">
        <f t="shared" si="5"/>
        <v>437944.7049701669</v>
      </c>
      <c r="F7" s="84">
        <f t="shared" si="5"/>
        <v>648071.77576371969</v>
      </c>
      <c r="G7" s="84">
        <f t="shared" ref="G7:I7" si="6">+G4+G5+G6</f>
        <v>526524.82067512698</v>
      </c>
      <c r="H7" s="84">
        <f t="shared" si="6"/>
        <v>0</v>
      </c>
      <c r="I7" s="84">
        <f t="shared" si="6"/>
        <v>0</v>
      </c>
    </row>
    <row r="8" spans="1:9" s="73" customFormat="1" ht="15" customHeight="1">
      <c r="A8" s="25" t="s">
        <v>67</v>
      </c>
      <c r="B8" s="208">
        <f>+B7</f>
        <v>-149708</v>
      </c>
      <c r="C8" s="85">
        <f>+B8+C7</f>
        <v>235801.0950433003</v>
      </c>
      <c r="D8" s="85">
        <f t="shared" ref="D8:F8" si="7">+C8+D7</f>
        <v>678159.88061507978</v>
      </c>
      <c r="E8" s="85">
        <f t="shared" si="7"/>
        <v>1116104.5855852468</v>
      </c>
      <c r="F8" s="85">
        <f t="shared" si="7"/>
        <v>1764176.3613489666</v>
      </c>
      <c r="G8" s="85">
        <f t="shared" ref="G8" si="8">+F8+G7</f>
        <v>2290701.1820240933</v>
      </c>
      <c r="H8" s="85">
        <f t="shared" ref="H8" si="9">+G8+H7</f>
        <v>2290701.1820240933</v>
      </c>
      <c r="I8" s="85">
        <f t="shared" ref="I8" si="10">+H8+I7</f>
        <v>2290701.1820240933</v>
      </c>
    </row>
    <row r="9" spans="1:9" s="73" customFormat="1" ht="15" customHeight="1">
      <c r="A9" s="27"/>
      <c r="B9" s="209"/>
      <c r="C9" s="86"/>
      <c r="D9" s="86"/>
      <c r="E9" s="86"/>
      <c r="F9" s="86"/>
      <c r="G9" s="86"/>
      <c r="H9" s="86"/>
      <c r="I9" s="86"/>
    </row>
    <row r="10" spans="1:9" s="73" customFormat="1" ht="15" customHeight="1">
      <c r="A10" s="191" t="s">
        <v>18</v>
      </c>
      <c r="B10" s="511">
        <f>IRR(B7:I7)</f>
        <v>2.6940796085869669</v>
      </c>
      <c r="C10" s="512"/>
      <c r="D10" s="87"/>
      <c r="E10" s="87"/>
      <c r="F10" s="87"/>
    </row>
    <row r="11" spans="1:9" s="73" customFormat="1" ht="14.4">
      <c r="A11" s="192" t="s">
        <v>43</v>
      </c>
      <c r="B11" s="513">
        <f>NPV(B17,B7,C7:I7)</f>
        <v>1850195.5313771681</v>
      </c>
      <c r="C11" s="514"/>
      <c r="D11" s="87"/>
      <c r="E11" s="87"/>
      <c r="F11" s="87"/>
    </row>
    <row r="12" spans="1:9" s="37" customFormat="1" ht="15" customHeight="1">
      <c r="A12" s="61"/>
      <c r="B12" s="392"/>
      <c r="C12" s="36"/>
      <c r="D12" s="36"/>
      <c r="E12" s="36"/>
      <c r="F12" s="36"/>
    </row>
    <row r="13" spans="1:9" s="37" customFormat="1" ht="15" customHeight="1">
      <c r="A13" s="152" t="s">
        <v>9</v>
      </c>
      <c r="B13" s="112" t="s">
        <v>55</v>
      </c>
    </row>
    <row r="14" spans="1:9" s="37" customFormat="1" ht="15" customHeight="1">
      <c r="A14" s="9" t="s">
        <v>68</v>
      </c>
      <c r="B14" s="211">
        <v>0.02</v>
      </c>
    </row>
    <row r="15" spans="1:9" s="37" customFormat="1" ht="15" customHeight="1">
      <c r="A15" s="10" t="s">
        <v>69</v>
      </c>
      <c r="B15" s="212">
        <v>0.05</v>
      </c>
    </row>
    <row r="16" spans="1:9" s="37" customFormat="1" ht="15" customHeight="1">
      <c r="A16" s="10" t="s">
        <v>70</v>
      </c>
      <c r="B16" s="213">
        <v>1</v>
      </c>
    </row>
    <row r="17" spans="1:4" s="37" customFormat="1" ht="17.25" customHeight="1">
      <c r="A17" s="11" t="s">
        <v>71</v>
      </c>
      <c r="B17" s="214">
        <v>0.05</v>
      </c>
      <c r="C17" s="88"/>
    </row>
    <row r="18" spans="1:4" s="37" customFormat="1" ht="15" customHeight="1">
      <c r="A18" s="61"/>
      <c r="B18" s="210"/>
    </row>
    <row r="19" spans="1:4" s="37" customFormat="1" ht="15" customHeight="1">
      <c r="B19" s="510" t="s">
        <v>72</v>
      </c>
      <c r="C19" s="510"/>
      <c r="D19" s="510"/>
    </row>
    <row r="20" spans="1:4" s="37" customFormat="1" ht="15" customHeight="1">
      <c r="B20" s="56"/>
    </row>
    <row r="21" spans="1:4" s="37" customFormat="1" ht="29.4" customHeight="1">
      <c r="B21" s="112" t="s">
        <v>73</v>
      </c>
      <c r="C21" s="112" t="s">
        <v>74</v>
      </c>
      <c r="D21" s="197" t="s">
        <v>76</v>
      </c>
    </row>
    <row r="22" spans="1:4" s="37" customFormat="1" ht="15" customHeight="1">
      <c r="A22" s="62">
        <v>0</v>
      </c>
      <c r="B22" s="217">
        <v>0</v>
      </c>
      <c r="C22" s="218">
        <f>+B8</f>
        <v>-149708</v>
      </c>
      <c r="D22" s="219">
        <f>+C22</f>
        <v>-149708</v>
      </c>
    </row>
    <row r="23" spans="1:4" s="37" customFormat="1" ht="15" customHeight="1">
      <c r="A23" s="62">
        <v>2019</v>
      </c>
      <c r="B23" s="217">
        <v>1</v>
      </c>
      <c r="C23" s="218">
        <f>+C7</f>
        <v>385509.0950433003</v>
      </c>
      <c r="D23" s="219">
        <f>+D22+C23</f>
        <v>235801.0950433003</v>
      </c>
    </row>
    <row r="24" spans="1:4" s="37" customFormat="1" ht="15" customHeight="1">
      <c r="A24" s="62">
        <f>+A23+1</f>
        <v>2020</v>
      </c>
      <c r="B24" s="217">
        <f>+B23+1</f>
        <v>2</v>
      </c>
      <c r="C24" s="218">
        <f>+D7</f>
        <v>442358.78557177953</v>
      </c>
      <c r="D24" s="219">
        <f t="shared" ref="D24:D27" si="11">+D23+C24</f>
        <v>678159.88061507978</v>
      </c>
    </row>
    <row r="25" spans="1:4" s="37" customFormat="1" ht="15" customHeight="1">
      <c r="A25" s="62">
        <f t="shared" ref="A25:A27" si="12">+A24+1</f>
        <v>2021</v>
      </c>
      <c r="B25" s="217">
        <f t="shared" ref="B25:B27" si="13">+B24+1</f>
        <v>3</v>
      </c>
      <c r="C25" s="218">
        <f>+E7</f>
        <v>437944.7049701669</v>
      </c>
      <c r="D25" s="219">
        <f t="shared" si="11"/>
        <v>1116104.5855852468</v>
      </c>
    </row>
    <row r="26" spans="1:4" s="37" customFormat="1" ht="15" customHeight="1">
      <c r="A26" s="62">
        <f t="shared" si="12"/>
        <v>2022</v>
      </c>
      <c r="B26" s="217">
        <f t="shared" si="13"/>
        <v>4</v>
      </c>
      <c r="C26" s="218">
        <f>+F7</f>
        <v>648071.77576371969</v>
      </c>
      <c r="D26" s="219">
        <f t="shared" si="11"/>
        <v>1764176.3613489666</v>
      </c>
    </row>
    <row r="27" spans="1:4" s="37" customFormat="1" ht="15" customHeight="1">
      <c r="A27" s="62">
        <f t="shared" si="12"/>
        <v>2023</v>
      </c>
      <c r="B27" s="217">
        <f t="shared" si="13"/>
        <v>5</v>
      </c>
      <c r="C27" s="218">
        <f>+G7</f>
        <v>526524.82067512698</v>
      </c>
      <c r="D27" s="219">
        <f t="shared" si="11"/>
        <v>2290701.1820240933</v>
      </c>
    </row>
    <row r="28" spans="1:4" s="37" customFormat="1" ht="15" customHeight="1">
      <c r="A28" s="62"/>
      <c r="B28" s="56"/>
    </row>
    <row r="29" spans="1:4" s="37" customFormat="1" ht="15" customHeight="1">
      <c r="B29" s="56"/>
    </row>
    <row r="30" spans="1:4" s="37" customFormat="1" ht="15" customHeight="1">
      <c r="B30" s="215" t="s">
        <v>75</v>
      </c>
      <c r="C30" s="193">
        <f>5+(1-D27/C27)</f>
        <v>1.649395637062498</v>
      </c>
      <c r="D30" s="194" t="s">
        <v>77</v>
      </c>
    </row>
    <row r="31" spans="1:4" ht="15" customHeight="1">
      <c r="B31" s="509"/>
      <c r="C31" s="509"/>
      <c r="D31" s="509"/>
    </row>
    <row r="32" spans="1:4" ht="15" customHeight="1"/>
    <row r="33" spans="1:1" ht="20.100000000000001" customHeight="1">
      <c r="A33" s="115" t="s">
        <v>136</v>
      </c>
    </row>
    <row r="34" spans="1:1" ht="15" customHeight="1"/>
    <row r="35" spans="1:1" ht="15" customHeight="1"/>
    <row r="36" spans="1:1" ht="15" customHeight="1"/>
    <row r="37" spans="1:1" ht="15" customHeight="1"/>
    <row r="38" spans="1:1" ht="15" customHeight="1"/>
    <row r="39" spans="1:1" ht="15" customHeight="1"/>
    <row r="40" spans="1:1" ht="15" customHeight="1"/>
    <row r="41" spans="1:1" ht="15" customHeight="1"/>
    <row r="42" spans="1:1" ht="15" customHeight="1"/>
    <row r="43" spans="1:1" ht="15" customHeight="1"/>
    <row r="44" spans="1:1" ht="15" customHeight="1"/>
    <row r="45" spans="1:1" ht="15" customHeight="1"/>
    <row r="46" spans="1:1" ht="15" customHeight="1"/>
    <row r="47" spans="1:1" ht="15" customHeight="1"/>
    <row r="48" spans="1:1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</sheetData>
  <mergeCells count="4">
    <mergeCell ref="B31:D31"/>
    <mergeCell ref="B19:D19"/>
    <mergeCell ref="B10:C10"/>
    <mergeCell ref="B11:C11"/>
  </mergeCells>
  <conditionalFormatting sqref="B10:C11">
    <cfRule type="cellIs" dxfId="2" priority="1" operator="lessThan">
      <formula>0</formula>
    </cfRule>
  </conditionalFormatting>
  <conditionalFormatting sqref="B2:I8">
    <cfRule type="cellIs" dxfId="1" priority="3" operator="lessThan">
      <formula>0</formula>
    </cfRule>
  </conditionalFormatting>
  <conditionalFormatting sqref="C22:D27">
    <cfRule type="cellIs" dxfId="0" priority="2" operator="lessThan">
      <formula>0</formula>
    </cfRule>
  </conditionalFormatting>
  <hyperlinks>
    <hyperlink ref="A33" location="Índice!A1" display="Índice" xr:uid="{00000000-0004-0000-0D00-000000000000}"/>
  </hyperlinks>
  <pageMargins left="0.74803149606299213" right="0.74803149606299213" top="0.98425196850393704" bottom="0.98425196850393704" header="0.51181102362204722" footer="0.51181102362204722"/>
  <pageSetup paperSize="9" fitToHeight="14" orientation="landscape" r:id="rId1"/>
  <headerFooter alignWithMargins="0">
    <oddHeader>&amp;L&amp;"Arial,Negrito"13 - Avaliação Investimento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73134-0B1A-4B66-ADD2-96E06112ECB0}">
  <dimension ref="A1:E22"/>
  <sheetViews>
    <sheetView showGridLines="0" workbookViewId="0">
      <selection activeCell="B3" sqref="B3:C4"/>
    </sheetView>
  </sheetViews>
  <sheetFormatPr defaultRowHeight="13.2"/>
  <cols>
    <col min="1" max="1" width="89" bestFit="1" customWidth="1"/>
    <col min="2" max="2" width="17.109375" customWidth="1"/>
    <col min="3" max="3" width="16.109375" customWidth="1"/>
    <col min="4" max="4" width="12.88671875" bestFit="1" customWidth="1"/>
    <col min="5" max="5" width="15.6640625" customWidth="1"/>
  </cols>
  <sheetData>
    <row r="1" spans="1:5" ht="26.4">
      <c r="A1" s="265" t="s">
        <v>150</v>
      </c>
      <c r="B1" s="249" t="s">
        <v>187</v>
      </c>
      <c r="C1" s="270" t="s">
        <v>188</v>
      </c>
    </row>
    <row r="2" spans="1:5">
      <c r="A2" s="267" t="s">
        <v>215</v>
      </c>
      <c r="B2" s="272">
        <v>12500</v>
      </c>
      <c r="C2" s="272">
        <v>12500</v>
      </c>
    </row>
    <row r="3" spans="1:5">
      <c r="A3" s="267" t="s">
        <v>216</v>
      </c>
      <c r="B3" s="272">
        <v>4855</v>
      </c>
      <c r="C3" s="272">
        <v>4855</v>
      </c>
    </row>
    <row r="4" spans="1:5">
      <c r="A4" s="267" t="s">
        <v>184</v>
      </c>
      <c r="B4" s="272">
        <v>4000</v>
      </c>
      <c r="C4" s="272">
        <v>4000</v>
      </c>
    </row>
    <row r="5" spans="1:5">
      <c r="A5" s="267" t="s">
        <v>217</v>
      </c>
      <c r="B5" s="272">
        <v>15000</v>
      </c>
      <c r="C5" s="272">
        <v>15000</v>
      </c>
    </row>
    <row r="6" spans="1:5">
      <c r="A6" s="267" t="s">
        <v>189</v>
      </c>
      <c r="B6" s="272">
        <v>37249</v>
      </c>
      <c r="C6" s="272">
        <v>37249</v>
      </c>
    </row>
    <row r="7" spans="1:5">
      <c r="A7" s="266" t="s">
        <v>190</v>
      </c>
      <c r="B7" s="271">
        <v>1250</v>
      </c>
      <c r="C7" s="271">
        <v>1250</v>
      </c>
    </row>
    <row r="8" spans="1:5">
      <c r="A8" s="266"/>
      <c r="B8" s="271"/>
      <c r="C8" s="271"/>
    </row>
    <row r="9" spans="1:5">
      <c r="A9" s="266"/>
      <c r="B9" s="271"/>
      <c r="C9" s="271"/>
    </row>
    <row r="10" spans="1:5">
      <c r="A10" s="267"/>
      <c r="B10" s="272"/>
      <c r="C10" s="272"/>
    </row>
    <row r="11" spans="1:5" ht="14.4">
      <c r="A11" s="268"/>
      <c r="B11" s="273"/>
      <c r="C11" s="273"/>
    </row>
    <row r="12" spans="1:5" ht="24.75" customHeight="1">
      <c r="A12" s="269"/>
      <c r="B12" s="259">
        <f>SUM(B2:B11)</f>
        <v>74854</v>
      </c>
      <c r="C12" s="259">
        <f>SUM(C2:C11)</f>
        <v>74854</v>
      </c>
      <c r="E12" s="250"/>
    </row>
    <row r="14" spans="1:5" ht="14.4">
      <c r="A14" s="257" t="s">
        <v>153</v>
      </c>
      <c r="B14" s="258">
        <f>+B9+B10</f>
        <v>0</v>
      </c>
      <c r="C14" s="258">
        <f>+C9+C10</f>
        <v>0</v>
      </c>
    </row>
    <row r="16" spans="1:5" ht="14.4">
      <c r="A16" s="251" t="s">
        <v>151</v>
      </c>
      <c r="B16" s="252">
        <f>+B12+C12</f>
        <v>149708</v>
      </c>
    </row>
    <row r="17" spans="1:4" ht="14.4">
      <c r="A17" s="253" t="s">
        <v>192</v>
      </c>
      <c r="B17" s="254">
        <f>+B12*0.75</f>
        <v>56140.5</v>
      </c>
      <c r="C17" s="254">
        <f>+C12*0.75</f>
        <v>56140.5</v>
      </c>
    </row>
    <row r="18" spans="1:4" ht="14.4">
      <c r="A18" s="274"/>
      <c r="B18" s="275"/>
      <c r="C18" s="275"/>
    </row>
    <row r="19" spans="1:4" ht="14.4">
      <c r="A19" s="255" t="s">
        <v>152</v>
      </c>
      <c r="B19" s="256">
        <f>+B12*0.25</f>
        <v>18713.5</v>
      </c>
      <c r="C19" s="256">
        <f>+C12*0.25</f>
        <v>18713.5</v>
      </c>
      <c r="D19" s="250">
        <f>SUM(B19:C19)</f>
        <v>37427</v>
      </c>
    </row>
    <row r="20" spans="1:4" ht="14.4">
      <c r="A20" s="276" t="s">
        <v>191</v>
      </c>
      <c r="B20" s="277">
        <f>+B12*0.75</f>
        <v>56140.5</v>
      </c>
      <c r="C20" s="277">
        <f>+C12*0.75</f>
        <v>56140.5</v>
      </c>
      <c r="D20" s="250">
        <f t="shared" ref="D20:D21" si="0">SUM(B20:C20)</f>
        <v>112281</v>
      </c>
    </row>
    <row r="21" spans="1:4" ht="14.4">
      <c r="A21" s="255" t="s">
        <v>193</v>
      </c>
      <c r="B21" s="256">
        <f>+B17*0</f>
        <v>0</v>
      </c>
      <c r="C21" s="256">
        <f>+C17*0</f>
        <v>0</v>
      </c>
      <c r="D21" s="250">
        <f t="shared" si="0"/>
        <v>0</v>
      </c>
    </row>
    <row r="22" spans="1:4">
      <c r="A22" s="278" t="s">
        <v>155</v>
      </c>
      <c r="B22" s="258">
        <f>SUM(B19:B21)</f>
        <v>74854</v>
      </c>
      <c r="C22" s="258">
        <f>SUM(C19:C21)</f>
        <v>74854</v>
      </c>
      <c r="D22" s="250">
        <f>SUM(B22:C22)</f>
        <v>149708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B53EA2A34FFF4591C71A257ED8A3F9" ma:contentTypeVersion="8" ma:contentTypeDescription="Create a new document." ma:contentTypeScope="" ma:versionID="de88f5e0adcb5e41febad71475eb7f7f">
  <xsd:schema xmlns:xsd="http://www.w3.org/2001/XMLSchema" xmlns:xs="http://www.w3.org/2001/XMLSchema" xmlns:p="http://schemas.microsoft.com/office/2006/metadata/properties" xmlns:ns2="a1248a8d-f154-4d38-9b26-22135aadad4c" xmlns:ns3="dff52f49-a782-4a67-a6ca-0511cb83c3e7" targetNamespace="http://schemas.microsoft.com/office/2006/metadata/properties" ma:root="true" ma:fieldsID="587775178c6fa0662d79badf2ded03e5" ns2:_="" ns3:_="">
    <xsd:import namespace="a1248a8d-f154-4d38-9b26-22135aadad4c"/>
    <xsd:import namespace="dff52f49-a782-4a67-a6ca-0511cb83c3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248a8d-f154-4d38-9b26-22135aadad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MediaService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f52f49-a782-4a67-a6ca-0511cb83c3e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7C462B4-6712-4B3D-8822-FC618632C57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248a8d-f154-4d38-9b26-22135aadad4c"/>
    <ds:schemaRef ds:uri="dff52f49-a782-4a67-a6ca-0511cb83c3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8F6F347-EA43-4EFD-98C3-1CC3F0A62909}">
  <ds:schemaRefs>
    <ds:schemaRef ds:uri="dff52f49-a782-4a67-a6ca-0511cb83c3e7"/>
    <ds:schemaRef ds:uri="http://schemas.openxmlformats.org/package/2006/metadata/core-properties"/>
    <ds:schemaRef ds:uri="a1248a8d-f154-4d38-9b26-22135aadad4c"/>
    <ds:schemaRef ds:uri="http://schemas.microsoft.com/office/2006/documentManagement/types"/>
    <ds:schemaRef ds:uri="http://purl.org/dc/dcmitype/"/>
    <ds:schemaRef ds:uri="http://www.w3.org/XML/1998/namespace"/>
    <ds:schemaRef ds:uri="http://schemas.microsoft.com/office/infopath/2007/PartnerControls"/>
    <ds:schemaRef ds:uri="http://schemas.microsoft.com/office/2006/metadata/properties"/>
    <ds:schemaRef ds:uri="http://purl.org/dc/terms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92685103-DB89-49E3-8C1A-ACAB8A4560E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7</vt:i4>
      </vt:variant>
    </vt:vector>
  </HeadingPairs>
  <TitlesOfParts>
    <vt:vector size="22" baseType="lpstr">
      <vt:lpstr>Índice</vt:lpstr>
      <vt:lpstr>Pressupostos</vt:lpstr>
      <vt:lpstr>Previsão Receitas</vt:lpstr>
      <vt:lpstr>Fornecimento  Serviços Externos</vt:lpstr>
      <vt:lpstr>Capital Circulante</vt:lpstr>
      <vt:lpstr>63_G. Pess.</vt:lpstr>
      <vt:lpstr>Amortizações</vt:lpstr>
      <vt:lpstr>Serviço da Divida Emp. Bancario</vt:lpstr>
      <vt:lpstr>Mov dos Impostos S Rendi</vt:lpstr>
      <vt:lpstr>MEIOS LIBERTOS PROJETO</vt:lpstr>
      <vt:lpstr>Plano Financeiro </vt:lpstr>
      <vt:lpstr>DR SNC</vt:lpstr>
      <vt:lpstr>Balanço SNC</vt:lpstr>
      <vt:lpstr>Avaliação Investimento</vt:lpstr>
      <vt:lpstr>MAPA INVESTIMENTOS</vt:lpstr>
      <vt:lpstr>'63_G. Pess.'!Print_Area</vt:lpstr>
      <vt:lpstr>'Balanço SNC'!Print_Area</vt:lpstr>
      <vt:lpstr>'Capital Circulante'!Print_Area</vt:lpstr>
      <vt:lpstr>'DR SNC'!Print_Area</vt:lpstr>
      <vt:lpstr>'Fornecimento  Serviços Externos'!Print_Area</vt:lpstr>
      <vt:lpstr>'MEIOS LIBERTOS PROJETO'!Print_Area</vt:lpstr>
      <vt:lpstr>Pressupostos!Print_Area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Andion</dc:creator>
  <cp:lastModifiedBy>Joana Santos</cp:lastModifiedBy>
  <cp:lastPrinted>2016-07-18T10:09:53Z</cp:lastPrinted>
  <dcterms:created xsi:type="dcterms:W3CDTF">2006-04-26T13:10:09Z</dcterms:created>
  <dcterms:modified xsi:type="dcterms:W3CDTF">2025-10-28T23:02:23Z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0x01010074B53EA2A34FFF4591C71A257ED8A3F9</vt:lpwstr>
  </property>
</Properties>
</file>