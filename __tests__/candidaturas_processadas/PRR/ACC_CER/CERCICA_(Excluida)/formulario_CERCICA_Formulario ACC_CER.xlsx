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struções" sheetId="1" r:id="rId4"/>
    <sheet state="visible" name="Pre-Registo" sheetId="2" r:id="rId5"/>
    <sheet state="visible" name="1.Identif Projeto" sheetId="3" r:id="rId6"/>
    <sheet state="visible" name="2.Inform Benef" sheetId="4" r:id="rId7"/>
    <sheet state="visible" name="3.UPAC" sheetId="5" r:id="rId8"/>
    <sheet state="visible" name="4.Instalações" sheetId="6" r:id="rId9"/>
    <sheet state="hidden" name="Aux" sheetId="7" r:id="rId10"/>
  </sheets>
  <definedNames/>
  <calcPr/>
  <extLst>
    <ext uri="GoogleSheetsCustomDataVersion2">
      <go:sheetsCustomData xmlns:go="http://customooxmlschemas.google.com/" r:id="rId11" roundtripDataChecksum="/fFkwUNpk+rxAMRV/qNKyhsCWZkGswRuK9d2KnYGEbA="/>
    </ext>
  </extLst>
</workbook>
</file>

<file path=xl/sharedStrings.xml><?xml version="1.0" encoding="utf-8"?>
<sst xmlns="http://schemas.openxmlformats.org/spreadsheetml/2006/main" count="435" uniqueCount="208">
  <si>
    <t>Legenda de cores</t>
  </si>
  <si>
    <t>Células com escolha múltipla</t>
  </si>
  <si>
    <t>Upload Documentos (identificar se temos o doc ou não)</t>
  </si>
  <si>
    <t xml:space="preserve">Login: </t>
  </si>
  <si>
    <t>CER</t>
  </si>
  <si>
    <t>Password:</t>
  </si>
  <si>
    <t>AccCer2024%</t>
  </si>
  <si>
    <t>Informação prévia para podermos abrir a candidatura</t>
  </si>
  <si>
    <t>IDENTIFICAÇÃO DA EGAC / CER</t>
  </si>
  <si>
    <t>Denominação</t>
  </si>
  <si>
    <t>CERCICA</t>
  </si>
  <si>
    <t xml:space="preserve">NIF </t>
  </si>
  <si>
    <t>Atividade (CAE)</t>
  </si>
  <si>
    <t>Morada</t>
  </si>
  <si>
    <t>Código-Postal</t>
  </si>
  <si>
    <t>Distrito</t>
  </si>
  <si>
    <t>Concelho</t>
  </si>
  <si>
    <t>Freguesia</t>
  </si>
  <si>
    <t xml:space="preserve">Endereço de e-mail Institucional </t>
  </si>
  <si>
    <t xml:space="preserve">Contacto Telefónico Institucional </t>
  </si>
  <si>
    <t xml:space="preserve">Investimento feito por: </t>
  </si>
  <si>
    <t>IBAN</t>
  </si>
  <si>
    <t>Comprovativo IBAN</t>
  </si>
  <si>
    <t>Tipo de Projeto</t>
  </si>
  <si>
    <t>ACC</t>
  </si>
  <si>
    <t xml:space="preserve">Designação da Operação </t>
  </si>
  <si>
    <t>Implementação de ACC na Cercica</t>
  </si>
  <si>
    <t>Sumário do Projeto</t>
  </si>
  <si>
    <t>A presente operação tem como objetivo a instalação de duas unidades de produção de eletricidade renovável para autoconsumo (UPAC), sem armazenamento de energia, integrando um ACC, que inclui cinco instalações já existentes e em pleno funcionamento.</t>
  </si>
  <si>
    <t>Descrição da Operação e Objetivos</t>
  </si>
  <si>
    <t xml:space="preserve">A presente operação enquadra-se nos objetivos específicos do presente Aviso ao fomentar a produção de energia elétrica a partir de fontes renováveis em regime de ACC, contribuindo para a meta definida pela Decisão de Execução do Conselho, no que concerne à eficiência energética em edifícios de comércio e serviços e edifícios residenciais, em que se estabelece uma capacidade adicional de produção de energia renovável para autoconsumo e para utilização em comunidades de energia renovável nestes edifícios de 30MW até ao 4º Trimestre de 2025, contribuindo para este objetivo com uma capacidade adicional instalada de 267,48 kW.
Contribui ainda para as metas definidas no Plano Nacional Energia e Clima 2021-2030 (PNEC 2030) e para a redução da fatura, em 32%, e da dependência energética, das emissões de gases com efeito de estufa, com poupanças alcançadas de 57,50 tep, e da dependência energética do país, atenuando a pobreza energética e incorporando fontes de energia renováveis nas áreas construídas.
A intervenção abrange 5 edifícios (instalações de utilização), propriedade da CERCICA, localizadas no concelho de Cascais. 
</t>
  </si>
  <si>
    <t xml:space="preserve">Designação da EGAC/CER </t>
  </si>
  <si>
    <t>N.º de registo de ACC/CER atribuído pela DGEG</t>
  </si>
  <si>
    <t>???</t>
  </si>
  <si>
    <t>Calendarização Prevista da Operação</t>
  </si>
  <si>
    <t>Data Início</t>
  </si>
  <si>
    <t>Data Fim</t>
  </si>
  <si>
    <t>DOCUMENTAÇÃO</t>
  </si>
  <si>
    <t xml:space="preserve">Memória descritiva da intervenção, em conformidade com o submetido para apreciação pela Entidade Licenciadora </t>
  </si>
  <si>
    <t>Temos</t>
  </si>
  <si>
    <t>Cronograma financeiro dos primeiros 5 (anos) anos da operação e respetivos orçamentos/ mapas de quantidades, devidamente discriminados, individualmente para as tipologias de intervenção constantes na candidatura</t>
  </si>
  <si>
    <t>Declaração (conforme Anexo II do Aviso)</t>
  </si>
  <si>
    <t xml:space="preserve">Comprovativo de submissão do projeto de ACC/CER no portal da DGEG - “Ficha de Controlo de Projeto” </t>
  </si>
  <si>
    <t>Em falta</t>
  </si>
  <si>
    <t>PLATAFORMA DE GESTÃO E CONSULTORIA</t>
  </si>
  <si>
    <t xml:space="preserve">Tem plataforma de gestão? </t>
  </si>
  <si>
    <t>Sim</t>
  </si>
  <si>
    <t>Se sim, valor do investimento</t>
  </si>
  <si>
    <t>Teve custos de consultoria?</t>
  </si>
  <si>
    <t>Se sim, valor</t>
  </si>
  <si>
    <t>DOCUMENTAÇÃO OPCIONAL</t>
  </si>
  <si>
    <t>Software ou plataformas de gestão inteligente (memória descritiva e requisitos técnicos)</t>
  </si>
  <si>
    <t>Consultoria (Relatório de trabalhos desenvolvidos e a desenvolver, contratualização do serviço, se aplicável)</t>
  </si>
  <si>
    <t>INDICADORES DA OPERAÇÃO - Preenchimento AUtomático</t>
  </si>
  <si>
    <t>Indicadores Gerais</t>
  </si>
  <si>
    <t>Valor Meta</t>
  </si>
  <si>
    <t>Unidades</t>
  </si>
  <si>
    <t>Nº de Unidades de Produção *</t>
  </si>
  <si>
    <t>Potência instalada total *</t>
  </si>
  <si>
    <t>kWp</t>
  </si>
  <si>
    <t>somar se houverexistente</t>
  </si>
  <si>
    <t>Produção Anual (estimada) *</t>
  </si>
  <si>
    <t>MWh/ano</t>
  </si>
  <si>
    <t>Energia Excedente (estimado) *</t>
  </si>
  <si>
    <t>Validação do Excedente</t>
  </si>
  <si>
    <t>Redução de consumo prevista *</t>
  </si>
  <si>
    <t>ver tabela 8 e dividir por 1000</t>
  </si>
  <si>
    <t>Redução de consumo de Energia Primária *</t>
  </si>
  <si>
    <t>tep</t>
  </si>
  <si>
    <t>Redução de emissões de CO2 *</t>
  </si>
  <si>
    <t>tonCO2</t>
  </si>
  <si>
    <t>Capacidade de armazenamento *</t>
  </si>
  <si>
    <t>kWh</t>
  </si>
  <si>
    <t>Custos UPAC (com armazenamento se aplicável) *</t>
  </si>
  <si>
    <t>€</t>
  </si>
  <si>
    <t>Custos de Aquisição de Software *</t>
  </si>
  <si>
    <t>Custo de Consultoria *</t>
  </si>
  <si>
    <t>Investimento total *</t>
  </si>
  <si>
    <t>Custos Elegíveis (estimados)</t>
  </si>
  <si>
    <t>Potência instalada elegível *</t>
  </si>
  <si>
    <t>??</t>
  </si>
  <si>
    <t>%</t>
  </si>
  <si>
    <t>Investimento UPAC *</t>
  </si>
  <si>
    <t>Investimento aquisição de software *</t>
  </si>
  <si>
    <t>Investimento de consultoria *</t>
  </si>
  <si>
    <t>Investimento elegivel (estimado) *</t>
  </si>
  <si>
    <t>Classificação Final</t>
  </si>
  <si>
    <t>A) N.º de participantes envolvidos no projeto (CER, AAC)  *</t>
  </si>
  <si>
    <t>B) Eficiência *</t>
  </si>
  <si>
    <t>C) Taxa de autoconsumo global da eletricidade renovável gerada pelo ACC ou CER *</t>
  </si>
  <si>
    <t>D) Índice de concentração da partilha *</t>
  </si>
  <si>
    <t>E) Consumidores mais jovens (até aos 35 anos, inclusive) e/ou consumidores que beneficiem de tarifa social de energia elétrica *</t>
  </si>
  <si>
    <t>Classificação Final (estimada) *</t>
  </si>
  <si>
    <t>Setor Residencial</t>
  </si>
  <si>
    <t>IU acima 35 anos (sem tarifa social)</t>
  </si>
  <si>
    <t>IU até aos 35 anos</t>
  </si>
  <si>
    <t>IU com Tarifa Social</t>
  </si>
  <si>
    <t>Potência Instalada *</t>
  </si>
  <si>
    <t>Redução do consumo (estimada) *</t>
  </si>
  <si>
    <t>Poupança na Fatura anual (estimada) *</t>
  </si>
  <si>
    <t>€/ano</t>
  </si>
  <si>
    <t>Investimento (estimado) *</t>
  </si>
  <si>
    <t>Setor Comércio e Serviços</t>
  </si>
  <si>
    <t>Nº de IU</t>
  </si>
  <si>
    <t>Potência Instalada *</t>
  </si>
  <si>
    <t>Redução do consumo (estimada) *</t>
  </si>
  <si>
    <t>Poupança na Fatura anual (estimada) *</t>
  </si>
  <si>
    <t>Investimento (estimado) *</t>
  </si>
  <si>
    <t>Administração Pública Central</t>
  </si>
  <si>
    <t>Nº de edificios</t>
  </si>
  <si>
    <t>FINANCIAMENTO</t>
  </si>
  <si>
    <t>Investimento Total da Candidatura (€)</t>
  </si>
  <si>
    <t>Montante Elegível Total da Candidatura (€)</t>
  </si>
  <si>
    <t>IDENTIFICAÇÃO DO RESPONSÁVEL TÉCNICO</t>
  </si>
  <si>
    <t>Nome</t>
  </si>
  <si>
    <t>Miguel Nuno Lacerda Silva Monteiro</t>
  </si>
  <si>
    <t>Cargo</t>
  </si>
  <si>
    <t>Diretor</t>
  </si>
  <si>
    <t>E-mail</t>
  </si>
  <si>
    <t>miguel.monteiro@cercica.pt</t>
  </si>
  <si>
    <t>Contacto telefónico</t>
  </si>
  <si>
    <t>Identificação, através de elementos comprovativos da sua constituição, p.e., certidão permanente (campo submissão de documentos)</t>
  </si>
  <si>
    <t>Comprovativo de registo (printscreen) no Balcão dos Fundos (campo submissão de documentos) *</t>
  </si>
  <si>
    <t>Comprovativo de registo (printscreen) no SIGA (campo submissão de documentos) *</t>
  </si>
  <si>
    <t>UNIDADE DE PRODUÇÃO DE AUTOCONSUMO</t>
  </si>
  <si>
    <t>Tipo de Instalação *</t>
  </si>
  <si>
    <t>Ligada diretamente à RESP</t>
  </si>
  <si>
    <t>Tecnologia *</t>
  </si>
  <si>
    <t>Solar Fotovoltaico</t>
  </si>
  <si>
    <t>Produção anual (estimada) *</t>
  </si>
  <si>
    <t>Energia Excedente injetada na RESP *</t>
  </si>
  <si>
    <t>Sistema de armazenamento? *</t>
  </si>
  <si>
    <t>Não</t>
  </si>
  <si>
    <t>Se sim, identificar capacidade de armazenamento (Kwh)</t>
  </si>
  <si>
    <t>LOCALIZAÇÃO GEOGRÁFICA</t>
  </si>
  <si>
    <t>Morada *</t>
  </si>
  <si>
    <t>Rua Principal 320, Livramento</t>
  </si>
  <si>
    <t>Rua Feliciano Moreira</t>
  </si>
  <si>
    <t>Código Postal *</t>
  </si>
  <si>
    <t>2765-38</t>
  </si>
  <si>
    <t>2785-558</t>
  </si>
  <si>
    <t>Localidade *</t>
  </si>
  <si>
    <t>Estoril</t>
  </si>
  <si>
    <t>São Domingos de Rana</t>
  </si>
  <si>
    <t>Distrito *</t>
  </si>
  <si>
    <t>Lisboa</t>
  </si>
  <si>
    <t>Concelho *</t>
  </si>
  <si>
    <t>Cascais</t>
  </si>
  <si>
    <t xml:space="preserve">Freguesia </t>
  </si>
  <si>
    <t>União das Freg Cascais e Estoril</t>
  </si>
  <si>
    <t>INVESTIMENTO UPAC</t>
  </si>
  <si>
    <t>Qual o investimento total do sistema? (só equipamentos) (€)</t>
  </si>
  <si>
    <t>DOCUMENTAÇÃO TÉCNICA</t>
  </si>
  <si>
    <t>Fichas técnicas dos equipamentos (sensores, entre outros)</t>
  </si>
  <si>
    <t>NA</t>
  </si>
  <si>
    <t>Fichas técnicas dos equipamentos (produção de energia renovável, exemplo: painéis fotovoltaicos)</t>
  </si>
  <si>
    <t>Fichas técnicas dos equipamentos (inversores)</t>
  </si>
  <si>
    <t>Dados Gerais - Proprietário (Livramento)</t>
  </si>
  <si>
    <t>Dados Gerais - Proprietário (Rana)</t>
  </si>
  <si>
    <t>Dados Gerais - Proprietário (Pastelaria)</t>
  </si>
  <si>
    <t>Dados Gerais - Proprietário (Moradia Zineira)</t>
  </si>
  <si>
    <t>Dados Gerais - Proprietário (Moradia Daisy)</t>
  </si>
  <si>
    <t>Tipo de Edifício / IU *</t>
  </si>
  <si>
    <t>Comércio e Serviços</t>
  </si>
  <si>
    <t>Residencial</t>
  </si>
  <si>
    <t>Caderneta Predial Urbana (CPU) atualizada do edifício e/ou fração (até 12 meses de validade)  *</t>
  </si>
  <si>
    <t>Não temos</t>
  </si>
  <si>
    <t>NIF / NIPC *</t>
  </si>
  <si>
    <t>Rua Feliciano Moreira, São Domingos de Rana</t>
  </si>
  <si>
    <t xml:space="preserve">Largo da Estrada da Alapraia a Bicesse, Rua Principal 444, Livramento </t>
  </si>
  <si>
    <t xml:space="preserve">Rua José Areia , 10 RC Livramento </t>
  </si>
  <si>
    <t xml:space="preserve">Rua da Fonte do Sapo, 37 H </t>
  </si>
  <si>
    <t xml:space="preserve">2765-383 </t>
  </si>
  <si>
    <t xml:space="preserve">2785-558 </t>
  </si>
  <si>
    <t xml:space="preserve">2765-376 </t>
  </si>
  <si>
    <t xml:space="preserve">2765-001 </t>
  </si>
  <si>
    <t xml:space="preserve">2645-339 </t>
  </si>
  <si>
    <t>Alcabideche</t>
  </si>
  <si>
    <t>Edifício alugado? *</t>
  </si>
  <si>
    <t>Se sim:</t>
  </si>
  <si>
    <t>Contrato de Fornecimento de Energia Elétrica *</t>
  </si>
  <si>
    <t>Contrato de Arrendamento</t>
  </si>
  <si>
    <t>Artigo Matricial *</t>
  </si>
  <si>
    <t xml:space="preserve">Distrito </t>
  </si>
  <si>
    <t>Freguesia *</t>
  </si>
  <si>
    <t>União Freg Cascais</t>
  </si>
  <si>
    <t xml:space="preserve">União de Freg Cascais e </t>
  </si>
  <si>
    <t>E-mail *</t>
  </si>
  <si>
    <t>Miguel</t>
  </si>
  <si>
    <t>Contacto Telefónico *</t>
  </si>
  <si>
    <t>Partilha/Potência/Redução</t>
  </si>
  <si>
    <t>Fatura de energia elétrica anual (custo) *</t>
  </si>
  <si>
    <t>Fatura de energia elétrica anual (consumo) *</t>
  </si>
  <si>
    <t>kWh/ano</t>
  </si>
  <si>
    <t>Coeficiente de Partilha *</t>
  </si>
  <si>
    <t>EGAC</t>
  </si>
  <si>
    <t>Tipo de instalação</t>
  </si>
  <si>
    <t>Outros - Não Elegível</t>
  </si>
  <si>
    <t>Autoconsumidores</t>
  </si>
  <si>
    <t>Liagada a um CPE já existente</t>
  </si>
  <si>
    <t>EGAC/CER + Autoconsumidores</t>
  </si>
  <si>
    <t>Residencial (jovens 35 anos)</t>
  </si>
  <si>
    <t>Residencial (tarifa social)</t>
  </si>
  <si>
    <t>Tecnologia</t>
  </si>
  <si>
    <t>Eólico</t>
  </si>
  <si>
    <t>Hídrico</t>
  </si>
  <si>
    <t>Biomassa</t>
  </si>
  <si>
    <t>Outro</t>
  </si>
</sst>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dd-mm-yyyy"/>
    <numFmt numFmtId="165" formatCode="d-m-yyyy"/>
    <numFmt numFmtId="166" formatCode="#,##0.00\ &quot;€&quot;"/>
    <numFmt numFmtId="167" formatCode="#,##0.00\ [$€-1]"/>
  </numFmts>
  <fonts count="9">
    <font>
      <sz val="11.0"/>
      <color theme="1"/>
      <name val="Aptos Narrow"/>
      <scheme val="minor"/>
    </font>
    <font>
      <b/>
      <sz val="11.0"/>
      <color theme="1"/>
      <name val="Aptos Narrow"/>
    </font>
    <font/>
    <font>
      <sz val="11.0"/>
      <color theme="1"/>
      <name val="Aptos Narrow"/>
    </font>
    <font>
      <color theme="1"/>
      <name val="Arial"/>
    </font>
    <font>
      <sz val="12.0"/>
      <color theme="1"/>
      <name val="Aptos Narrow"/>
    </font>
    <font>
      <sz val="11.0"/>
      <color theme="1"/>
      <name val="Arial"/>
    </font>
    <font>
      <b/>
      <sz val="11.0"/>
      <color theme="1"/>
      <name val="Arial"/>
    </font>
    <font>
      <color theme="1"/>
      <name val="Aptos Narrow"/>
      <scheme val="minor"/>
    </font>
  </fonts>
  <fills count="10">
    <fill>
      <patternFill patternType="none"/>
    </fill>
    <fill>
      <patternFill patternType="lightGray"/>
    </fill>
    <fill>
      <patternFill patternType="solid">
        <fgColor rgb="FFFAE2D5"/>
        <bgColor rgb="FFFAE2D5"/>
      </patternFill>
    </fill>
    <fill>
      <patternFill patternType="solid">
        <fgColor rgb="FFF1CEEE"/>
        <bgColor rgb="FFF1CEEE"/>
      </patternFill>
    </fill>
    <fill>
      <patternFill patternType="solid">
        <fgColor rgb="FFDBE9F7"/>
        <bgColor rgb="FFDBE9F7"/>
      </patternFill>
    </fill>
    <fill>
      <patternFill patternType="solid">
        <fgColor rgb="FFFFFF00"/>
        <bgColor rgb="FFFFFF00"/>
      </patternFill>
    </fill>
    <fill>
      <patternFill patternType="solid">
        <fgColor rgb="FFF2F2F2"/>
        <bgColor rgb="FFF2F2F2"/>
      </patternFill>
    </fill>
    <fill>
      <patternFill patternType="solid">
        <fgColor theme="0"/>
        <bgColor theme="0"/>
      </patternFill>
    </fill>
    <fill>
      <patternFill patternType="solid">
        <fgColor rgb="FFD9D9D9"/>
        <bgColor rgb="FFD9D9D9"/>
      </patternFill>
    </fill>
    <fill>
      <patternFill patternType="solid">
        <fgColor rgb="FFFFFFFF"/>
        <bgColor rgb="FFFFFFFF"/>
      </patternFill>
    </fill>
  </fills>
  <borders count="32">
    <border/>
    <border>
      <left style="medium">
        <color rgb="FF000000"/>
      </left>
      <top style="medium">
        <color rgb="FF000000"/>
      </top>
      <bottom style="medium">
        <color rgb="FF000000"/>
      </bottom>
    </border>
    <border>
      <right style="medium">
        <color rgb="FF000000"/>
      </right>
      <top style="medium">
        <color rgb="FF000000"/>
      </top>
      <bottom style="medium">
        <color rgb="FF000000"/>
      </bottom>
    </border>
    <border>
      <left style="thin">
        <color rgb="FF000000"/>
      </left>
      <right style="thin">
        <color rgb="FF000000"/>
      </right>
      <top/>
      <bottom style="thin">
        <color rgb="FF000000"/>
      </bottom>
    </border>
    <border>
      <left style="thin">
        <color rgb="FF000000"/>
      </left>
      <right style="thin">
        <color rgb="FF000000"/>
      </right>
      <bottom style="thin">
        <color rgb="FF000000"/>
      </bottom>
    </border>
    <border>
      <left style="thin">
        <color rgb="FF000000"/>
      </left>
      <right style="thin">
        <color rgb="FF000000"/>
      </right>
      <top style="thin">
        <color rgb="FF000000"/>
      </top>
      <bottom style="thin">
        <color rgb="FF000000"/>
      </bottom>
    </border>
    <border>
      <bottom style="medium">
        <color rgb="FF000000"/>
      </bottom>
    </border>
    <border>
      <left style="medium">
        <color rgb="FF000000"/>
      </left>
      <top style="medium">
        <color rgb="FF000000"/>
      </top>
      <bottom style="thin">
        <color rgb="FF000000"/>
      </bottom>
    </border>
    <border>
      <right style="medium">
        <color rgb="FF000000"/>
      </right>
      <top style="medium">
        <color rgb="FF000000"/>
      </top>
      <bottom style="thin">
        <color rgb="FF000000"/>
      </bottom>
    </border>
    <border>
      <left style="medium">
        <color rgb="FF000000"/>
      </left>
      <right style="thin">
        <color rgb="FF000000"/>
      </right>
      <top style="thin">
        <color rgb="FF000000"/>
      </top>
      <bottom style="thin">
        <color rgb="FF000000"/>
      </bottom>
    </border>
    <border>
      <left style="thin">
        <color rgb="FF000000"/>
      </left>
      <right style="medium">
        <color rgb="FF000000"/>
      </right>
      <top style="thin">
        <color rgb="FF000000"/>
      </top>
      <bottom style="thin">
        <color rgb="FF000000"/>
      </bottom>
    </border>
    <border>
      <left style="medium">
        <color rgb="FF000000"/>
      </left>
      <right style="thin">
        <color rgb="FF000000"/>
      </right>
      <top style="thin">
        <color rgb="FF000000"/>
      </top>
      <bottom style="medium">
        <color rgb="FF000000"/>
      </bottom>
    </border>
    <border>
      <left style="thin">
        <color rgb="FF000000"/>
      </left>
      <right style="medium">
        <color rgb="FF000000"/>
      </right>
      <top style="thin">
        <color rgb="FF000000"/>
      </top>
      <bottom style="medium">
        <color rgb="FF000000"/>
      </bottom>
    </border>
    <border>
      <left style="medium">
        <color rgb="FF000000"/>
      </left>
      <top style="thin">
        <color rgb="FF000000"/>
      </top>
      <bottom style="thin">
        <color rgb="FF000000"/>
      </bottom>
    </border>
    <border>
      <right style="medium">
        <color rgb="FF000000"/>
      </right>
      <top style="thin">
        <color rgb="FF000000"/>
      </top>
      <bottom style="thin">
        <color rgb="FF000000"/>
      </bottom>
    </border>
    <border>
      <top style="medium">
        <color rgb="FF000000"/>
      </top>
      <bottom style="thin">
        <color rgb="FF000000"/>
      </bottom>
    </border>
    <border>
      <left style="medium">
        <color rgb="FF000000"/>
      </left>
      <right style="thin">
        <color rgb="FF000000"/>
      </right>
      <top style="thin">
        <color rgb="FF000000"/>
      </top>
    </border>
    <border>
      <left style="medium">
        <color rgb="FF000000"/>
      </left>
      <right style="thin">
        <color rgb="FF000000"/>
      </right>
      <bottom style="thin">
        <color rgb="FF000000"/>
      </bottom>
    </border>
    <border>
      <left style="medium">
        <color rgb="FF000000"/>
      </left>
      <top style="thin">
        <color rgb="FF000000"/>
      </top>
      <bottom/>
    </border>
    <border>
      <top style="thin">
        <color rgb="FF000000"/>
      </top>
      <bottom/>
    </border>
    <border>
      <right style="medium">
        <color rgb="FF000000"/>
      </right>
      <top style="thin">
        <color rgb="FF000000"/>
      </top>
      <bottom/>
    </border>
    <border>
      <left/>
      <right style="medium">
        <color rgb="FF000000"/>
      </right>
      <top/>
      <bottom/>
    </border>
    <border>
      <left style="thin">
        <color rgb="FF000000"/>
      </left>
      <right style="thin">
        <color rgb="FF000000"/>
      </right>
      <top style="thin">
        <color rgb="FF000000"/>
      </top>
    </border>
    <border>
      <left style="thin">
        <color rgb="FF000000"/>
      </left>
      <right style="thin">
        <color rgb="FF000000"/>
      </right>
      <top style="thin">
        <color rgb="FF000000"/>
      </top>
      <bottom style="medium">
        <color rgb="FF000000"/>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right style="medium">
        <color rgb="FF000000"/>
      </right>
      <top style="medium">
        <color rgb="FF000000"/>
      </top>
    </border>
    <border>
      <right style="medium">
        <color rgb="FF000000"/>
      </right>
    </border>
    <border>
      <left style="medium">
        <color rgb="FF000000"/>
      </left>
    </border>
    <border>
      <left style="medium">
        <color rgb="FF000000"/>
      </left>
      <bottom style="medium">
        <color rgb="FF000000"/>
      </bottom>
    </border>
    <border>
      <right style="medium">
        <color rgb="FF000000"/>
      </right>
      <bottom style="medium">
        <color rgb="FF000000"/>
      </bottom>
    </border>
    <border>
      <top style="medium">
        <color rgb="FF000000"/>
      </top>
    </border>
  </borders>
  <cellStyleXfs count="1">
    <xf borderId="0" fillId="0" fontId="0" numFmtId="0" applyAlignment="1" applyFont="1"/>
  </cellStyleXfs>
  <cellXfs count="90">
    <xf borderId="0" fillId="0" fontId="0" numFmtId="0" xfId="0" applyAlignment="1" applyFont="1">
      <alignment readingOrder="0" shrinkToFit="0" vertical="bottom" wrapText="0"/>
    </xf>
    <xf borderId="1" fillId="0" fontId="1" numFmtId="0" xfId="0" applyAlignment="1" applyBorder="1" applyFont="1">
      <alignment horizontal="center"/>
    </xf>
    <xf borderId="2" fillId="0" fontId="2" numFmtId="0" xfId="0" applyBorder="1" applyFont="1"/>
    <xf borderId="3" fillId="2" fontId="3" numFmtId="0" xfId="0" applyBorder="1" applyFill="1" applyFont="1"/>
    <xf borderId="4" fillId="0" fontId="3" numFmtId="0" xfId="0" applyBorder="1" applyFont="1"/>
    <xf borderId="5" fillId="3" fontId="3" numFmtId="0" xfId="0" applyBorder="1" applyFill="1" applyFont="1"/>
    <xf borderId="5" fillId="0" fontId="3" numFmtId="0" xfId="0" applyBorder="1" applyFont="1"/>
    <xf borderId="0" fillId="0" fontId="4" numFmtId="0" xfId="0" applyAlignment="1" applyFont="1">
      <alignment readingOrder="0"/>
    </xf>
    <xf borderId="6" fillId="0" fontId="5" numFmtId="0" xfId="0" applyAlignment="1" applyBorder="1" applyFont="1">
      <alignment horizontal="center"/>
    </xf>
    <xf borderId="6" fillId="0" fontId="2" numFmtId="0" xfId="0" applyBorder="1" applyFont="1"/>
    <xf borderId="7" fillId="4" fontId="1" numFmtId="0" xfId="0" applyAlignment="1" applyBorder="1" applyFill="1" applyFont="1">
      <alignment horizontal="center"/>
    </xf>
    <xf borderId="8" fillId="0" fontId="2" numFmtId="0" xfId="0" applyBorder="1" applyFont="1"/>
    <xf borderId="9" fillId="0" fontId="3" numFmtId="0" xfId="0" applyBorder="1" applyFont="1"/>
    <xf borderId="10" fillId="0" fontId="6" numFmtId="0" xfId="0" applyAlignment="1" applyBorder="1" applyFont="1">
      <alignment readingOrder="0"/>
    </xf>
    <xf borderId="10" fillId="0" fontId="3" numFmtId="0" xfId="0" applyBorder="1" applyFont="1"/>
    <xf borderId="10" fillId="2" fontId="3" numFmtId="0" xfId="0" applyBorder="1" applyFont="1"/>
    <xf borderId="11" fillId="0" fontId="3" numFmtId="0" xfId="0" applyBorder="1" applyFont="1"/>
    <xf borderId="12" fillId="3" fontId="3" numFmtId="0" xfId="0" applyBorder="1" applyFont="1"/>
    <xf borderId="7" fillId="4" fontId="7" numFmtId="164" xfId="0" applyAlignment="1" applyBorder="1" applyFont="1" applyNumberFormat="1">
      <alignment horizontal="center" readingOrder="0"/>
    </xf>
    <xf borderId="10" fillId="2" fontId="6" numFmtId="0" xfId="0" applyAlignment="1" applyBorder="1" applyFont="1">
      <alignment readingOrder="0"/>
    </xf>
    <xf borderId="10" fillId="0" fontId="6" numFmtId="0" xfId="0" applyAlignment="1" applyBorder="1" applyFont="1">
      <alignment readingOrder="0" shrinkToFit="0" wrapText="1"/>
    </xf>
    <xf borderId="10" fillId="5" fontId="6" numFmtId="0" xfId="0" applyAlignment="1" applyBorder="1" applyFill="1" applyFont="1">
      <alignment readingOrder="0"/>
    </xf>
    <xf borderId="13" fillId="6" fontId="1" numFmtId="0" xfId="0" applyAlignment="1" applyBorder="1" applyFill="1" applyFont="1">
      <alignment horizontal="center"/>
    </xf>
    <xf borderId="14" fillId="0" fontId="2" numFmtId="0" xfId="0" applyBorder="1" applyFont="1"/>
    <xf borderId="10" fillId="0" fontId="6" numFmtId="164" xfId="0" applyAlignment="1" applyBorder="1" applyFont="1" applyNumberFormat="1">
      <alignment horizontal="left" readingOrder="0"/>
    </xf>
    <xf borderId="12" fillId="0" fontId="6" numFmtId="165" xfId="0" applyAlignment="1" applyBorder="1" applyFont="1" applyNumberFormat="1">
      <alignment horizontal="left" readingOrder="0"/>
    </xf>
    <xf borderId="9" fillId="0" fontId="3" numFmtId="0" xfId="0" applyAlignment="1" applyBorder="1" applyFont="1">
      <alignment shrinkToFit="0" wrapText="1"/>
    </xf>
    <xf borderId="10" fillId="3" fontId="6" numFmtId="0" xfId="0" applyAlignment="1" applyBorder="1" applyFont="1">
      <alignment readingOrder="0"/>
    </xf>
    <xf borderId="11" fillId="0" fontId="3" numFmtId="0" xfId="0" applyAlignment="1" applyBorder="1" applyFont="1">
      <alignment shrinkToFit="0" wrapText="1"/>
    </xf>
    <xf borderId="12" fillId="5" fontId="6" numFmtId="0" xfId="0" applyAlignment="1" applyBorder="1" applyFont="1">
      <alignment readingOrder="0"/>
    </xf>
    <xf borderId="0" fillId="0" fontId="3" numFmtId="0" xfId="0" applyAlignment="1" applyFont="1">
      <alignment shrinkToFit="0" wrapText="1"/>
    </xf>
    <xf borderId="10" fillId="0" fontId="6" numFmtId="166" xfId="0" applyAlignment="1" applyBorder="1" applyFont="1" applyNumberFormat="1">
      <alignment readingOrder="0"/>
    </xf>
    <xf borderId="12" fillId="0" fontId="6" numFmtId="166" xfId="0" applyAlignment="1" applyBorder="1" applyFont="1" applyNumberFormat="1">
      <alignment readingOrder="0"/>
    </xf>
    <xf borderId="0" fillId="0" fontId="3" numFmtId="166" xfId="0" applyFont="1" applyNumberFormat="1"/>
    <xf borderId="0" fillId="0" fontId="1" numFmtId="0" xfId="0" applyFont="1"/>
    <xf borderId="12" fillId="7" fontId="3" numFmtId="0" xfId="0" applyBorder="1" applyFill="1" applyFont="1"/>
    <xf borderId="7" fillId="8" fontId="7" numFmtId="0" xfId="0" applyAlignment="1" applyBorder="1" applyFill="1" applyFont="1">
      <alignment horizontal="center" readingOrder="0"/>
    </xf>
    <xf borderId="15" fillId="0" fontId="2" numFmtId="0" xfId="0" applyBorder="1" applyFont="1"/>
    <xf borderId="9" fillId="8" fontId="1" numFmtId="0" xfId="0" applyAlignment="1" applyBorder="1" applyFont="1">
      <alignment horizontal="center"/>
    </xf>
    <xf borderId="5" fillId="8" fontId="1" numFmtId="0" xfId="0" applyAlignment="1" applyBorder="1" applyFont="1">
      <alignment horizontal="center"/>
    </xf>
    <xf borderId="10" fillId="8" fontId="1" numFmtId="0" xfId="0" applyAlignment="1" applyBorder="1" applyFont="1">
      <alignment horizontal="center"/>
    </xf>
    <xf borderId="9" fillId="8" fontId="3" numFmtId="0" xfId="0" applyBorder="1" applyFont="1"/>
    <xf borderId="5" fillId="8" fontId="6" numFmtId="0" xfId="0" applyAlignment="1" applyBorder="1" applyFont="1">
      <alignment horizontal="center" readingOrder="0"/>
    </xf>
    <xf borderId="10" fillId="8" fontId="3" numFmtId="0" xfId="0" applyAlignment="1" applyBorder="1" applyFont="1">
      <alignment horizontal="center"/>
    </xf>
    <xf borderId="5" fillId="8" fontId="3" numFmtId="0" xfId="0" applyAlignment="1" applyBorder="1" applyFont="1">
      <alignment horizontal="center"/>
    </xf>
    <xf borderId="16" fillId="8" fontId="3" numFmtId="0" xfId="0" applyAlignment="1" applyBorder="1" applyFont="1">
      <alignment horizontal="left" vertical="center"/>
    </xf>
    <xf borderId="17" fillId="0" fontId="2" numFmtId="0" xfId="0" applyBorder="1" applyFont="1"/>
    <xf borderId="18" fillId="8" fontId="1" numFmtId="0" xfId="0" applyAlignment="1" applyBorder="1" applyFont="1">
      <alignment horizontal="center"/>
    </xf>
    <xf borderId="19" fillId="0" fontId="2" numFmtId="0" xfId="0" applyBorder="1" applyFont="1"/>
    <xf borderId="20" fillId="0" fontId="2" numFmtId="0" xfId="0" applyBorder="1" applyFont="1"/>
    <xf borderId="21" fillId="8" fontId="3" numFmtId="0" xfId="0" applyBorder="1" applyFont="1"/>
    <xf borderId="9" fillId="8" fontId="3" numFmtId="0" xfId="0" applyAlignment="1" applyBorder="1" applyFont="1">
      <alignment shrinkToFit="0" wrapText="1"/>
    </xf>
    <xf borderId="16" fillId="8" fontId="3" numFmtId="0" xfId="0" applyBorder="1" applyFont="1"/>
    <xf borderId="22" fillId="8" fontId="6" numFmtId="0" xfId="0" applyAlignment="1" applyBorder="1" applyFont="1">
      <alignment horizontal="center" readingOrder="0"/>
    </xf>
    <xf borderId="10" fillId="8" fontId="3" numFmtId="0" xfId="0" applyBorder="1" applyFont="1"/>
    <xf borderId="11" fillId="8" fontId="3" numFmtId="0" xfId="0" applyBorder="1" applyFont="1"/>
    <xf borderId="23" fillId="8" fontId="3" numFmtId="0" xfId="0" applyAlignment="1" applyBorder="1" applyFont="1">
      <alignment horizontal="center"/>
    </xf>
    <xf borderId="12" fillId="8" fontId="3" numFmtId="0" xfId="0" applyAlignment="1" applyBorder="1" applyFont="1">
      <alignment horizontal="center"/>
    </xf>
    <xf borderId="0" fillId="8" fontId="8" numFmtId="0" xfId="0" applyFont="1"/>
    <xf borderId="0" fillId="8" fontId="3" numFmtId="0" xfId="0" applyAlignment="1" applyFont="1">
      <alignment horizontal="center"/>
    </xf>
    <xf borderId="7" fillId="8" fontId="1" numFmtId="0" xfId="0" applyAlignment="1" applyBorder="1" applyFont="1">
      <alignment horizontal="center"/>
    </xf>
    <xf borderId="0" fillId="8" fontId="1" numFmtId="0" xfId="0" applyFont="1"/>
    <xf borderId="10" fillId="8" fontId="6" numFmtId="167" xfId="0" applyAlignment="1" applyBorder="1" applyFont="1" applyNumberFormat="1">
      <alignment horizontal="center" readingOrder="0"/>
    </xf>
    <xf borderId="12" fillId="8" fontId="6" numFmtId="167" xfId="0" applyAlignment="1" applyBorder="1" applyFont="1" applyNumberFormat="1">
      <alignment horizontal="center" readingOrder="0"/>
    </xf>
    <xf borderId="24" fillId="7" fontId="1" numFmtId="0" xfId="0" applyAlignment="1" applyBorder="1" applyFont="1">
      <alignment horizontal="center"/>
    </xf>
    <xf borderId="25" fillId="0" fontId="2" numFmtId="0" xfId="0" applyBorder="1" applyFont="1"/>
    <xf borderId="5" fillId="0" fontId="6" numFmtId="0" xfId="0" applyAlignment="1" applyBorder="1" applyFont="1">
      <alignment readingOrder="0"/>
    </xf>
    <xf borderId="5" fillId="9" fontId="6" numFmtId="0" xfId="0" applyAlignment="1" applyBorder="1" applyFill="1" applyFont="1">
      <alignment readingOrder="0"/>
    </xf>
    <xf borderId="7" fillId="4" fontId="7" numFmtId="0" xfId="0" applyAlignment="1" applyBorder="1" applyFont="1">
      <alignment horizontal="center" readingOrder="0"/>
    </xf>
    <xf borderId="12" fillId="3" fontId="6" numFmtId="0" xfId="0" applyAlignment="1" applyBorder="1" applyFont="1">
      <alignment readingOrder="0"/>
    </xf>
    <xf borderId="26" fillId="0" fontId="3" numFmtId="0" xfId="0" applyBorder="1" applyFont="1"/>
    <xf borderId="10" fillId="6" fontId="3" numFmtId="0" xfId="0" applyBorder="1" applyFont="1"/>
    <xf borderId="27" fillId="0" fontId="3" numFmtId="0" xfId="0" applyBorder="1" applyFont="1"/>
    <xf borderId="5" fillId="2" fontId="6" numFmtId="0" xfId="0" applyAlignment="1" applyBorder="1" applyFont="1">
      <alignment readingOrder="0"/>
    </xf>
    <xf borderId="23" fillId="0" fontId="6" numFmtId="0" xfId="0" applyAlignment="1" applyBorder="1" applyFont="1">
      <alignment readingOrder="0"/>
    </xf>
    <xf borderId="12" fillId="6" fontId="3" numFmtId="0" xfId="0" applyBorder="1" applyFont="1"/>
    <xf borderId="28" fillId="0" fontId="3" numFmtId="0" xfId="0" applyBorder="1" applyFont="1"/>
    <xf borderId="0" fillId="9" fontId="8" numFmtId="0" xfId="0" applyFont="1"/>
    <xf borderId="9" fillId="0" fontId="6" numFmtId="0" xfId="0" applyAlignment="1" applyBorder="1" applyFont="1">
      <alignment readingOrder="0"/>
    </xf>
    <xf borderId="11" fillId="0" fontId="6" numFmtId="0" xfId="0" applyAlignment="1" applyBorder="1" applyFont="1">
      <alignment readingOrder="0"/>
    </xf>
    <xf borderId="12" fillId="0" fontId="6" numFmtId="0" xfId="0" applyAlignment="1" applyBorder="1" applyFont="1">
      <alignment readingOrder="0"/>
    </xf>
    <xf borderId="12" fillId="0" fontId="6" numFmtId="167" xfId="0" applyAlignment="1" applyBorder="1" applyFont="1" applyNumberFormat="1">
      <alignment readingOrder="0"/>
    </xf>
    <xf borderId="29" fillId="0" fontId="3" numFmtId="0" xfId="0" applyBorder="1" applyFont="1"/>
    <xf borderId="6" fillId="0" fontId="3" numFmtId="0" xfId="0" applyBorder="1" applyFont="1"/>
    <xf borderId="30" fillId="0" fontId="3" numFmtId="0" xfId="0" applyBorder="1" applyFont="1"/>
    <xf borderId="31" fillId="0" fontId="3" numFmtId="0" xfId="0" applyBorder="1" applyFont="1"/>
    <xf borderId="13" fillId="0" fontId="3" numFmtId="0" xfId="0" applyAlignment="1" applyBorder="1" applyFont="1">
      <alignment horizontal="right"/>
    </xf>
    <xf borderId="10" fillId="3" fontId="3" numFmtId="0" xfId="0" applyBorder="1" applyFont="1"/>
    <xf borderId="12" fillId="0" fontId="3" numFmtId="0" xfId="0" applyBorder="1" applyFont="1"/>
    <xf borderId="0" fillId="0" fontId="8"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1" Type="http://customschemas.google.com/relationships/workbookmetadata" Target="metadata"/><Relationship Id="rId10" Type="http://schemas.openxmlformats.org/officeDocument/2006/relationships/worksheet" Target="worksheets/sheet7.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9.5"/>
    <col customWidth="1" min="2" max="2" width="45.5"/>
    <col customWidth="1" min="3" max="26" width="8.63"/>
  </cols>
  <sheetData>
    <row r="1" ht="14.25" customHeight="1">
      <c r="A1" s="1" t="s">
        <v>0</v>
      </c>
      <c r="B1" s="2"/>
    </row>
    <row r="2" ht="14.25" customHeight="1">
      <c r="A2" s="3"/>
      <c r="B2" s="4" t="s">
        <v>1</v>
      </c>
    </row>
    <row r="3" ht="14.25" customHeight="1">
      <c r="A3" s="5"/>
      <c r="B3" s="6" t="s">
        <v>2</v>
      </c>
    </row>
    <row r="4" ht="14.25" customHeight="1"/>
    <row r="5" ht="14.25" customHeight="1"/>
    <row r="6" ht="14.25" customHeight="1"/>
    <row r="7" ht="14.25" customHeight="1"/>
    <row r="8" ht="14.25" customHeight="1">
      <c r="A8" s="7" t="s">
        <v>3</v>
      </c>
      <c r="B8" s="7" t="s">
        <v>4</v>
      </c>
    </row>
    <row r="9" ht="14.25" customHeight="1">
      <c r="A9" s="7" t="s">
        <v>5</v>
      </c>
      <c r="B9" s="7" t="s">
        <v>6</v>
      </c>
    </row>
    <row r="10" ht="14.25" customHeight="1"/>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1">
    <mergeCell ref="A1:B1"/>
  </mergeCells>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1F0C8"/>
    <pageSetUpPr/>
  </sheetPr>
  <sheetViews>
    <sheetView showGridLines="0" workbookViewId="0"/>
  </sheetViews>
  <sheetFormatPr customHeight="1" defaultColWidth="12.63" defaultRowHeight="15.0"/>
  <cols>
    <col customWidth="1" min="1" max="1" width="27.88"/>
    <col customWidth="1" min="2" max="2" width="26.0"/>
    <col customWidth="1" min="3" max="26" width="8.63"/>
  </cols>
  <sheetData>
    <row r="1" ht="14.25" customHeight="1">
      <c r="A1" s="8" t="s">
        <v>7</v>
      </c>
      <c r="B1" s="9"/>
    </row>
    <row r="2" ht="14.25" customHeight="1">
      <c r="A2" s="10" t="s">
        <v>8</v>
      </c>
      <c r="B2" s="11"/>
    </row>
    <row r="3" ht="14.25" customHeight="1">
      <c r="A3" s="12" t="s">
        <v>9</v>
      </c>
      <c r="B3" s="13" t="s">
        <v>10</v>
      </c>
    </row>
    <row r="4" ht="14.25" customHeight="1">
      <c r="A4" s="12" t="s">
        <v>11</v>
      </c>
      <c r="B4" s="14"/>
    </row>
    <row r="5" ht="14.25" customHeight="1">
      <c r="A5" s="12" t="s">
        <v>12</v>
      </c>
      <c r="B5" s="14"/>
    </row>
    <row r="6" ht="14.25" customHeight="1">
      <c r="A6" s="12" t="s">
        <v>13</v>
      </c>
      <c r="B6" s="14"/>
    </row>
    <row r="7" ht="14.25" customHeight="1">
      <c r="A7" s="12" t="s">
        <v>14</v>
      </c>
      <c r="B7" s="14"/>
    </row>
    <row r="8" ht="14.25" customHeight="1">
      <c r="A8" s="12" t="s">
        <v>15</v>
      </c>
      <c r="B8" s="14"/>
    </row>
    <row r="9" ht="14.25" customHeight="1">
      <c r="A9" s="12" t="s">
        <v>16</v>
      </c>
      <c r="B9" s="14"/>
    </row>
    <row r="10" ht="14.25" customHeight="1">
      <c r="A10" s="12" t="s">
        <v>17</v>
      </c>
      <c r="B10" s="14"/>
    </row>
    <row r="11" ht="14.25" customHeight="1">
      <c r="A11" s="12" t="s">
        <v>18</v>
      </c>
      <c r="B11" s="14"/>
    </row>
    <row r="12" ht="14.25" customHeight="1">
      <c r="A12" s="12" t="s">
        <v>19</v>
      </c>
      <c r="B12" s="14"/>
    </row>
    <row r="13" ht="14.25" customHeight="1">
      <c r="A13" s="12" t="s">
        <v>20</v>
      </c>
      <c r="B13" s="15"/>
    </row>
    <row r="14" ht="14.25" customHeight="1">
      <c r="A14" s="12" t="s">
        <v>21</v>
      </c>
      <c r="B14" s="14"/>
    </row>
    <row r="15" ht="14.25" customHeight="1">
      <c r="A15" s="16" t="s">
        <v>22</v>
      </c>
      <c r="B15" s="17"/>
    </row>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2">
    <mergeCell ref="A1:B1"/>
    <mergeCell ref="A2:B2"/>
  </mergeCells>
  <dataValidations>
    <dataValidation type="list" allowBlank="1" showErrorMessage="1" sqref="B13">
      <formula1>Aux!$D$1:$D$4</formula1>
    </dataValidation>
  </dataValidation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66.5"/>
    <col customWidth="1" min="2" max="2" width="81.25"/>
    <col customWidth="1" min="3" max="26" width="8.63"/>
  </cols>
  <sheetData>
    <row r="1" ht="14.25" customHeight="1">
      <c r="A1" s="18">
        <v>45658.0</v>
      </c>
      <c r="B1" s="11"/>
    </row>
    <row r="2" ht="14.25" customHeight="1">
      <c r="A2" s="12" t="s">
        <v>23</v>
      </c>
      <c r="B2" s="19" t="s">
        <v>24</v>
      </c>
    </row>
    <row r="3" ht="14.25" customHeight="1">
      <c r="A3" s="12" t="s">
        <v>25</v>
      </c>
      <c r="B3" s="13" t="s">
        <v>26</v>
      </c>
    </row>
    <row r="4" ht="14.25" customHeight="1">
      <c r="A4" s="12" t="s">
        <v>27</v>
      </c>
      <c r="B4" s="20" t="s">
        <v>28</v>
      </c>
    </row>
    <row r="5" ht="14.25" customHeight="1">
      <c r="A5" s="12" t="s">
        <v>29</v>
      </c>
      <c r="B5" s="20" t="s">
        <v>30</v>
      </c>
    </row>
    <row r="6" ht="14.25" customHeight="1">
      <c r="A6" s="12" t="s">
        <v>31</v>
      </c>
      <c r="B6" s="13" t="s">
        <v>10</v>
      </c>
    </row>
    <row r="7" ht="14.25" customHeight="1">
      <c r="A7" s="12" t="s">
        <v>32</v>
      </c>
      <c r="B7" s="21" t="s">
        <v>33</v>
      </c>
    </row>
    <row r="8" ht="14.25" customHeight="1">
      <c r="A8" s="22" t="s">
        <v>34</v>
      </c>
      <c r="B8" s="23"/>
    </row>
    <row r="9" ht="14.25" customHeight="1">
      <c r="A9" s="12" t="s">
        <v>35</v>
      </c>
      <c r="B9" s="24">
        <v>45658.0</v>
      </c>
    </row>
    <row r="10" ht="14.25" customHeight="1">
      <c r="A10" s="16" t="s">
        <v>36</v>
      </c>
      <c r="B10" s="25">
        <v>46021.0</v>
      </c>
    </row>
    <row r="11" ht="14.25" customHeight="1"/>
    <row r="12" ht="14.25" customHeight="1">
      <c r="A12" s="10" t="s">
        <v>37</v>
      </c>
      <c r="B12" s="11"/>
    </row>
    <row r="13" ht="14.25" customHeight="1">
      <c r="A13" s="26" t="s">
        <v>38</v>
      </c>
      <c r="B13" s="27" t="s">
        <v>39</v>
      </c>
    </row>
    <row r="14" ht="14.25" customHeight="1">
      <c r="A14" s="26" t="s">
        <v>40</v>
      </c>
      <c r="B14" s="27" t="s">
        <v>39</v>
      </c>
    </row>
    <row r="15" ht="14.25" customHeight="1">
      <c r="A15" s="12" t="s">
        <v>41</v>
      </c>
      <c r="B15" s="27" t="s">
        <v>39</v>
      </c>
    </row>
    <row r="16" ht="14.25" customHeight="1">
      <c r="A16" s="28" t="s">
        <v>42</v>
      </c>
      <c r="B16" s="29" t="s">
        <v>43</v>
      </c>
    </row>
    <row r="17" ht="14.25" customHeight="1">
      <c r="A17" s="30"/>
    </row>
    <row r="18" ht="14.25" customHeight="1">
      <c r="A18" s="10" t="s">
        <v>44</v>
      </c>
      <c r="B18" s="11"/>
    </row>
    <row r="19" ht="14.25" customHeight="1">
      <c r="A19" s="12" t="s">
        <v>45</v>
      </c>
      <c r="B19" s="19" t="s">
        <v>46</v>
      </c>
    </row>
    <row r="20" ht="14.25" customHeight="1">
      <c r="A20" s="12" t="s">
        <v>47</v>
      </c>
      <c r="B20" s="31">
        <v>5000.0</v>
      </c>
    </row>
    <row r="21" ht="14.25" customHeight="1">
      <c r="A21" s="12" t="s">
        <v>48</v>
      </c>
      <c r="B21" s="15"/>
    </row>
    <row r="22" ht="14.25" customHeight="1">
      <c r="A22" s="16" t="s">
        <v>49</v>
      </c>
      <c r="B22" s="32">
        <v>5000.0</v>
      </c>
    </row>
    <row r="23" ht="14.25" customHeight="1">
      <c r="B23" s="33"/>
    </row>
    <row r="24" ht="14.25" customHeight="1">
      <c r="A24" s="10" t="s">
        <v>50</v>
      </c>
      <c r="B24" s="11"/>
      <c r="C24" s="34"/>
    </row>
    <row r="25" ht="14.25" customHeight="1">
      <c r="A25" s="26" t="s">
        <v>51</v>
      </c>
      <c r="B25" s="27"/>
    </row>
    <row r="26" ht="14.25" customHeight="1">
      <c r="A26" s="28" t="s">
        <v>52</v>
      </c>
      <c r="B26" s="35"/>
    </row>
    <row r="27" ht="14.25" customHeight="1">
      <c r="A27" s="30"/>
    </row>
    <row r="28" ht="14.25" customHeight="1">
      <c r="A28" s="36" t="s">
        <v>53</v>
      </c>
      <c r="B28" s="37"/>
      <c r="C28" s="11"/>
    </row>
    <row r="29" ht="14.25" customHeight="1">
      <c r="A29" s="38" t="s">
        <v>54</v>
      </c>
      <c r="B29" s="39" t="s">
        <v>55</v>
      </c>
      <c r="C29" s="40" t="s">
        <v>56</v>
      </c>
    </row>
    <row r="30" ht="14.25" customHeight="1">
      <c r="A30" s="41" t="s">
        <v>57</v>
      </c>
      <c r="B30" s="42">
        <v>2.0</v>
      </c>
      <c r="C30" s="43"/>
    </row>
    <row r="31" ht="14.25" customHeight="1">
      <c r="A31" s="41" t="s">
        <v>58</v>
      </c>
      <c r="B31" s="42">
        <f>94.34+78</f>
        <v>172.34</v>
      </c>
      <c r="C31" s="43" t="s">
        <v>59</v>
      </c>
      <c r="D31" s="7" t="s">
        <v>60</v>
      </c>
    </row>
    <row r="32" ht="14.25" customHeight="1">
      <c r="A32" s="41" t="s">
        <v>61</v>
      </c>
      <c r="B32" s="42">
        <v>267.48</v>
      </c>
      <c r="C32" s="43" t="s">
        <v>62</v>
      </c>
    </row>
    <row r="33" ht="14.25" customHeight="1">
      <c r="A33" s="41" t="s">
        <v>63</v>
      </c>
      <c r="B33" s="42">
        <v>46.33</v>
      </c>
      <c r="C33" s="43" t="s">
        <v>62</v>
      </c>
    </row>
    <row r="34" ht="14.25" customHeight="1">
      <c r="A34" s="41" t="s">
        <v>64</v>
      </c>
      <c r="B34" s="44"/>
      <c r="C34" s="43"/>
    </row>
    <row r="35" ht="14.25" customHeight="1">
      <c r="A35" s="41" t="s">
        <v>65</v>
      </c>
      <c r="B35" s="44">
        <f>234871/1000</f>
        <v>234.871</v>
      </c>
      <c r="C35" s="43" t="s">
        <v>62</v>
      </c>
      <c r="D35" s="7" t="s">
        <v>66</v>
      </c>
    </row>
    <row r="36" ht="14.25" customHeight="1">
      <c r="A36" s="41" t="s">
        <v>67</v>
      </c>
      <c r="B36" s="42">
        <v>57.5</v>
      </c>
      <c r="C36" s="43" t="s">
        <v>68</v>
      </c>
    </row>
    <row r="37" ht="14.25" customHeight="1">
      <c r="A37" s="41" t="s">
        <v>69</v>
      </c>
      <c r="B37" s="44"/>
      <c r="C37" s="43" t="s">
        <v>70</v>
      </c>
    </row>
    <row r="38" ht="14.25" customHeight="1">
      <c r="A38" s="41" t="s">
        <v>71</v>
      </c>
      <c r="B38" s="42">
        <v>0.0</v>
      </c>
      <c r="C38" s="43" t="s">
        <v>72</v>
      </c>
    </row>
    <row r="39" ht="14.25" customHeight="1">
      <c r="A39" s="41" t="s">
        <v>73</v>
      </c>
      <c r="B39" s="42">
        <v>104000.0</v>
      </c>
      <c r="C39" s="43" t="s">
        <v>74</v>
      </c>
    </row>
    <row r="40" ht="14.25" customHeight="1">
      <c r="A40" s="41" t="s">
        <v>75</v>
      </c>
      <c r="B40" s="42">
        <v>5000.0</v>
      </c>
      <c r="C40" s="43" t="s">
        <v>74</v>
      </c>
    </row>
    <row r="41" ht="14.25" customHeight="1">
      <c r="A41" s="41" t="s">
        <v>76</v>
      </c>
      <c r="B41" s="42">
        <v>5000.0</v>
      </c>
      <c r="C41" s="43" t="s">
        <v>74</v>
      </c>
    </row>
    <row r="42" ht="14.25" customHeight="1">
      <c r="A42" s="41" t="s">
        <v>77</v>
      </c>
      <c r="B42" s="42">
        <v>114000.0</v>
      </c>
      <c r="C42" s="43" t="s">
        <v>74</v>
      </c>
    </row>
    <row r="43" ht="14.25" customHeight="1">
      <c r="A43" s="38" t="s">
        <v>78</v>
      </c>
      <c r="B43" s="39" t="s">
        <v>55</v>
      </c>
      <c r="C43" s="40" t="s">
        <v>56</v>
      </c>
    </row>
    <row r="44" ht="14.25" customHeight="1">
      <c r="A44" s="45" t="s">
        <v>79</v>
      </c>
      <c r="B44" s="44">
        <f>68.975+25.365</f>
        <v>94.34</v>
      </c>
      <c r="C44" s="43" t="s">
        <v>59</v>
      </c>
    </row>
    <row r="45" ht="14.25" customHeight="1">
      <c r="A45" s="46"/>
      <c r="B45" s="42" t="s">
        <v>80</v>
      </c>
      <c r="C45" s="43" t="s">
        <v>81</v>
      </c>
    </row>
    <row r="46" ht="14.25" customHeight="1">
      <c r="A46" s="41" t="s">
        <v>82</v>
      </c>
      <c r="B46" s="44">
        <f>72000+32000</f>
        <v>104000</v>
      </c>
      <c r="C46" s="43" t="s">
        <v>74</v>
      </c>
    </row>
    <row r="47" ht="14.25" customHeight="1">
      <c r="A47" s="41" t="s">
        <v>83</v>
      </c>
      <c r="B47" s="42">
        <v>5000.0</v>
      </c>
      <c r="C47" s="43" t="s">
        <v>74</v>
      </c>
    </row>
    <row r="48" ht="14.25" customHeight="1">
      <c r="A48" s="41" t="s">
        <v>84</v>
      </c>
      <c r="B48" s="42">
        <v>5000.0</v>
      </c>
      <c r="C48" s="43" t="s">
        <v>74</v>
      </c>
    </row>
    <row r="49" ht="14.25" customHeight="1">
      <c r="A49" s="45" t="s">
        <v>85</v>
      </c>
      <c r="B49" s="44">
        <f>B46+B47+B48</f>
        <v>114000</v>
      </c>
      <c r="C49" s="43" t="s">
        <v>74</v>
      </c>
    </row>
    <row r="50" ht="14.25" customHeight="1">
      <c r="A50" s="46"/>
      <c r="B50" s="42">
        <v>100.0</v>
      </c>
      <c r="C50" s="43" t="s">
        <v>81</v>
      </c>
    </row>
    <row r="51" ht="14.25" customHeight="1">
      <c r="A51" s="47" t="s">
        <v>86</v>
      </c>
      <c r="B51" s="48"/>
      <c r="C51" s="49"/>
    </row>
    <row r="52" ht="14.25" customHeight="1">
      <c r="A52" s="41" t="s">
        <v>87</v>
      </c>
      <c r="B52" s="42">
        <v>1.0</v>
      </c>
      <c r="C52" s="50"/>
    </row>
    <row r="53" ht="14.25" customHeight="1">
      <c r="A53" s="41" t="s">
        <v>88</v>
      </c>
      <c r="B53" s="42">
        <v>5.0</v>
      </c>
      <c r="C53" s="50"/>
    </row>
    <row r="54" ht="14.25" customHeight="1">
      <c r="A54" s="41" t="s">
        <v>89</v>
      </c>
      <c r="B54" s="42">
        <v>1.0</v>
      </c>
      <c r="C54" s="50"/>
    </row>
    <row r="55" ht="14.25" customHeight="1">
      <c r="A55" s="41" t="s">
        <v>90</v>
      </c>
      <c r="B55" s="42">
        <v>2.0</v>
      </c>
      <c r="C55" s="50"/>
    </row>
    <row r="56" ht="14.25" customHeight="1">
      <c r="A56" s="51" t="s">
        <v>91</v>
      </c>
      <c r="B56" s="42">
        <v>1.0</v>
      </c>
      <c r="C56" s="50"/>
    </row>
    <row r="57" ht="14.25" customHeight="1">
      <c r="A57" s="52" t="s">
        <v>92</v>
      </c>
      <c r="B57" s="53">
        <v>3.8</v>
      </c>
      <c r="C57" s="50"/>
    </row>
    <row r="58" ht="14.25" customHeight="1">
      <c r="A58" s="38" t="s">
        <v>93</v>
      </c>
      <c r="B58" s="39" t="s">
        <v>55</v>
      </c>
      <c r="C58" s="40" t="s">
        <v>56</v>
      </c>
    </row>
    <row r="59" ht="14.25" customHeight="1">
      <c r="A59" s="41" t="s">
        <v>94</v>
      </c>
      <c r="B59" s="44"/>
      <c r="C59" s="54"/>
    </row>
    <row r="60" ht="14.25" customHeight="1">
      <c r="A60" s="41" t="s">
        <v>95</v>
      </c>
      <c r="B60" s="42"/>
      <c r="C60" s="54"/>
    </row>
    <row r="61" ht="14.25" customHeight="1">
      <c r="A61" s="41" t="s">
        <v>96</v>
      </c>
      <c r="B61" s="44"/>
      <c r="C61" s="54"/>
    </row>
    <row r="62" ht="14.25" customHeight="1">
      <c r="A62" s="41" t="s">
        <v>97</v>
      </c>
      <c r="B62" s="44"/>
      <c r="C62" s="43" t="s">
        <v>59</v>
      </c>
    </row>
    <row r="63" ht="14.25" customHeight="1">
      <c r="A63" s="41" t="s">
        <v>98</v>
      </c>
      <c r="B63" s="44"/>
      <c r="C63" s="43" t="s">
        <v>62</v>
      </c>
    </row>
    <row r="64" ht="14.25" customHeight="1">
      <c r="A64" s="41" t="s">
        <v>99</v>
      </c>
      <c r="B64" s="44"/>
      <c r="C64" s="43" t="s">
        <v>100</v>
      </c>
    </row>
    <row r="65" ht="14.25" customHeight="1">
      <c r="A65" s="41" t="s">
        <v>101</v>
      </c>
      <c r="B65" s="44"/>
      <c r="C65" s="43" t="s">
        <v>74</v>
      </c>
    </row>
    <row r="66" ht="14.25" customHeight="1">
      <c r="A66" s="38" t="s">
        <v>102</v>
      </c>
      <c r="B66" s="39" t="s">
        <v>55</v>
      </c>
      <c r="C66" s="40" t="s">
        <v>56</v>
      </c>
    </row>
    <row r="67" ht="14.25" customHeight="1">
      <c r="A67" s="41" t="s">
        <v>103</v>
      </c>
      <c r="B67" s="42">
        <v>3.0</v>
      </c>
      <c r="C67" s="54"/>
    </row>
    <row r="68" ht="14.25" customHeight="1">
      <c r="A68" s="41" t="s">
        <v>104</v>
      </c>
      <c r="B68" s="44"/>
      <c r="C68" s="43" t="s">
        <v>59</v>
      </c>
    </row>
    <row r="69" ht="14.25" customHeight="1">
      <c r="A69" s="41" t="s">
        <v>105</v>
      </c>
      <c r="B69" s="44"/>
      <c r="C69" s="43" t="s">
        <v>62</v>
      </c>
    </row>
    <row r="70" ht="14.25" customHeight="1">
      <c r="A70" s="41" t="s">
        <v>106</v>
      </c>
      <c r="B70" s="44"/>
      <c r="C70" s="43" t="s">
        <v>100</v>
      </c>
    </row>
    <row r="71" ht="14.25" customHeight="1">
      <c r="A71" s="41" t="s">
        <v>107</v>
      </c>
      <c r="B71" s="44"/>
      <c r="C71" s="43" t="s">
        <v>74</v>
      </c>
    </row>
    <row r="72" ht="14.25" customHeight="1">
      <c r="A72" s="38" t="s">
        <v>108</v>
      </c>
      <c r="B72" s="39" t="s">
        <v>55</v>
      </c>
      <c r="C72" s="40" t="s">
        <v>56</v>
      </c>
    </row>
    <row r="73" ht="14.25" customHeight="1">
      <c r="A73" s="41" t="s">
        <v>109</v>
      </c>
      <c r="B73" s="44"/>
      <c r="C73" s="54"/>
    </row>
    <row r="74" ht="14.25" customHeight="1">
      <c r="A74" s="41" t="s">
        <v>104</v>
      </c>
      <c r="B74" s="44"/>
      <c r="C74" s="43" t="s">
        <v>59</v>
      </c>
    </row>
    <row r="75" ht="14.25" customHeight="1">
      <c r="A75" s="41" t="s">
        <v>105</v>
      </c>
      <c r="B75" s="44"/>
      <c r="C75" s="43" t="s">
        <v>62</v>
      </c>
    </row>
    <row r="76" ht="14.25" customHeight="1">
      <c r="A76" s="41" t="s">
        <v>106</v>
      </c>
      <c r="B76" s="44"/>
      <c r="C76" s="43" t="s">
        <v>100</v>
      </c>
    </row>
    <row r="77" ht="14.25" customHeight="1">
      <c r="A77" s="55" t="s">
        <v>107</v>
      </c>
      <c r="B77" s="56"/>
      <c r="C77" s="57" t="s">
        <v>74</v>
      </c>
    </row>
    <row r="78" ht="14.25" customHeight="1">
      <c r="A78" s="58"/>
      <c r="B78" s="58"/>
      <c r="C78" s="59"/>
    </row>
    <row r="79" ht="14.25" customHeight="1">
      <c r="A79" s="60" t="s">
        <v>110</v>
      </c>
      <c r="B79" s="11"/>
      <c r="C79" s="61"/>
    </row>
    <row r="80" ht="14.25" customHeight="1">
      <c r="A80" s="41" t="s">
        <v>111</v>
      </c>
      <c r="B80" s="62">
        <v>114000.0</v>
      </c>
      <c r="C80" s="58"/>
    </row>
    <row r="81" ht="14.25" customHeight="1">
      <c r="A81" s="55" t="s">
        <v>112</v>
      </c>
      <c r="B81" s="63">
        <v>114000.0</v>
      </c>
      <c r="C81" s="58"/>
    </row>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sheetData>
  <mergeCells count="10">
    <mergeCell ref="A49:A50"/>
    <mergeCell ref="A51:C51"/>
    <mergeCell ref="A79:B79"/>
    <mergeCell ref="A1:B1"/>
    <mergeCell ref="A8:B8"/>
    <mergeCell ref="A12:B12"/>
    <mergeCell ref="A18:B18"/>
    <mergeCell ref="A24:B24"/>
    <mergeCell ref="A44:A45"/>
    <mergeCell ref="A28:C28"/>
  </mergeCells>
  <dataValidations>
    <dataValidation type="list" allowBlank="1" showErrorMessage="1" sqref="B2">
      <formula1>Aux!$A$1:$A$2</formula1>
    </dataValidation>
    <dataValidation type="list" allowBlank="1" showErrorMessage="1" sqref="B19 B21">
      <formula1>Aux!$B$1:$B$2</formula1>
    </dataValidation>
  </dataValidations>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52.63"/>
    <col customWidth="1" min="2" max="2" width="23.13"/>
    <col customWidth="1" min="3" max="26" width="8.63"/>
  </cols>
  <sheetData>
    <row r="1" ht="14.25" customHeight="1">
      <c r="A1" s="64" t="s">
        <v>113</v>
      </c>
      <c r="B1" s="65"/>
    </row>
    <row r="2" ht="14.25" customHeight="1">
      <c r="A2" s="6" t="s">
        <v>114</v>
      </c>
      <c r="B2" s="66" t="s">
        <v>115</v>
      </c>
    </row>
    <row r="3" ht="14.25" customHeight="1">
      <c r="A3" s="6" t="s">
        <v>116</v>
      </c>
      <c r="B3" s="67" t="s">
        <v>117</v>
      </c>
    </row>
    <row r="4" ht="14.25" customHeight="1">
      <c r="A4" s="6" t="s">
        <v>118</v>
      </c>
      <c r="B4" s="66" t="s">
        <v>119</v>
      </c>
    </row>
    <row r="5" ht="14.25" customHeight="1">
      <c r="A5" s="6" t="s">
        <v>120</v>
      </c>
      <c r="B5" s="66">
        <v>9.1928837E8</v>
      </c>
    </row>
    <row r="6" ht="14.25" customHeight="1"/>
    <row r="7" ht="14.25" customHeight="1">
      <c r="A7" s="68" t="s">
        <v>37</v>
      </c>
      <c r="B7" s="11"/>
    </row>
    <row r="8" ht="14.25" customHeight="1">
      <c r="A8" s="26" t="s">
        <v>121</v>
      </c>
      <c r="B8" s="27" t="s">
        <v>39</v>
      </c>
    </row>
    <row r="9" ht="14.25" customHeight="1">
      <c r="A9" s="26" t="s">
        <v>122</v>
      </c>
      <c r="B9" s="27" t="s">
        <v>39</v>
      </c>
    </row>
    <row r="10" ht="14.25" customHeight="1">
      <c r="A10" s="28" t="s">
        <v>123</v>
      </c>
      <c r="B10" s="69" t="s">
        <v>39</v>
      </c>
    </row>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2">
    <mergeCell ref="A1:B1"/>
    <mergeCell ref="A7:B7"/>
  </mergeCells>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46.38"/>
    <col customWidth="1" min="2" max="5" width="8.63"/>
    <col customWidth="1" min="6" max="6" width="46.88"/>
    <col customWidth="1" min="7" max="7" width="8.63"/>
    <col customWidth="1" min="8" max="8" width="9.0"/>
    <col customWidth="1" min="9" max="26" width="8.63"/>
  </cols>
  <sheetData>
    <row r="1" ht="14.25" customHeight="1">
      <c r="A1" s="10" t="s">
        <v>124</v>
      </c>
      <c r="B1" s="37"/>
      <c r="C1" s="11"/>
      <c r="D1" s="70"/>
      <c r="F1" s="10" t="s">
        <v>124</v>
      </c>
      <c r="G1" s="37"/>
      <c r="H1" s="11"/>
      <c r="I1" s="70"/>
    </row>
    <row r="2" ht="14.25" customHeight="1">
      <c r="A2" s="12" t="s">
        <v>125</v>
      </c>
      <c r="B2" s="67" t="s">
        <v>126</v>
      </c>
      <c r="C2" s="71"/>
      <c r="D2" s="72"/>
      <c r="F2" s="12" t="s">
        <v>125</v>
      </c>
      <c r="G2" s="67" t="s">
        <v>126</v>
      </c>
      <c r="H2" s="71"/>
      <c r="I2" s="72"/>
    </row>
    <row r="3" ht="14.25" customHeight="1">
      <c r="A3" s="12" t="s">
        <v>127</v>
      </c>
      <c r="B3" s="73" t="s">
        <v>128</v>
      </c>
      <c r="C3" s="71"/>
      <c r="D3" s="72"/>
      <c r="F3" s="12" t="s">
        <v>127</v>
      </c>
      <c r="G3" s="73" t="s">
        <v>128</v>
      </c>
      <c r="H3" s="71"/>
      <c r="I3" s="72"/>
    </row>
    <row r="4" ht="14.25" customHeight="1">
      <c r="A4" s="12" t="s">
        <v>97</v>
      </c>
      <c r="B4" s="66">
        <v>147.0</v>
      </c>
      <c r="C4" s="14" t="s">
        <v>59</v>
      </c>
      <c r="D4" s="72"/>
      <c r="F4" s="12" t="s">
        <v>97</v>
      </c>
      <c r="G4" s="66">
        <v>25.3</v>
      </c>
      <c r="H4" s="14" t="s">
        <v>59</v>
      </c>
      <c r="I4" s="72"/>
    </row>
    <row r="5" ht="14.25" customHeight="1">
      <c r="A5" s="12" t="s">
        <v>129</v>
      </c>
      <c r="B5" s="67">
        <v>228.0</v>
      </c>
      <c r="C5" s="14" t="s">
        <v>62</v>
      </c>
      <c r="D5" s="72"/>
      <c r="F5" s="12" t="s">
        <v>129</v>
      </c>
      <c r="G5" s="67">
        <v>39.48</v>
      </c>
      <c r="H5" s="14" t="s">
        <v>62</v>
      </c>
      <c r="I5" s="72"/>
    </row>
    <row r="6" ht="14.25" customHeight="1">
      <c r="A6" s="12" t="s">
        <v>130</v>
      </c>
      <c r="B6" s="67">
        <v>46.3</v>
      </c>
      <c r="C6" s="14" t="s">
        <v>62</v>
      </c>
      <c r="D6" s="72"/>
      <c r="F6" s="12" t="s">
        <v>130</v>
      </c>
      <c r="G6" s="67">
        <v>0.0</v>
      </c>
      <c r="H6" s="14" t="s">
        <v>62</v>
      </c>
      <c r="I6" s="72"/>
    </row>
    <row r="7" ht="14.25" customHeight="1">
      <c r="A7" s="12" t="s">
        <v>131</v>
      </c>
      <c r="B7" s="73" t="s">
        <v>132</v>
      </c>
      <c r="C7" s="71"/>
      <c r="D7" s="72"/>
      <c r="F7" s="12" t="s">
        <v>131</v>
      </c>
      <c r="G7" s="73" t="s">
        <v>132</v>
      </c>
      <c r="H7" s="71"/>
      <c r="I7" s="72"/>
    </row>
    <row r="8" ht="14.25" customHeight="1">
      <c r="A8" s="16" t="s">
        <v>133</v>
      </c>
      <c r="B8" s="74">
        <v>0.0</v>
      </c>
      <c r="C8" s="75"/>
      <c r="D8" s="72"/>
      <c r="F8" s="16" t="s">
        <v>133</v>
      </c>
      <c r="G8" s="74">
        <v>0.0</v>
      </c>
      <c r="H8" s="75"/>
      <c r="I8" s="72"/>
    </row>
    <row r="9" ht="14.25" customHeight="1">
      <c r="A9" s="76"/>
      <c r="C9" s="77"/>
      <c r="D9" s="72"/>
      <c r="F9" s="76"/>
      <c r="I9" s="72"/>
    </row>
    <row r="10" ht="14.25" customHeight="1">
      <c r="A10" s="10" t="s">
        <v>134</v>
      </c>
      <c r="B10" s="11"/>
      <c r="D10" s="72"/>
      <c r="F10" s="10" t="s">
        <v>134</v>
      </c>
      <c r="G10" s="11"/>
      <c r="I10" s="72"/>
    </row>
    <row r="11" ht="14.25" customHeight="1">
      <c r="A11" s="12" t="s">
        <v>135</v>
      </c>
      <c r="B11" s="13" t="s">
        <v>136</v>
      </c>
      <c r="D11" s="72"/>
      <c r="F11" s="12" t="s">
        <v>135</v>
      </c>
      <c r="G11" s="13" t="s">
        <v>137</v>
      </c>
      <c r="I11" s="72"/>
    </row>
    <row r="12" ht="14.25" customHeight="1">
      <c r="A12" s="12" t="s">
        <v>138</v>
      </c>
      <c r="B12" s="13" t="s">
        <v>139</v>
      </c>
      <c r="D12" s="72"/>
      <c r="F12" s="12" t="s">
        <v>138</v>
      </c>
      <c r="G12" s="13" t="s">
        <v>140</v>
      </c>
      <c r="I12" s="72"/>
    </row>
    <row r="13" ht="14.25" customHeight="1">
      <c r="A13" s="12" t="s">
        <v>141</v>
      </c>
      <c r="B13" s="13" t="s">
        <v>142</v>
      </c>
      <c r="D13" s="72"/>
      <c r="F13" s="12" t="s">
        <v>141</v>
      </c>
      <c r="G13" s="13" t="s">
        <v>143</v>
      </c>
      <c r="I13" s="72"/>
    </row>
    <row r="14" ht="14.25" customHeight="1">
      <c r="A14" s="12" t="s">
        <v>144</v>
      </c>
      <c r="B14" s="13" t="s">
        <v>145</v>
      </c>
      <c r="D14" s="72"/>
      <c r="F14" s="12" t="s">
        <v>144</v>
      </c>
      <c r="G14" s="13" t="s">
        <v>145</v>
      </c>
      <c r="I14" s="72"/>
    </row>
    <row r="15" ht="14.25" customHeight="1">
      <c r="A15" s="78" t="s">
        <v>146</v>
      </c>
      <c r="B15" s="13" t="s">
        <v>147</v>
      </c>
      <c r="D15" s="72"/>
      <c r="F15" s="78" t="s">
        <v>146</v>
      </c>
      <c r="G15" s="13" t="s">
        <v>147</v>
      </c>
      <c r="I15" s="72"/>
    </row>
    <row r="16" ht="14.25" customHeight="1">
      <c r="A16" s="79" t="s">
        <v>148</v>
      </c>
      <c r="B16" s="80" t="s">
        <v>149</v>
      </c>
      <c r="D16" s="72"/>
      <c r="F16" s="79" t="s">
        <v>148</v>
      </c>
      <c r="G16" s="80" t="s">
        <v>143</v>
      </c>
      <c r="I16" s="72"/>
    </row>
    <row r="17" ht="14.25" customHeight="1">
      <c r="A17" s="76"/>
      <c r="D17" s="72"/>
      <c r="F17" s="76"/>
      <c r="I17" s="72"/>
    </row>
    <row r="18" ht="14.25" customHeight="1">
      <c r="A18" s="10" t="s">
        <v>150</v>
      </c>
      <c r="B18" s="11"/>
      <c r="D18" s="72"/>
      <c r="F18" s="10" t="s">
        <v>150</v>
      </c>
      <c r="G18" s="11"/>
      <c r="I18" s="72"/>
    </row>
    <row r="19" ht="14.25" customHeight="1">
      <c r="A19" s="28" t="s">
        <v>151</v>
      </c>
      <c r="B19" s="81">
        <v>72000.0</v>
      </c>
      <c r="D19" s="72"/>
      <c r="F19" s="28" t="s">
        <v>151</v>
      </c>
      <c r="G19" s="81">
        <v>32000.0</v>
      </c>
      <c r="I19" s="72"/>
    </row>
    <row r="20" ht="14.25" customHeight="1">
      <c r="A20" s="76"/>
      <c r="D20" s="72"/>
      <c r="F20" s="76"/>
      <c r="I20" s="72"/>
    </row>
    <row r="21" ht="14.25" customHeight="1">
      <c r="A21" s="10" t="s">
        <v>152</v>
      </c>
      <c r="B21" s="11"/>
      <c r="D21" s="72"/>
      <c r="F21" s="10" t="s">
        <v>152</v>
      </c>
      <c r="G21" s="11"/>
      <c r="I21" s="72"/>
    </row>
    <row r="22" ht="14.25" customHeight="1">
      <c r="A22" s="26" t="s">
        <v>153</v>
      </c>
      <c r="B22" s="27" t="s">
        <v>154</v>
      </c>
      <c r="D22" s="72"/>
      <c r="F22" s="26" t="s">
        <v>153</v>
      </c>
      <c r="G22" s="27" t="s">
        <v>154</v>
      </c>
      <c r="I22" s="72"/>
    </row>
    <row r="23" ht="14.25" customHeight="1">
      <c r="A23" s="26" t="s">
        <v>155</v>
      </c>
      <c r="B23" s="27" t="s">
        <v>46</v>
      </c>
      <c r="D23" s="72"/>
      <c r="F23" s="26" t="s">
        <v>155</v>
      </c>
      <c r="G23" s="27" t="s">
        <v>46</v>
      </c>
      <c r="I23" s="72"/>
    </row>
    <row r="24" ht="14.25" customHeight="1">
      <c r="A24" s="28" t="s">
        <v>156</v>
      </c>
      <c r="B24" s="69" t="s">
        <v>46</v>
      </c>
      <c r="D24" s="72"/>
      <c r="F24" s="28" t="s">
        <v>156</v>
      </c>
      <c r="G24" s="69" t="s">
        <v>46</v>
      </c>
      <c r="I24" s="72"/>
    </row>
    <row r="25" ht="14.25" customHeight="1">
      <c r="A25" s="82"/>
      <c r="B25" s="83"/>
      <c r="C25" s="83"/>
      <c r="D25" s="84"/>
      <c r="F25" s="82"/>
      <c r="G25" s="83"/>
      <c r="H25" s="83"/>
      <c r="I25" s="84"/>
    </row>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8">
    <mergeCell ref="A1:C1"/>
    <mergeCell ref="F1:H1"/>
    <mergeCell ref="A10:B10"/>
    <mergeCell ref="F10:G10"/>
    <mergeCell ref="A18:B18"/>
    <mergeCell ref="F18:G18"/>
    <mergeCell ref="A21:B21"/>
    <mergeCell ref="F21:G21"/>
  </mergeCells>
  <dataValidations>
    <dataValidation type="list" allowBlank="1" showErrorMessage="1" sqref="B3 G3">
      <formula1>Aux!$B$11:$B$15</formula1>
    </dataValidation>
    <dataValidation type="list" allowBlank="1" showErrorMessage="1" sqref="B2 G2">
      <formula1>Aux!$L$2:$L$3</formula1>
    </dataValidation>
    <dataValidation type="list" allowBlank="1" showErrorMessage="1" sqref="B7 G7">
      <formula1>Aux!$B$1:$B$2</formula1>
    </dataValidation>
  </dataValidations>
  <printOptions/>
  <pageMargins bottom="0.75" footer="0.0" header="0.0" left="0.7" right="0.7" top="0.75"/>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41.38"/>
    <col customWidth="1" min="2" max="2" width="10.75"/>
    <col customWidth="1" min="3" max="5" width="8.63"/>
    <col customWidth="1" min="6" max="6" width="41.38"/>
    <col customWidth="1" min="7" max="7" width="10.75"/>
    <col customWidth="1" min="8" max="10" width="8.63"/>
    <col customWidth="1" min="11" max="11" width="41.38"/>
    <col customWidth="1" min="12" max="12" width="10.75"/>
    <col customWidth="1" min="13" max="15" width="8.63"/>
    <col customWidth="1" min="16" max="16" width="41.38"/>
    <col customWidth="1" min="17" max="17" width="10.75"/>
    <col customWidth="1" min="18" max="20" width="8.63"/>
    <col customWidth="1" min="21" max="21" width="41.38"/>
    <col customWidth="1" min="22" max="22" width="10.75"/>
    <col customWidth="1" min="23" max="26" width="8.63"/>
  </cols>
  <sheetData>
    <row r="1" ht="14.25" customHeight="1">
      <c r="A1" s="68" t="s">
        <v>157</v>
      </c>
      <c r="B1" s="11"/>
      <c r="C1" s="85"/>
      <c r="D1" s="70"/>
      <c r="F1" s="68" t="s">
        <v>158</v>
      </c>
      <c r="G1" s="11"/>
      <c r="H1" s="85"/>
      <c r="I1" s="70"/>
      <c r="K1" s="68" t="s">
        <v>159</v>
      </c>
      <c r="L1" s="11"/>
      <c r="M1" s="85"/>
      <c r="N1" s="70"/>
      <c r="P1" s="68" t="s">
        <v>160</v>
      </c>
      <c r="Q1" s="11"/>
      <c r="R1" s="85"/>
      <c r="S1" s="70"/>
      <c r="U1" s="68" t="s">
        <v>161</v>
      </c>
      <c r="V1" s="11"/>
      <c r="W1" s="85"/>
      <c r="X1" s="70"/>
    </row>
    <row r="2" ht="14.25" customHeight="1">
      <c r="A2" s="12" t="s">
        <v>162</v>
      </c>
      <c r="B2" s="19" t="s">
        <v>163</v>
      </c>
      <c r="D2" s="72"/>
      <c r="F2" s="12" t="s">
        <v>162</v>
      </c>
      <c r="G2" s="19" t="s">
        <v>163</v>
      </c>
      <c r="I2" s="72"/>
      <c r="K2" s="12" t="s">
        <v>162</v>
      </c>
      <c r="L2" s="19" t="s">
        <v>163</v>
      </c>
      <c r="N2" s="72"/>
      <c r="P2" s="12" t="s">
        <v>162</v>
      </c>
      <c r="Q2" s="19" t="s">
        <v>164</v>
      </c>
      <c r="S2" s="72"/>
      <c r="U2" s="12" t="s">
        <v>162</v>
      </c>
      <c r="V2" s="19" t="s">
        <v>164</v>
      </c>
      <c r="X2" s="72"/>
    </row>
    <row r="3" ht="14.25" customHeight="1">
      <c r="A3" s="26" t="s">
        <v>165</v>
      </c>
      <c r="B3" s="27" t="s">
        <v>39</v>
      </c>
      <c r="D3" s="72"/>
      <c r="F3" s="26" t="s">
        <v>165</v>
      </c>
      <c r="G3" s="27" t="s">
        <v>39</v>
      </c>
      <c r="I3" s="72"/>
      <c r="K3" s="26" t="s">
        <v>165</v>
      </c>
      <c r="L3" s="27" t="s">
        <v>39</v>
      </c>
      <c r="N3" s="72"/>
      <c r="P3" s="26" t="s">
        <v>165</v>
      </c>
      <c r="Q3" s="27" t="s">
        <v>46</v>
      </c>
      <c r="S3" s="72"/>
      <c r="U3" s="26" t="s">
        <v>165</v>
      </c>
      <c r="V3" s="27" t="s">
        <v>166</v>
      </c>
      <c r="X3" s="72"/>
    </row>
    <row r="4" ht="14.25" customHeight="1">
      <c r="A4" s="12" t="s">
        <v>167</v>
      </c>
      <c r="B4" s="13">
        <v>5.0059412E8</v>
      </c>
      <c r="D4" s="72"/>
      <c r="F4" s="12" t="s">
        <v>167</v>
      </c>
      <c r="G4" s="13">
        <v>5.0059412E8</v>
      </c>
      <c r="I4" s="72"/>
      <c r="K4" s="12" t="s">
        <v>167</v>
      </c>
      <c r="L4" s="13">
        <v>1.05144002E8</v>
      </c>
      <c r="N4" s="72"/>
      <c r="P4" s="12" t="s">
        <v>167</v>
      </c>
      <c r="Q4" s="13">
        <v>2.21698957E8</v>
      </c>
      <c r="S4" s="72"/>
      <c r="U4" s="12" t="s">
        <v>167</v>
      </c>
      <c r="V4" s="13">
        <v>2.19627177E8</v>
      </c>
      <c r="X4" s="72"/>
    </row>
    <row r="5" ht="14.25" customHeight="1">
      <c r="A5" s="12" t="s">
        <v>135</v>
      </c>
      <c r="B5" s="13" t="s">
        <v>136</v>
      </c>
      <c r="D5" s="72"/>
      <c r="F5" s="12" t="s">
        <v>135</v>
      </c>
      <c r="G5" s="13" t="s">
        <v>168</v>
      </c>
      <c r="I5" s="72"/>
      <c r="K5" s="12" t="s">
        <v>135</v>
      </c>
      <c r="L5" s="13" t="s">
        <v>169</v>
      </c>
      <c r="N5" s="72"/>
      <c r="P5" s="12" t="s">
        <v>135</v>
      </c>
      <c r="Q5" s="13" t="s">
        <v>170</v>
      </c>
      <c r="S5" s="72"/>
      <c r="U5" s="12" t="s">
        <v>135</v>
      </c>
      <c r="V5" s="13" t="s">
        <v>171</v>
      </c>
      <c r="X5" s="72"/>
    </row>
    <row r="6" ht="14.25" customHeight="1">
      <c r="A6" s="12" t="s">
        <v>138</v>
      </c>
      <c r="B6" s="13" t="s">
        <v>172</v>
      </c>
      <c r="D6" s="72"/>
      <c r="F6" s="12" t="s">
        <v>138</v>
      </c>
      <c r="G6" s="13" t="s">
        <v>173</v>
      </c>
      <c r="I6" s="72"/>
      <c r="K6" s="12" t="s">
        <v>138</v>
      </c>
      <c r="L6" s="13" t="s">
        <v>174</v>
      </c>
      <c r="N6" s="72"/>
      <c r="P6" s="12" t="s">
        <v>138</v>
      </c>
      <c r="Q6" s="13" t="s">
        <v>175</v>
      </c>
      <c r="S6" s="72"/>
      <c r="U6" s="12" t="s">
        <v>138</v>
      </c>
      <c r="V6" s="13" t="s">
        <v>176</v>
      </c>
      <c r="X6" s="72"/>
    </row>
    <row r="7" ht="14.25" customHeight="1">
      <c r="A7" s="12" t="s">
        <v>141</v>
      </c>
      <c r="B7" s="13" t="s">
        <v>142</v>
      </c>
      <c r="D7" s="72"/>
      <c r="F7" s="12" t="s">
        <v>141</v>
      </c>
      <c r="G7" s="13" t="s">
        <v>147</v>
      </c>
      <c r="I7" s="72"/>
      <c r="K7" s="12" t="s">
        <v>141</v>
      </c>
      <c r="L7" s="13" t="s">
        <v>142</v>
      </c>
      <c r="N7" s="72"/>
      <c r="P7" s="12" t="s">
        <v>141</v>
      </c>
      <c r="Q7" s="13" t="s">
        <v>142</v>
      </c>
      <c r="S7" s="72"/>
      <c r="U7" s="12" t="s">
        <v>141</v>
      </c>
      <c r="V7" s="13" t="s">
        <v>177</v>
      </c>
      <c r="X7" s="72"/>
    </row>
    <row r="8" ht="14.25" customHeight="1">
      <c r="A8" s="12" t="s">
        <v>178</v>
      </c>
      <c r="B8" s="19" t="s">
        <v>132</v>
      </c>
      <c r="D8" s="72"/>
      <c r="F8" s="12" t="s">
        <v>178</v>
      </c>
      <c r="G8" s="19" t="s">
        <v>46</v>
      </c>
      <c r="I8" s="72"/>
      <c r="K8" s="12" t="s">
        <v>178</v>
      </c>
      <c r="L8" s="19" t="s">
        <v>46</v>
      </c>
      <c r="N8" s="72"/>
      <c r="P8" s="12" t="s">
        <v>178</v>
      </c>
      <c r="Q8" s="19" t="s">
        <v>132</v>
      </c>
      <c r="S8" s="72"/>
      <c r="U8" s="12" t="s">
        <v>178</v>
      </c>
      <c r="V8" s="19" t="s">
        <v>132</v>
      </c>
      <c r="X8" s="72"/>
    </row>
    <row r="9" ht="14.25" customHeight="1">
      <c r="A9" s="86" t="s">
        <v>179</v>
      </c>
      <c r="B9" s="23"/>
      <c r="D9" s="72"/>
      <c r="F9" s="86" t="s">
        <v>179</v>
      </c>
      <c r="G9" s="23"/>
      <c r="I9" s="72"/>
      <c r="K9" s="86" t="s">
        <v>179</v>
      </c>
      <c r="L9" s="23"/>
      <c r="N9" s="72"/>
      <c r="P9" s="86" t="s">
        <v>179</v>
      </c>
      <c r="Q9" s="23"/>
      <c r="S9" s="72"/>
      <c r="U9" s="86" t="s">
        <v>179</v>
      </c>
      <c r="V9" s="23"/>
      <c r="X9" s="72"/>
    </row>
    <row r="10" ht="14.25" customHeight="1">
      <c r="A10" s="12" t="s">
        <v>180</v>
      </c>
      <c r="B10" s="87"/>
      <c r="D10" s="72"/>
      <c r="F10" s="12" t="s">
        <v>180</v>
      </c>
      <c r="G10" s="27" t="s">
        <v>46</v>
      </c>
      <c r="I10" s="72"/>
      <c r="K10" s="12" t="s">
        <v>180</v>
      </c>
      <c r="L10" s="27" t="s">
        <v>43</v>
      </c>
      <c r="N10" s="72"/>
      <c r="P10" s="12" t="s">
        <v>180</v>
      </c>
      <c r="Q10" s="87"/>
      <c r="S10" s="72"/>
      <c r="U10" s="12" t="s">
        <v>180</v>
      </c>
      <c r="V10" s="87"/>
      <c r="X10" s="72"/>
    </row>
    <row r="11" ht="14.25" customHeight="1">
      <c r="A11" s="12" t="s">
        <v>181</v>
      </c>
      <c r="B11" s="87"/>
      <c r="D11" s="72"/>
      <c r="F11" s="12" t="s">
        <v>181</v>
      </c>
      <c r="G11" s="27" t="s">
        <v>46</v>
      </c>
      <c r="I11" s="72"/>
      <c r="K11" s="12" t="s">
        <v>181</v>
      </c>
      <c r="L11" s="27" t="s">
        <v>46</v>
      </c>
      <c r="N11" s="72"/>
      <c r="P11" s="12" t="s">
        <v>181</v>
      </c>
      <c r="Q11" s="87"/>
      <c r="S11" s="72"/>
      <c r="U11" s="12" t="s">
        <v>181</v>
      </c>
      <c r="V11" s="87"/>
      <c r="X11" s="72"/>
    </row>
    <row r="12" ht="14.25" customHeight="1">
      <c r="A12" s="12" t="s">
        <v>182</v>
      </c>
      <c r="B12" s="13">
        <v>11389.0</v>
      </c>
      <c r="D12" s="72"/>
      <c r="F12" s="12" t="s">
        <v>182</v>
      </c>
      <c r="G12" s="13">
        <v>24838.0</v>
      </c>
      <c r="I12" s="72"/>
      <c r="K12" s="12" t="s">
        <v>182</v>
      </c>
      <c r="L12" s="13">
        <v>7559.0</v>
      </c>
      <c r="N12" s="72"/>
      <c r="P12" s="12" t="s">
        <v>182</v>
      </c>
      <c r="Q12" s="13">
        <v>5438.0</v>
      </c>
      <c r="S12" s="72"/>
      <c r="U12" s="12" t="s">
        <v>182</v>
      </c>
      <c r="V12" s="13">
        <v>12369.0</v>
      </c>
      <c r="X12" s="72"/>
    </row>
    <row r="13" ht="14.25" customHeight="1">
      <c r="A13" s="12" t="s">
        <v>183</v>
      </c>
      <c r="B13" s="13" t="s">
        <v>145</v>
      </c>
      <c r="D13" s="72"/>
      <c r="F13" s="12" t="s">
        <v>183</v>
      </c>
      <c r="G13" s="13" t="s">
        <v>145</v>
      </c>
      <c r="I13" s="72"/>
      <c r="K13" s="12" t="s">
        <v>183</v>
      </c>
      <c r="L13" s="13" t="s">
        <v>145</v>
      </c>
      <c r="N13" s="72"/>
      <c r="P13" s="12" t="s">
        <v>183</v>
      </c>
      <c r="Q13" s="13" t="s">
        <v>145</v>
      </c>
      <c r="S13" s="72"/>
      <c r="U13" s="12" t="s">
        <v>183</v>
      </c>
      <c r="V13" s="13" t="s">
        <v>145</v>
      </c>
      <c r="X13" s="72"/>
    </row>
    <row r="14" ht="14.25" customHeight="1">
      <c r="A14" s="12" t="s">
        <v>146</v>
      </c>
      <c r="B14" s="13" t="s">
        <v>147</v>
      </c>
      <c r="D14" s="72"/>
      <c r="F14" s="12" t="s">
        <v>146</v>
      </c>
      <c r="G14" s="13" t="s">
        <v>147</v>
      </c>
      <c r="I14" s="72"/>
      <c r="K14" s="12" t="s">
        <v>146</v>
      </c>
      <c r="L14" s="13" t="s">
        <v>147</v>
      </c>
      <c r="N14" s="72"/>
      <c r="P14" s="12" t="s">
        <v>146</v>
      </c>
      <c r="Q14" s="13" t="s">
        <v>147</v>
      </c>
      <c r="S14" s="72"/>
      <c r="U14" s="12" t="s">
        <v>146</v>
      </c>
      <c r="V14" s="13" t="s">
        <v>147</v>
      </c>
      <c r="X14" s="72"/>
    </row>
    <row r="15" ht="14.25" customHeight="1">
      <c r="A15" s="12" t="s">
        <v>184</v>
      </c>
      <c r="B15" s="13" t="s">
        <v>185</v>
      </c>
      <c r="D15" s="72"/>
      <c r="F15" s="12" t="s">
        <v>184</v>
      </c>
      <c r="G15" s="13" t="s">
        <v>143</v>
      </c>
      <c r="I15" s="72"/>
      <c r="K15" s="12" t="s">
        <v>184</v>
      </c>
      <c r="L15" s="13" t="s">
        <v>186</v>
      </c>
      <c r="N15" s="72"/>
      <c r="P15" s="12" t="s">
        <v>184</v>
      </c>
      <c r="Q15" s="13" t="s">
        <v>185</v>
      </c>
      <c r="S15" s="72"/>
      <c r="U15" s="12" t="s">
        <v>184</v>
      </c>
      <c r="V15" s="13" t="s">
        <v>177</v>
      </c>
      <c r="X15" s="72"/>
    </row>
    <row r="16" ht="14.25" customHeight="1">
      <c r="A16" s="12" t="s">
        <v>187</v>
      </c>
      <c r="B16" s="13" t="s">
        <v>188</v>
      </c>
      <c r="D16" s="72"/>
      <c r="F16" s="12" t="s">
        <v>187</v>
      </c>
      <c r="G16" s="13" t="s">
        <v>188</v>
      </c>
      <c r="I16" s="72"/>
      <c r="K16" s="12" t="s">
        <v>187</v>
      </c>
      <c r="L16" s="13" t="s">
        <v>188</v>
      </c>
      <c r="N16" s="72"/>
      <c r="P16" s="12" t="s">
        <v>187</v>
      </c>
      <c r="Q16" s="13" t="s">
        <v>188</v>
      </c>
      <c r="S16" s="72"/>
      <c r="U16" s="12" t="s">
        <v>187</v>
      </c>
      <c r="V16" s="13" t="s">
        <v>188</v>
      </c>
      <c r="X16" s="72"/>
    </row>
    <row r="17" ht="14.25" customHeight="1">
      <c r="A17" s="16" t="s">
        <v>189</v>
      </c>
      <c r="B17" s="88"/>
      <c r="D17" s="72"/>
      <c r="F17" s="16" t="s">
        <v>189</v>
      </c>
      <c r="G17" s="88"/>
      <c r="I17" s="72"/>
      <c r="K17" s="16" t="s">
        <v>189</v>
      </c>
      <c r="L17" s="88"/>
      <c r="N17" s="72"/>
      <c r="P17" s="16" t="s">
        <v>189</v>
      </c>
      <c r="Q17" s="88"/>
      <c r="S17" s="72"/>
      <c r="U17" s="16" t="s">
        <v>189</v>
      </c>
      <c r="V17" s="88"/>
      <c r="X17" s="72"/>
    </row>
    <row r="18" ht="14.25" customHeight="1">
      <c r="A18" s="76"/>
      <c r="D18" s="72"/>
      <c r="F18" s="76"/>
      <c r="I18" s="72"/>
      <c r="K18" s="76"/>
      <c r="N18" s="72"/>
      <c r="P18" s="76"/>
      <c r="S18" s="72"/>
      <c r="U18" s="76"/>
      <c r="X18" s="72"/>
    </row>
    <row r="19" ht="14.25" customHeight="1">
      <c r="A19" s="10" t="s">
        <v>190</v>
      </c>
      <c r="B19" s="37"/>
      <c r="C19" s="11"/>
      <c r="D19" s="72"/>
      <c r="F19" s="10" t="s">
        <v>190</v>
      </c>
      <c r="G19" s="37"/>
      <c r="H19" s="11"/>
      <c r="I19" s="72"/>
      <c r="K19" s="10" t="s">
        <v>190</v>
      </c>
      <c r="L19" s="37"/>
      <c r="M19" s="11"/>
      <c r="N19" s="72"/>
      <c r="P19" s="10" t="s">
        <v>190</v>
      </c>
      <c r="Q19" s="37"/>
      <c r="R19" s="11"/>
      <c r="S19" s="72"/>
      <c r="U19" s="10" t="s">
        <v>190</v>
      </c>
      <c r="V19" s="37"/>
      <c r="W19" s="11"/>
      <c r="X19" s="72"/>
    </row>
    <row r="20" ht="14.25" customHeight="1">
      <c r="A20" s="12" t="s">
        <v>191</v>
      </c>
      <c r="B20" s="66">
        <v>57641.65</v>
      </c>
      <c r="C20" s="14" t="s">
        <v>100</v>
      </c>
      <c r="D20" s="72"/>
      <c r="F20" s="12" t="s">
        <v>191</v>
      </c>
      <c r="G20" s="66">
        <v>29941.69</v>
      </c>
      <c r="H20" s="14" t="s">
        <v>100</v>
      </c>
      <c r="I20" s="72"/>
      <c r="K20" s="12" t="s">
        <v>191</v>
      </c>
      <c r="L20" s="66">
        <v>18385.14</v>
      </c>
      <c r="M20" s="14" t="s">
        <v>100</v>
      </c>
      <c r="N20" s="72"/>
      <c r="P20" s="12" t="s">
        <v>191</v>
      </c>
      <c r="Q20" s="66">
        <v>1878.35</v>
      </c>
      <c r="R20" s="14" t="s">
        <v>100</v>
      </c>
      <c r="S20" s="72"/>
      <c r="U20" s="12" t="s">
        <v>191</v>
      </c>
      <c r="V20" s="66">
        <v>916.46</v>
      </c>
      <c r="W20" s="14" t="s">
        <v>100</v>
      </c>
      <c r="X20" s="72"/>
    </row>
    <row r="21" ht="14.25" customHeight="1">
      <c r="A21" s="12" t="s">
        <v>192</v>
      </c>
      <c r="B21" s="66">
        <v>371754.0</v>
      </c>
      <c r="C21" s="14" t="s">
        <v>193</v>
      </c>
      <c r="D21" s="72"/>
      <c r="F21" s="12" t="s">
        <v>192</v>
      </c>
      <c r="G21" s="66">
        <v>279435.0</v>
      </c>
      <c r="H21" s="14" t="s">
        <v>193</v>
      </c>
      <c r="I21" s="72"/>
      <c r="K21" s="12" t="s">
        <v>192</v>
      </c>
      <c r="L21" s="66">
        <v>71759.0</v>
      </c>
      <c r="M21" s="14" t="s">
        <v>193</v>
      </c>
      <c r="N21" s="72"/>
      <c r="P21" s="12" t="s">
        <v>192</v>
      </c>
      <c r="Q21" s="66">
        <v>11303.0</v>
      </c>
      <c r="R21" s="14" t="s">
        <v>193</v>
      </c>
      <c r="S21" s="72"/>
      <c r="U21" s="12" t="s">
        <v>192</v>
      </c>
      <c r="V21" s="66">
        <v>3374.0</v>
      </c>
      <c r="W21" s="14" t="s">
        <v>193</v>
      </c>
      <c r="X21" s="72"/>
    </row>
    <row r="22" ht="14.25" customHeight="1">
      <c r="A22" s="16" t="s">
        <v>194</v>
      </c>
      <c r="B22" s="74">
        <v>60.0</v>
      </c>
      <c r="C22" s="88" t="s">
        <v>81</v>
      </c>
      <c r="D22" s="72"/>
      <c r="F22" s="16" t="s">
        <v>194</v>
      </c>
      <c r="G22" s="74">
        <v>37.0</v>
      </c>
      <c r="H22" s="88" t="s">
        <v>81</v>
      </c>
      <c r="I22" s="72"/>
      <c r="K22" s="79" t="s">
        <v>194</v>
      </c>
      <c r="L22" s="74">
        <v>1.0</v>
      </c>
      <c r="M22" s="88" t="s">
        <v>81</v>
      </c>
      <c r="N22" s="72"/>
      <c r="P22" s="16" t="s">
        <v>194</v>
      </c>
      <c r="Q22" s="74">
        <v>1.0</v>
      </c>
      <c r="R22" s="88" t="s">
        <v>81</v>
      </c>
      <c r="S22" s="72"/>
      <c r="U22" s="16" t="s">
        <v>194</v>
      </c>
      <c r="V22" s="74">
        <v>1.0</v>
      </c>
      <c r="W22" s="88" t="s">
        <v>81</v>
      </c>
      <c r="X22" s="72"/>
    </row>
    <row r="23" ht="14.25" customHeight="1">
      <c r="A23" s="76"/>
      <c r="D23" s="72"/>
      <c r="F23" s="76"/>
      <c r="I23" s="72"/>
      <c r="K23" s="76"/>
      <c r="N23" s="72"/>
      <c r="P23" s="76"/>
      <c r="S23" s="72"/>
      <c r="U23" s="76"/>
      <c r="X23" s="72"/>
    </row>
    <row r="24" ht="14.25" customHeight="1">
      <c r="A24" s="82"/>
      <c r="B24" s="83"/>
      <c r="C24" s="83"/>
      <c r="D24" s="84"/>
      <c r="F24" s="82"/>
      <c r="G24" s="83"/>
      <c r="H24" s="83"/>
      <c r="I24" s="84"/>
      <c r="K24" s="82"/>
      <c r="L24" s="83"/>
      <c r="M24" s="83"/>
      <c r="N24" s="84"/>
      <c r="P24" s="82"/>
      <c r="Q24" s="83"/>
      <c r="R24" s="83"/>
      <c r="S24" s="84"/>
      <c r="U24" s="82"/>
      <c r="V24" s="83"/>
      <c r="W24" s="83"/>
      <c r="X24" s="84"/>
    </row>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15">
    <mergeCell ref="F19:H19"/>
    <mergeCell ref="K19:M19"/>
    <mergeCell ref="P19:R19"/>
    <mergeCell ref="U19:W19"/>
    <mergeCell ref="K9:L9"/>
    <mergeCell ref="P9:Q9"/>
    <mergeCell ref="F9:G9"/>
    <mergeCell ref="U9:V9"/>
    <mergeCell ref="A1:B1"/>
    <mergeCell ref="A9:B9"/>
    <mergeCell ref="A19:C19"/>
    <mergeCell ref="F1:G1"/>
    <mergeCell ref="K1:L1"/>
    <mergeCell ref="P1:Q1"/>
    <mergeCell ref="U1:V1"/>
  </mergeCells>
  <dataValidations>
    <dataValidation type="list" allowBlank="1" showErrorMessage="1" sqref="B2 G2 L2 Q2 V2">
      <formula1>Aux!$I$2:$I$7</formula1>
    </dataValidation>
    <dataValidation type="list" allowBlank="1" showErrorMessage="1" sqref="B8 G8 L8 Q8 V8">
      <formula1>Aux!$B$1:$B$2</formula1>
    </dataValidation>
  </dataValidations>
  <printOptions/>
  <pageMargins bottom="0.75" footer="0.0" header="0.0" left="0.7" right="0.7" top="0.75"/>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8" width="8.63"/>
    <col customWidth="1" min="9" max="9" width="17.5"/>
    <col customWidth="1" min="10" max="26" width="8.63"/>
  </cols>
  <sheetData>
    <row r="1" ht="14.25" customHeight="1">
      <c r="A1" s="89" t="s">
        <v>24</v>
      </c>
      <c r="B1" s="89" t="s">
        <v>46</v>
      </c>
      <c r="D1" s="89" t="s">
        <v>195</v>
      </c>
      <c r="I1" s="89" t="s">
        <v>162</v>
      </c>
      <c r="L1" s="89" t="s">
        <v>196</v>
      </c>
    </row>
    <row r="2" ht="14.25" customHeight="1">
      <c r="A2" s="89" t="s">
        <v>4</v>
      </c>
      <c r="B2" s="89" t="s">
        <v>132</v>
      </c>
      <c r="D2" s="89" t="s">
        <v>4</v>
      </c>
      <c r="I2" s="89" t="s">
        <v>197</v>
      </c>
      <c r="L2" s="89" t="s">
        <v>126</v>
      </c>
    </row>
    <row r="3" ht="14.25" customHeight="1">
      <c r="D3" s="89" t="s">
        <v>198</v>
      </c>
      <c r="I3" s="89" t="s">
        <v>164</v>
      </c>
      <c r="L3" s="89" t="s">
        <v>199</v>
      </c>
    </row>
    <row r="4" ht="14.25" customHeight="1">
      <c r="D4" s="89" t="s">
        <v>200</v>
      </c>
      <c r="I4" s="89" t="s">
        <v>201</v>
      </c>
    </row>
    <row r="5" ht="14.25" customHeight="1">
      <c r="I5" s="89" t="s">
        <v>202</v>
      </c>
    </row>
    <row r="6" ht="14.25" customHeight="1">
      <c r="I6" s="89" t="s">
        <v>163</v>
      </c>
    </row>
    <row r="7" ht="14.25" customHeight="1">
      <c r="I7" s="89" t="s">
        <v>108</v>
      </c>
    </row>
    <row r="8" ht="14.25" customHeight="1"/>
    <row r="9" ht="14.25" customHeight="1"/>
    <row r="10" ht="14.25" customHeight="1">
      <c r="B10" s="89" t="s">
        <v>203</v>
      </c>
    </row>
    <row r="11" ht="14.25" customHeight="1">
      <c r="B11" s="89" t="s">
        <v>128</v>
      </c>
    </row>
    <row r="12" ht="14.25" customHeight="1">
      <c r="B12" s="89" t="s">
        <v>204</v>
      </c>
    </row>
    <row r="13" ht="14.25" customHeight="1">
      <c r="B13" s="89" t="s">
        <v>205</v>
      </c>
    </row>
    <row r="14" ht="14.25" customHeight="1">
      <c r="B14" s="89" t="s">
        <v>206</v>
      </c>
    </row>
    <row r="15" ht="14.25" customHeight="1">
      <c r="B15" s="89" t="s">
        <v>207</v>
      </c>
    </row>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2024-10-29T10:19:03Z</dcterms:created>
  <dc:creator>Consulting TA</dc:creator>
</cp:coreProperties>
</file>