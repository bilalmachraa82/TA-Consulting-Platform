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inaveloso/Desktop/PDR2020/"/>
    </mc:Choice>
  </mc:AlternateContent>
  <xr:revisionPtr revIDLastSave="0" documentId="8_{CEA62F1C-2103-DE4C-8CA5-AD02C02D155F}" xr6:coauthVersionLast="47" xr6:coauthVersionMax="47" xr10:uidLastSave="{00000000-0000-0000-0000-000000000000}"/>
  <bookViews>
    <workbookView xWindow="0" yWindow="0" windowWidth="38400" windowHeight="21600" xr2:uid="{1CB8C1E0-702F-5446-A8F9-2B83AD423A1F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1" l="1"/>
  <c r="H38" i="1"/>
  <c r="H65" i="1" s="1"/>
  <c r="H67" i="1" l="1"/>
</calcChain>
</file>

<file path=xl/sharedStrings.xml><?xml version="1.0" encoding="utf-8"?>
<sst xmlns="http://schemas.openxmlformats.org/spreadsheetml/2006/main" count="75" uniqueCount="68">
  <si>
    <t>SIMULADOR DA VGO - AÇÃO 312  PRODUÇÃO DE PRODUTOS AGRÍCOLAS</t>
  </si>
  <si>
    <t>Agrupamento ou Organização de produtor</t>
  </si>
  <si>
    <t>Pontos</t>
  </si>
  <si>
    <t>OP</t>
  </si>
  <si>
    <t xml:space="preserve">Ser Membro de OP Reconhecida/AP  reconhecida </t>
  </si>
  <si>
    <t>Compromisso de Integração em OP Oou AP Reconhecida</t>
  </si>
  <si>
    <t>Restantes situações</t>
  </si>
  <si>
    <t>Gestão do Risco</t>
  </si>
  <si>
    <t>GR</t>
  </si>
  <si>
    <t>Dispor de seguro agrícola (de colheitas e/ou de existências pecuária)</t>
  </si>
  <si>
    <t>Compromisso de contratar seguro agricola</t>
  </si>
  <si>
    <t>Realização de investimento contra riscos</t>
  </si>
  <si>
    <t>0% a 10%</t>
  </si>
  <si>
    <t>&gt;10%</t>
  </si>
  <si>
    <t>Natureza do Investimento Produtivo</t>
  </si>
  <si>
    <t>NIP</t>
  </si>
  <si>
    <t>Investimento associado à colheita e armazenamento matérias primas para animais</t>
  </si>
  <si>
    <t>Investimento especifico associado à utilização de tecnologia de precisão</t>
  </si>
  <si>
    <t>Investimento associado a regadio, incluindo armazenamento de água, gota a gota autocompensante, pivôt, etc</t>
  </si>
  <si>
    <t>Investimento especifico associado à segurança de operadores de máquinas agrícolas</t>
  </si>
  <si>
    <t>&lt; 10%</t>
  </si>
  <si>
    <t>&gt; 10%</t>
  </si>
  <si>
    <t>Impacto Ambiental</t>
  </si>
  <si>
    <t>IA</t>
  </si>
  <si>
    <t>Investimento associado à gestão e tratamento de efluentes e residuos</t>
  </si>
  <si>
    <t>Investimento especifico associado à proteção e melhoria da fertilidade dos solos</t>
  </si>
  <si>
    <t>Investimento associado ao armazenamento e preparação de fitofarmaceuticos</t>
  </si>
  <si>
    <t>Investimento associado à produção e utilização de energia renovavel</t>
  </si>
  <si>
    <t>Modo de Produção</t>
  </si>
  <si>
    <t>MP</t>
  </si>
  <si>
    <t>Exploração com certificação em Modo de Produção Biológico</t>
  </si>
  <si>
    <t>Exploração com certificação e sob controlo de GlobalGAP</t>
  </si>
  <si>
    <t>Exploração sob controlo em Produção Integrada e DOP/IGP</t>
  </si>
  <si>
    <t>Compromisso de adesão</t>
  </si>
  <si>
    <t>Pontuação acumulável até um máximo de 20 pontos</t>
  </si>
  <si>
    <t>Taxa interna de rendibilidade</t>
  </si>
  <si>
    <t>TIR</t>
  </si>
  <si>
    <t>TIR &gt; ou = a 1,5%</t>
  </si>
  <si>
    <t>TIR &lt; 1,5%</t>
  </si>
  <si>
    <t>APURAMENTO DE VGO 321 - VALIA GLOBAL DA OPERAÇÃO</t>
  </si>
  <si>
    <t>SIMULADOR DA VGO - AÇÃO 3.1.1 - Jovens Agrícultores</t>
  </si>
  <si>
    <t>AT - Acesso à Terra</t>
  </si>
  <si>
    <t>AT</t>
  </si>
  <si>
    <t>Aquisição da tituralidade da totalidade da área da exploração</t>
  </si>
  <si>
    <t>Aquisição da tituralidade de mais de 50% da área da exploração</t>
  </si>
  <si>
    <t>FOR - Formação do Candidato</t>
  </si>
  <si>
    <t>FOR</t>
  </si>
  <si>
    <t>Qualificação de nível 6,7 ou 8, nas áreas agrícolas florestal ou animal</t>
  </si>
  <si>
    <t>Qualificação de nível 4 e 5, nas áreas de educação e formação 621 - produção agrícola e animal; 622 Floricultura e jardinagem e 623 Silvicultura e caça ou Curso de Empresário Agrícola homolegado pelo Ministério Agricultura</t>
  </si>
  <si>
    <t>Formação agrícola de outra tipologia</t>
  </si>
  <si>
    <t>Outras situações</t>
  </si>
  <si>
    <t>FIJA - Forma de instalação do Jovem Agricultor</t>
  </si>
  <si>
    <t>FIJA</t>
  </si>
  <si>
    <t>Instalado a titulo individual ou coletivo em que os jovens detenham a totalidade do capital</t>
  </si>
  <si>
    <t>Instalado em formas societárias em que detenham mais de 75 % do capital</t>
  </si>
  <si>
    <t>Instalado em formas societárias em que detenham mais de 50 % do capital</t>
  </si>
  <si>
    <t>RIJA - Regime de Instalação do Jovem Agricultor</t>
  </si>
  <si>
    <t>RIJA</t>
  </si>
  <si>
    <t>Dedicar-se em Exclusividade à atividade agrícola</t>
  </si>
  <si>
    <t>Pelo menos 50% do seu rendimento do trabalho provém da atividade agrícola</t>
  </si>
  <si>
    <t>Pelo menos 25% do seu rendimento provém da atividade agrícola</t>
  </si>
  <si>
    <t>ORG - Participação em OP/Ap ou cooperativa agrícola</t>
  </si>
  <si>
    <t>ORG</t>
  </si>
  <si>
    <t>Participação como sócio em OP/AP reconhecida ou compromisso de adesão no prazo de 12 meses após aceitação do apoio</t>
  </si>
  <si>
    <t>Participação como sócio em cooperativa com atividade no setor de instalação ou compromiso de adesão no prazo de 12 meses após aceitação do apoio</t>
  </si>
  <si>
    <t>APURAMENTO DE VGO 311 - VALIA GLOBAL DA OPERAÇÃO</t>
  </si>
  <si>
    <t>MÉDIA FINAL DAS VGO´S</t>
  </si>
  <si>
    <t>Média das VGO´s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</si>
</sst>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Book Antiqua"/>
      <family val="1"/>
    </font>
    <font>
      <b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4" xfId="0" applyFont="1" applyFill="1" applyBorder="1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2" fillId="6" borderId="4" xfId="0" applyFont="1" applyFill="1" applyBorder="1"/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4" xfId="0" applyFill="1" applyBorder="1" applyAlignment="1">
      <alignment horizontal="left"/>
    </xf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8" fillId="7" borderId="9" xfId="0" applyFont="1" applyFill="1" applyBorder="1"/>
    <xf numFmtId="0" fontId="2" fillId="8" borderId="4" xfId="0" applyFont="1" applyFill="1" applyBorder="1"/>
    <xf numFmtId="0" fontId="0" fillId="8" borderId="0" xfId="0" applyFill="1"/>
    <xf numFmtId="0" fontId="3" fillId="8" borderId="0" xfId="0" applyFont="1" applyFill="1"/>
    <xf numFmtId="0" fontId="0" fillId="0" borderId="4" xfId="0" applyBorder="1" applyAlignment="1">
      <alignment horizontal="left"/>
    </xf>
    <xf numFmtId="0" fontId="0" fillId="0" borderId="10" xfId="0" applyBorder="1"/>
    <xf numFmtId="0" fontId="8" fillId="0" borderId="9" xfId="0" applyFont="1" applyBorder="1"/>
    <xf numFmtId="0" fontId="2" fillId="9" borderId="4" xfId="0" applyFont="1" applyFill="1" applyBorder="1"/>
    <xf numFmtId="0" fontId="0" fillId="9" borderId="0" xfId="0" applyFill="1"/>
    <xf numFmtId="0" fontId="3" fillId="9" borderId="0" xfId="0" applyFont="1" applyFill="1"/>
    <xf numFmtId="0" fontId="6" fillId="0" borderId="5" xfId="0" applyFont="1" applyBorder="1" applyAlignment="1">
      <alignment horizontal="center"/>
    </xf>
    <xf numFmtId="0" fontId="2" fillId="10" borderId="4" xfId="0" applyFont="1" applyFill="1" applyBorder="1"/>
    <xf numFmtId="0" fontId="0" fillId="10" borderId="0" xfId="0" applyFill="1"/>
    <xf numFmtId="0" fontId="3" fillId="10" borderId="0" xfId="0" applyFont="1" applyFill="1"/>
    <xf numFmtId="0" fontId="2" fillId="0" borderId="4" xfId="0" applyFont="1" applyBorder="1"/>
    <xf numFmtId="0" fontId="7" fillId="0" borderId="0" xfId="0" applyFont="1" applyAlignment="1">
      <alignment horizontal="center"/>
    </xf>
    <xf numFmtId="0" fontId="0" fillId="0" borderId="11" xfId="0" applyBorder="1"/>
    <xf numFmtId="0" fontId="0" fillId="0" borderId="12" xfId="0" applyBorder="1"/>
    <xf numFmtId="0" fontId="3" fillId="0" borderId="12" xfId="0" applyFont="1" applyBorder="1"/>
    <xf numFmtId="0" fontId="6" fillId="0" borderId="13" xfId="0" applyFont="1" applyBorder="1"/>
    <xf numFmtId="0" fontId="9" fillId="11" borderId="1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/>
    </xf>
    <xf numFmtId="2" fontId="10" fillId="11" borderId="14" xfId="0" applyNumberFormat="1" applyFont="1" applyFill="1" applyBorder="1" applyAlignment="1">
      <alignment horizontal="center"/>
    </xf>
    <xf numFmtId="0" fontId="6" fillId="0" borderId="0" xfId="0" applyFont="1"/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right" vertical="top"/>
    </xf>
    <xf numFmtId="0" fontId="0" fillId="0" borderId="9" xfId="0" applyBorder="1"/>
    <xf numFmtId="0" fontId="2" fillId="0" borderId="0" xfId="0" applyFont="1"/>
    <xf numFmtId="0" fontId="8" fillId="0" borderId="4" xfId="0" applyFont="1" applyBorder="1" applyAlignment="1">
      <alignment horizontal="left" vertical="top" wrapText="1"/>
    </xf>
    <xf numFmtId="0" fontId="11" fillId="11" borderId="1" xfId="0" applyFont="1" applyFill="1" applyBorder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11" fillId="11" borderId="3" xfId="0" applyFont="1" applyFill="1" applyBorder="1" applyAlignment="1">
      <alignment horizontal="center"/>
    </xf>
    <xf numFmtId="164" fontId="12" fillId="11" borderId="1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67"/>
  <sheetViews>
    <sheetView tabSelected="1" topLeftCell="A30" workbookViewId="0">
      <selection activeCell="C33" sqref="C33"/>
    </sheetView>
  </sheetViews>
  <sheetFormatPr baseColWidth="10" defaultRowHeight="16" x14ac:dyDescent="0.2"/>
  <cols>
    <col min="3" max="3" width="73.33203125" customWidth="1"/>
    <col min="6" max="6" width="34" customWidth="1"/>
  </cols>
  <sheetData>
    <row r="1" spans="2:8" ht="17" thickBot="1" x14ac:dyDescent="0.25">
      <c r="B1" s="1" t="s">
        <v>0</v>
      </c>
      <c r="C1" s="2"/>
      <c r="D1" s="2"/>
      <c r="E1" s="2"/>
      <c r="F1" s="2"/>
      <c r="G1" s="2"/>
      <c r="H1" s="3"/>
    </row>
    <row r="2" spans="2:8" ht="17" thickBot="1" x14ac:dyDescent="0.25">
      <c r="B2" s="4" t="s">
        <v>1</v>
      </c>
      <c r="C2" s="5"/>
      <c r="D2" s="6" t="s">
        <v>2</v>
      </c>
      <c r="E2" s="5"/>
      <c r="F2" s="7">
        <v>0.05</v>
      </c>
      <c r="G2" s="8" t="s">
        <v>3</v>
      </c>
      <c r="H2" s="9"/>
    </row>
    <row r="3" spans="2:8" x14ac:dyDescent="0.2">
      <c r="B3" s="10" t="s">
        <v>4</v>
      </c>
      <c r="D3" s="11">
        <v>20</v>
      </c>
      <c r="F3" s="12"/>
      <c r="G3" s="13"/>
      <c r="H3" s="14"/>
    </row>
    <row r="4" spans="2:8" x14ac:dyDescent="0.2">
      <c r="B4" s="10" t="s">
        <v>5</v>
      </c>
      <c r="D4" s="11">
        <v>10</v>
      </c>
      <c r="F4" s="12"/>
      <c r="G4" s="15"/>
      <c r="H4" s="14"/>
    </row>
    <row r="5" spans="2:8" ht="17" thickBot="1" x14ac:dyDescent="0.25">
      <c r="B5" s="10" t="s">
        <v>6</v>
      </c>
      <c r="D5" s="11">
        <v>0</v>
      </c>
      <c r="F5" s="12"/>
      <c r="G5" s="16"/>
      <c r="H5" s="14"/>
    </row>
    <row r="6" spans="2:8" ht="17" thickBot="1" x14ac:dyDescent="0.25">
      <c r="B6" s="17" t="s">
        <v>7</v>
      </c>
      <c r="C6" s="18"/>
      <c r="D6" s="19"/>
      <c r="E6" s="18"/>
      <c r="F6" s="20">
        <v>0.1</v>
      </c>
      <c r="G6" s="21" t="s">
        <v>8</v>
      </c>
      <c r="H6" s="22"/>
    </row>
    <row r="7" spans="2:8" x14ac:dyDescent="0.2">
      <c r="B7" s="23" t="s">
        <v>9</v>
      </c>
      <c r="C7" s="24"/>
      <c r="D7" s="25">
        <v>10</v>
      </c>
      <c r="E7" s="24"/>
      <c r="F7" s="26"/>
      <c r="G7" s="13"/>
      <c r="H7" s="27"/>
    </row>
    <row r="8" spans="2:8" x14ac:dyDescent="0.2">
      <c r="B8" s="23" t="s">
        <v>10</v>
      </c>
      <c r="C8" s="24"/>
      <c r="D8" s="25">
        <v>5</v>
      </c>
      <c r="E8" s="24"/>
      <c r="F8" s="26"/>
      <c r="G8" s="15">
        <v>0</v>
      </c>
      <c r="H8" s="28"/>
    </row>
    <row r="9" spans="2:8" x14ac:dyDescent="0.2">
      <c r="B9" s="23" t="s">
        <v>11</v>
      </c>
      <c r="C9" s="24"/>
      <c r="D9" s="25"/>
      <c r="E9" s="24"/>
      <c r="F9" s="26"/>
      <c r="G9" s="15"/>
      <c r="H9" s="28"/>
    </row>
    <row r="10" spans="2:8" x14ac:dyDescent="0.2">
      <c r="B10" s="23"/>
      <c r="C10" s="29" t="s">
        <v>12</v>
      </c>
      <c r="D10" s="25">
        <v>0</v>
      </c>
      <c r="E10" s="24"/>
      <c r="F10" s="26"/>
      <c r="G10" s="15"/>
      <c r="H10" s="28"/>
    </row>
    <row r="11" spans="2:8" ht="17" thickBot="1" x14ac:dyDescent="0.25">
      <c r="B11" s="23"/>
      <c r="C11" s="29" t="s">
        <v>13</v>
      </c>
      <c r="D11" s="25">
        <v>20</v>
      </c>
      <c r="E11" s="24"/>
      <c r="F11" s="26"/>
      <c r="G11" s="16"/>
      <c r="H11" s="28"/>
    </row>
    <row r="12" spans="2:8" ht="17" thickBot="1" x14ac:dyDescent="0.25">
      <c r="B12" s="30" t="s">
        <v>14</v>
      </c>
      <c r="C12" s="31"/>
      <c r="D12" s="32"/>
      <c r="E12" s="5"/>
      <c r="F12" s="7">
        <v>0.15</v>
      </c>
      <c r="G12" s="8" t="s">
        <v>15</v>
      </c>
      <c r="H12" s="9"/>
    </row>
    <row r="13" spans="2:8" x14ac:dyDescent="0.2">
      <c r="B13" s="33" t="s">
        <v>16</v>
      </c>
      <c r="D13" s="11"/>
      <c r="F13" s="12"/>
      <c r="G13" s="13"/>
      <c r="H13" s="14"/>
    </row>
    <row r="14" spans="2:8" x14ac:dyDescent="0.2">
      <c r="B14" s="33" t="s">
        <v>17</v>
      </c>
      <c r="D14" s="11"/>
      <c r="F14" s="12"/>
      <c r="G14" s="15"/>
      <c r="H14" s="14"/>
    </row>
    <row r="15" spans="2:8" x14ac:dyDescent="0.2">
      <c r="B15" s="33" t="s">
        <v>18</v>
      </c>
      <c r="D15" s="11"/>
      <c r="F15" s="12"/>
      <c r="G15" s="15"/>
      <c r="H15" s="14"/>
    </row>
    <row r="16" spans="2:8" x14ac:dyDescent="0.2">
      <c r="B16" s="33" t="s">
        <v>19</v>
      </c>
      <c r="D16" s="11"/>
      <c r="F16" s="12"/>
      <c r="G16" s="15"/>
      <c r="H16" s="14"/>
    </row>
    <row r="17" spans="2:8" x14ac:dyDescent="0.2">
      <c r="B17" s="34"/>
      <c r="C17" s="35" t="s">
        <v>20</v>
      </c>
      <c r="D17" s="11">
        <v>0</v>
      </c>
      <c r="F17" s="12"/>
      <c r="G17" s="15"/>
      <c r="H17" s="14"/>
    </row>
    <row r="18" spans="2:8" ht="17" thickBot="1" x14ac:dyDescent="0.25">
      <c r="B18" s="34"/>
      <c r="C18" s="35" t="s">
        <v>21</v>
      </c>
      <c r="D18" s="11">
        <v>20</v>
      </c>
      <c r="F18" s="12"/>
      <c r="G18" s="16"/>
      <c r="H18" s="14"/>
    </row>
    <row r="19" spans="2:8" ht="17" thickBot="1" x14ac:dyDescent="0.25">
      <c r="B19" s="36" t="s">
        <v>22</v>
      </c>
      <c r="C19" s="37"/>
      <c r="D19" s="38"/>
      <c r="E19" s="37"/>
      <c r="F19" s="7">
        <v>0.15</v>
      </c>
      <c r="G19" s="8" t="s">
        <v>23</v>
      </c>
      <c r="H19" s="9"/>
    </row>
    <row r="20" spans="2:8" x14ac:dyDescent="0.2">
      <c r="B20" s="33" t="s">
        <v>24</v>
      </c>
      <c r="D20" s="11"/>
      <c r="F20" s="12"/>
      <c r="G20" s="13"/>
      <c r="H20" s="14"/>
    </row>
    <row r="21" spans="2:8" x14ac:dyDescent="0.2">
      <c r="B21" s="33" t="s">
        <v>25</v>
      </c>
      <c r="D21" s="11"/>
      <c r="F21" s="12"/>
      <c r="G21" s="15"/>
      <c r="H21" s="14"/>
    </row>
    <row r="22" spans="2:8" x14ac:dyDescent="0.2">
      <c r="B22" s="33" t="s">
        <v>26</v>
      </c>
      <c r="D22" s="11"/>
      <c r="F22" s="12"/>
      <c r="G22" s="15"/>
      <c r="H22" s="14"/>
    </row>
    <row r="23" spans="2:8" x14ac:dyDescent="0.2">
      <c r="B23" s="33" t="s">
        <v>27</v>
      </c>
      <c r="D23" s="11"/>
      <c r="F23" s="12"/>
      <c r="G23" s="15"/>
      <c r="H23" s="39"/>
    </row>
    <row r="24" spans="2:8" x14ac:dyDescent="0.2">
      <c r="B24" s="34"/>
      <c r="C24" s="35" t="s">
        <v>20</v>
      </c>
      <c r="D24" s="11">
        <v>0</v>
      </c>
      <c r="F24" s="12"/>
      <c r="G24" s="15"/>
      <c r="H24" s="14"/>
    </row>
    <row r="25" spans="2:8" ht="17" thickBot="1" x14ac:dyDescent="0.25">
      <c r="B25" s="34"/>
      <c r="C25" s="35" t="s">
        <v>21</v>
      </c>
      <c r="D25" s="11">
        <v>20</v>
      </c>
      <c r="F25" s="12"/>
      <c r="G25" s="16"/>
      <c r="H25" s="14"/>
    </row>
    <row r="26" spans="2:8" ht="17" thickBot="1" x14ac:dyDescent="0.25">
      <c r="B26" s="40" t="s">
        <v>28</v>
      </c>
      <c r="C26" s="41"/>
      <c r="D26" s="42"/>
      <c r="E26" s="41"/>
      <c r="F26" s="7">
        <v>0.1</v>
      </c>
      <c r="G26" s="8" t="s">
        <v>29</v>
      </c>
      <c r="H26" s="9"/>
    </row>
    <row r="27" spans="2:8" x14ac:dyDescent="0.2">
      <c r="B27" s="10" t="s">
        <v>30</v>
      </c>
      <c r="D27" s="11">
        <v>20</v>
      </c>
      <c r="F27" s="12"/>
      <c r="G27" s="13"/>
      <c r="H27" s="14"/>
    </row>
    <row r="28" spans="2:8" x14ac:dyDescent="0.2">
      <c r="B28" s="10" t="s">
        <v>31</v>
      </c>
      <c r="D28" s="11">
        <v>10</v>
      </c>
      <c r="F28" s="12"/>
      <c r="G28" s="15"/>
      <c r="H28" s="14"/>
    </row>
    <row r="29" spans="2:8" x14ac:dyDescent="0.2">
      <c r="B29" s="10" t="s">
        <v>32</v>
      </c>
      <c r="D29" s="11">
        <v>10</v>
      </c>
      <c r="G29" s="15"/>
      <c r="H29" s="14"/>
    </row>
    <row r="30" spans="2:8" ht="17" thickBot="1" x14ac:dyDescent="0.25">
      <c r="B30" s="10" t="s">
        <v>33</v>
      </c>
      <c r="D30" s="11">
        <v>5</v>
      </c>
      <c r="F30" s="12"/>
      <c r="G30" s="16"/>
      <c r="H30" s="14"/>
    </row>
    <row r="31" spans="2:8" x14ac:dyDescent="0.2">
      <c r="B31" s="43" t="s">
        <v>34</v>
      </c>
      <c r="D31" s="11"/>
      <c r="F31" s="12"/>
      <c r="G31" s="44"/>
      <c r="H31" s="14"/>
    </row>
    <row r="32" spans="2:8" ht="17" thickBot="1" x14ac:dyDescent="0.25">
      <c r="B32" s="4" t="s">
        <v>35</v>
      </c>
      <c r="C32" s="5"/>
      <c r="D32" s="6"/>
      <c r="E32" s="5"/>
      <c r="F32" s="7">
        <v>0.4</v>
      </c>
      <c r="G32" s="8" t="s">
        <v>36</v>
      </c>
      <c r="H32" s="9"/>
    </row>
    <row r="33" spans="2:8" x14ac:dyDescent="0.2">
      <c r="B33" s="10" t="s">
        <v>37</v>
      </c>
      <c r="D33" s="11">
        <v>20</v>
      </c>
      <c r="G33" s="13"/>
      <c r="H33" s="14"/>
    </row>
    <row r="34" spans="2:8" ht="17" thickBot="1" x14ac:dyDescent="0.25">
      <c r="B34" s="45" t="s">
        <v>38</v>
      </c>
      <c r="C34" s="46"/>
      <c r="D34" s="47">
        <v>0</v>
      </c>
      <c r="E34" s="46"/>
      <c r="F34" s="46"/>
      <c r="G34" s="16"/>
      <c r="H34" s="48"/>
    </row>
    <row r="35" spans="2:8" ht="17" thickBot="1" x14ac:dyDescent="0.25">
      <c r="B35" s="49" t="s">
        <v>39</v>
      </c>
      <c r="C35" s="50"/>
      <c r="D35" s="50"/>
      <c r="E35" s="50"/>
      <c r="F35" s="50"/>
      <c r="G35" s="51"/>
      <c r="H35" s="52">
        <f>F2*H2+F6*H6+F12*H12+F19*H19+F26*H26+F32*H32</f>
        <v>0</v>
      </c>
    </row>
    <row r="36" spans="2:8" ht="17" thickBot="1" x14ac:dyDescent="0.25">
      <c r="D36" s="11"/>
      <c r="G36" s="44"/>
      <c r="H36" s="53"/>
    </row>
    <row r="37" spans="2:8" ht="17" thickBot="1" x14ac:dyDescent="0.25">
      <c r="B37" s="1" t="s">
        <v>40</v>
      </c>
      <c r="C37" s="2"/>
      <c r="D37" s="2"/>
      <c r="E37" s="2"/>
      <c r="F37" s="2"/>
      <c r="G37" s="2"/>
      <c r="H37" s="3"/>
    </row>
    <row r="38" spans="2:8" ht="17" thickBot="1" x14ac:dyDescent="0.25">
      <c r="B38" s="4" t="s">
        <v>41</v>
      </c>
      <c r="C38" s="5"/>
      <c r="D38" s="6" t="s">
        <v>2</v>
      </c>
      <c r="E38" s="5"/>
      <c r="F38" s="7">
        <v>0.05</v>
      </c>
      <c r="G38" s="8" t="s">
        <v>42</v>
      </c>
      <c r="H38" s="9">
        <f>SUM(G39:G41)</f>
        <v>0</v>
      </c>
    </row>
    <row r="39" spans="2:8" x14ac:dyDescent="0.2">
      <c r="B39" s="10" t="s">
        <v>43</v>
      </c>
      <c r="D39" s="11">
        <v>20</v>
      </c>
      <c r="F39" s="12"/>
      <c r="G39" s="13"/>
      <c r="H39" s="14"/>
    </row>
    <row r="40" spans="2:8" x14ac:dyDescent="0.2">
      <c r="B40" s="10" t="s">
        <v>44</v>
      </c>
      <c r="D40" s="11">
        <v>10</v>
      </c>
      <c r="F40" s="12"/>
      <c r="G40" s="15"/>
      <c r="H40" s="14"/>
    </row>
    <row r="41" spans="2:8" ht="17" thickBot="1" x14ac:dyDescent="0.25">
      <c r="B41" s="10" t="s">
        <v>6</v>
      </c>
      <c r="D41" s="11">
        <v>0</v>
      </c>
      <c r="F41" s="12"/>
      <c r="G41" s="16">
        <v>0</v>
      </c>
      <c r="H41" s="14"/>
    </row>
    <row r="42" spans="2:8" ht="17" thickBot="1" x14ac:dyDescent="0.25">
      <c r="B42" s="4" t="s">
        <v>45</v>
      </c>
      <c r="C42" s="5"/>
      <c r="D42" s="6"/>
      <c r="E42" s="5"/>
      <c r="F42" s="7">
        <v>0.4</v>
      </c>
      <c r="G42" s="8" t="s">
        <v>46</v>
      </c>
      <c r="H42" s="9"/>
    </row>
    <row r="43" spans="2:8" x14ac:dyDescent="0.2">
      <c r="B43" s="33" t="s">
        <v>47</v>
      </c>
      <c r="D43" s="11">
        <v>20</v>
      </c>
      <c r="F43" s="12"/>
      <c r="G43" s="13"/>
      <c r="H43" s="14"/>
    </row>
    <row r="44" spans="2:8" x14ac:dyDescent="0.2">
      <c r="B44" s="54" t="s">
        <v>48</v>
      </c>
      <c r="C44" s="55"/>
      <c r="D44" s="56">
        <v>15</v>
      </c>
      <c r="F44" s="12"/>
      <c r="G44" s="15"/>
      <c r="H44" s="14"/>
    </row>
    <row r="45" spans="2:8" x14ac:dyDescent="0.2">
      <c r="B45" s="54"/>
      <c r="C45" s="55"/>
      <c r="D45" s="56"/>
      <c r="F45" s="12"/>
      <c r="G45" s="15"/>
      <c r="H45" s="14"/>
    </row>
    <row r="46" spans="2:8" x14ac:dyDescent="0.2">
      <c r="B46" s="54"/>
      <c r="C46" s="55"/>
      <c r="D46" s="56"/>
      <c r="F46" s="12"/>
      <c r="G46" s="15"/>
      <c r="H46" s="14"/>
    </row>
    <row r="47" spans="2:8" x14ac:dyDescent="0.2">
      <c r="B47" s="33" t="s">
        <v>49</v>
      </c>
      <c r="C47" s="57"/>
      <c r="D47" s="11">
        <v>10</v>
      </c>
      <c r="F47" s="12"/>
      <c r="G47" s="15"/>
      <c r="H47" s="14"/>
    </row>
    <row r="48" spans="2:8" ht="17" thickBot="1" x14ac:dyDescent="0.25">
      <c r="B48" s="33" t="s">
        <v>50</v>
      </c>
      <c r="D48" s="11">
        <v>0</v>
      </c>
      <c r="F48" s="12"/>
      <c r="G48" s="16"/>
      <c r="H48" s="14"/>
    </row>
    <row r="49" spans="2:8" ht="17" thickBot="1" x14ac:dyDescent="0.25">
      <c r="B49" s="4" t="s">
        <v>51</v>
      </c>
      <c r="C49" s="5"/>
      <c r="D49" s="6"/>
      <c r="E49" s="5"/>
      <c r="F49" s="7">
        <v>0.4</v>
      </c>
      <c r="G49" s="8" t="s">
        <v>52</v>
      </c>
      <c r="H49" s="9"/>
    </row>
    <row r="50" spans="2:8" x14ac:dyDescent="0.2">
      <c r="B50" s="33" t="s">
        <v>53</v>
      </c>
      <c r="D50" s="11">
        <v>20</v>
      </c>
      <c r="F50" s="12"/>
      <c r="G50" s="13"/>
      <c r="H50" s="14"/>
    </row>
    <row r="51" spans="2:8" x14ac:dyDescent="0.2">
      <c r="B51" s="33" t="s">
        <v>54</v>
      </c>
      <c r="D51" s="11">
        <v>15</v>
      </c>
      <c r="F51" s="12"/>
      <c r="G51" s="15"/>
      <c r="H51" s="14"/>
    </row>
    <row r="52" spans="2:8" x14ac:dyDescent="0.2">
      <c r="B52" s="33" t="s">
        <v>55</v>
      </c>
      <c r="D52" s="11">
        <v>10</v>
      </c>
      <c r="F52" s="12"/>
      <c r="G52" s="15"/>
      <c r="H52" s="14"/>
    </row>
    <row r="53" spans="2:8" ht="17" thickBot="1" x14ac:dyDescent="0.25">
      <c r="B53" s="33" t="s">
        <v>50</v>
      </c>
      <c r="D53" s="11">
        <v>0</v>
      </c>
      <c r="F53" s="12"/>
      <c r="G53" s="16"/>
      <c r="H53" s="14"/>
    </row>
    <row r="54" spans="2:8" ht="17" thickBot="1" x14ac:dyDescent="0.25">
      <c r="B54" s="4" t="s">
        <v>56</v>
      </c>
      <c r="C54" s="5"/>
      <c r="D54" s="6"/>
      <c r="E54" s="5"/>
      <c r="F54" s="7">
        <v>0.1</v>
      </c>
      <c r="G54" s="8" t="s">
        <v>57</v>
      </c>
      <c r="H54" s="9"/>
    </row>
    <row r="55" spans="2:8" x14ac:dyDescent="0.2">
      <c r="B55" s="33" t="s">
        <v>58</v>
      </c>
      <c r="C55" s="58"/>
      <c r="D55" s="11">
        <v>20</v>
      </c>
      <c r="F55" s="12"/>
      <c r="G55" s="13"/>
      <c r="H55" s="14"/>
    </row>
    <row r="56" spans="2:8" x14ac:dyDescent="0.2">
      <c r="B56" s="33" t="s">
        <v>59</v>
      </c>
      <c r="D56" s="11">
        <v>15</v>
      </c>
      <c r="F56" s="12"/>
      <c r="G56" s="15">
        <v>15</v>
      </c>
      <c r="H56" s="14"/>
    </row>
    <row r="57" spans="2:8" x14ac:dyDescent="0.2">
      <c r="B57" s="33" t="s">
        <v>60</v>
      </c>
      <c r="D57" s="11">
        <v>10</v>
      </c>
      <c r="F57" s="12"/>
      <c r="G57" s="15"/>
      <c r="H57" s="14"/>
    </row>
    <row r="58" spans="2:8" ht="17" thickBot="1" x14ac:dyDescent="0.25">
      <c r="B58" s="33" t="s">
        <v>50</v>
      </c>
      <c r="D58" s="11">
        <v>0</v>
      </c>
      <c r="F58" s="12"/>
      <c r="G58" s="16"/>
      <c r="H58" s="14"/>
    </row>
    <row r="59" spans="2:8" ht="17" thickBot="1" x14ac:dyDescent="0.25">
      <c r="B59" s="4" t="s">
        <v>61</v>
      </c>
      <c r="C59" s="5"/>
      <c r="D59" s="6"/>
      <c r="E59" s="5"/>
      <c r="F59" s="7">
        <v>0.05</v>
      </c>
      <c r="G59" s="8" t="s">
        <v>62</v>
      </c>
      <c r="H59" s="9"/>
    </row>
    <row r="60" spans="2:8" x14ac:dyDescent="0.2">
      <c r="B60" s="59" t="s">
        <v>63</v>
      </c>
      <c r="C60" s="55"/>
      <c r="D60" s="56">
        <v>20</v>
      </c>
      <c r="F60" s="12"/>
      <c r="G60" s="13"/>
      <c r="H60" s="14"/>
    </row>
    <row r="61" spans="2:8" x14ac:dyDescent="0.2">
      <c r="B61" s="54"/>
      <c r="C61" s="55"/>
      <c r="D61" s="56"/>
      <c r="F61" s="12"/>
      <c r="G61" s="15"/>
      <c r="H61" s="14"/>
    </row>
    <row r="62" spans="2:8" x14ac:dyDescent="0.2">
      <c r="B62" s="54" t="s">
        <v>64</v>
      </c>
      <c r="C62" s="55"/>
      <c r="D62" s="56">
        <v>10</v>
      </c>
      <c r="F62" s="12"/>
      <c r="G62" s="15"/>
      <c r="H62" s="14"/>
    </row>
    <row r="63" spans="2:8" x14ac:dyDescent="0.2">
      <c r="B63" s="54"/>
      <c r="C63" s="55"/>
      <c r="D63" s="56"/>
      <c r="F63" s="12"/>
      <c r="G63" s="15"/>
      <c r="H63" s="14"/>
    </row>
    <row r="64" spans="2:8" ht="17" thickBot="1" x14ac:dyDescent="0.25">
      <c r="B64" s="10" t="s">
        <v>50</v>
      </c>
      <c r="D64" s="11">
        <v>0</v>
      </c>
      <c r="F64" s="12"/>
      <c r="G64" s="16">
        <v>0</v>
      </c>
      <c r="H64" s="14"/>
    </row>
    <row r="65" spans="2:8" ht="17" thickBot="1" x14ac:dyDescent="0.25">
      <c r="B65" s="49" t="s">
        <v>65</v>
      </c>
      <c r="C65" s="50"/>
      <c r="D65" s="50"/>
      <c r="E65" s="50"/>
      <c r="F65" s="50"/>
      <c r="G65" s="51"/>
      <c r="H65" s="52">
        <f>F38*H38+F42*H42+F49*H49+F54*H54+F59*H59</f>
        <v>0</v>
      </c>
    </row>
    <row r="66" spans="2:8" ht="17" thickBot="1" x14ac:dyDescent="0.25">
      <c r="D66" s="11"/>
      <c r="G66" s="44"/>
      <c r="H66" s="53"/>
    </row>
    <row r="67" spans="2:8" ht="20" thickBot="1" x14ac:dyDescent="0.3">
      <c r="B67" s="60" t="s">
        <v>66</v>
      </c>
      <c r="C67" s="61"/>
      <c r="D67" s="61"/>
      <c r="E67" s="61"/>
      <c r="F67" s="61"/>
      <c r="G67" s="62" t="s">
        <v>67</v>
      </c>
      <c r="H67" s="63">
        <f>+(H35+H65)/2</f>
        <v>0</v>
      </c>
    </row>
  </sheetData>
  <mergeCells count="11">
    <mergeCell ref="B62:C63"/>
    <mergeCell ref="D62:D63"/>
    <mergeCell ref="B65:G65"/>
    <mergeCell ref="B67:G67"/>
    <mergeCell ref="B1:H1"/>
    <mergeCell ref="B35:G35"/>
    <mergeCell ref="B37:H37"/>
    <mergeCell ref="B44:C46"/>
    <mergeCell ref="D44:D46"/>
    <mergeCell ref="B60:C61"/>
    <mergeCell ref="D60:D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2022-01-17T10:50:26Z</dcterms:created>
  <dcterms:modified xsi:type="dcterms:W3CDTF">2022-01-17T11:04:30Z</dcterms:modified>
</cp:coreProperties>
</file>