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eLivro"/>
  <mc:AlternateContent xmlns:mc="http://schemas.openxmlformats.org/markup-compatibility/2006">
    <mc:Choice Requires="x15">
      <x15ac:absPath xmlns:x15ac="http://schemas.microsoft.com/office/spreadsheetml/2010/11/ac" url="C:\Users\Luis\AppData\Local\Microsoft\Windows\INetCache\Content.Outlook\EGO2FAHW\"/>
    </mc:Choice>
  </mc:AlternateContent>
  <bookViews>
    <workbookView xWindow="0" yWindow="0" windowWidth="20490" windowHeight="7050" tabRatio="808" firstSheet="18" activeTab="20"/>
  </bookViews>
  <sheets>
    <sheet name="Pressupostos" sheetId="1" r:id="rId1"/>
    <sheet name="DR" sheetId="2" r:id="rId2"/>
    <sheet name="Balanço" sheetId="3" r:id="rId3"/>
    <sheet name="Vendas+PrestServ" sheetId="9" r:id="rId4"/>
    <sheet name="CMVMC" sheetId="12" r:id="rId5"/>
    <sheet name="FSE" sheetId="10" r:id="rId6"/>
    <sheet name="RH" sheetId="8" r:id="rId7"/>
    <sheet name="Faturas" sheetId="4" r:id="rId8"/>
    <sheet name="PlanoInvest" sheetId="13" r:id="rId9"/>
    <sheet name="Amortização" sheetId="5" r:id="rId10"/>
    <sheet name="Relatório" sheetId="31" r:id="rId11"/>
    <sheet name="DR_Form" sheetId="23" r:id="rId12"/>
    <sheet name="Balanço_Form" sheetId="24" r:id="rId13"/>
    <sheet name="Mapa_Invest_Form" sheetId="30" r:id="rId14"/>
    <sheet name="TIR&amp;VAL_Empresa" sheetId="27" r:id="rId15"/>
    <sheet name="Rácios" sheetId="28" r:id="rId16"/>
    <sheet name="EstruturaFinanciamento" sheetId="33" r:id="rId17"/>
    <sheet name="DR Empresa" sheetId="11" r:id="rId18"/>
    <sheet name="Balanço Futuro" sheetId="16" r:id="rId19"/>
    <sheet name="DR_Projeto" sheetId="26" r:id="rId20"/>
    <sheet name="PlanoFinanciamento" sheetId="18" r:id="rId21"/>
    <sheet name="JurosSocios" sheetId="21" r:id="rId22"/>
    <sheet name="SerDividaAntiga" sheetId="7" r:id="rId23"/>
    <sheet name="SerNovaDivida_LP" sheetId="17" r:id="rId24"/>
    <sheet name="SaldosDivida" sheetId="19" r:id="rId25"/>
    <sheet name="IVA" sheetId="14" r:id="rId26"/>
    <sheet name="FM" sheetId="15" r:id="rId27"/>
    <sheet name="FluxosCaixa" sheetId="6" r:id="rId28"/>
    <sheet name="OrçTesouraria" sheetId="20" r:id="rId29"/>
    <sheet name="MOAF" sheetId="22" r:id="rId30"/>
    <sheet name="TIR&amp;VAL_Projeto" sheetId="29" r:id="rId31"/>
    <sheet name="Folha1" sheetId="34" r:id="rId32"/>
  </sheets>
  <externalReferences>
    <externalReference r:id="rId33"/>
    <externalReference r:id="rId34"/>
  </externalReferences>
  <definedNames>
    <definedName name="_xlnm._FilterDatabase" localSheetId="7" hidden="1">Faturas!$B$95:$F$259</definedName>
    <definedName name="_xlnm.Print_Area" localSheetId="18">'Balanço Futuro'!$B$2:$L$74</definedName>
    <definedName name="_xlnm.Print_Area" localSheetId="17">'DR Empresa'!$B$2:$L$30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8" l="1"/>
  <c r="C28" i="20"/>
  <c r="E21" i="18"/>
  <c r="E19" i="18"/>
  <c r="C32" i="20"/>
  <c r="C37" i="20"/>
  <c r="C49" i="20"/>
  <c r="C51" i="20"/>
  <c r="D51" i="20"/>
  <c r="E51" i="20"/>
  <c r="E33" i="16"/>
  <c r="F51" i="20"/>
  <c r="F33" i="16"/>
  <c r="G51" i="20"/>
  <c r="G33" i="16"/>
  <c r="H51" i="20"/>
  <c r="H33" i="16"/>
  <c r="I51" i="20"/>
  <c r="I33" i="16"/>
  <c r="J51" i="20"/>
  <c r="J33" i="16"/>
  <c r="K51" i="20"/>
  <c r="K33" i="16"/>
  <c r="L51" i="20"/>
  <c r="L33" i="16"/>
  <c r="D33" i="16"/>
  <c r="F6" i="18"/>
  <c r="G6" i="18"/>
  <c r="F8" i="18"/>
  <c r="G8" i="18"/>
  <c r="E8" i="18"/>
  <c r="C47" i="16"/>
  <c r="D47" i="16"/>
  <c r="F27" i="18"/>
  <c r="G27" i="18"/>
  <c r="E98" i="4"/>
  <c r="E97" i="4"/>
  <c r="E96" i="4"/>
  <c r="E27" i="4"/>
  <c r="L66" i="16"/>
  <c r="K66" i="16"/>
  <c r="F21" i="18"/>
  <c r="G21" i="18"/>
  <c r="E47" i="16"/>
  <c r="F47" i="16"/>
  <c r="G47" i="16"/>
  <c r="H47" i="16"/>
  <c r="I47" i="16"/>
  <c r="J47" i="16"/>
  <c r="K47" i="16"/>
  <c r="L47" i="16"/>
  <c r="G19" i="11"/>
  <c r="D19" i="11"/>
  <c r="E19" i="11"/>
  <c r="F19" i="11"/>
  <c r="E4" i="7"/>
  <c r="J30" i="2"/>
  <c r="I30" i="2"/>
  <c r="G4" i="18"/>
  <c r="D26" i="5"/>
  <c r="F26" i="5"/>
  <c r="F99" i="5"/>
  <c r="F104" i="5"/>
  <c r="G26" i="5"/>
  <c r="G99" i="5"/>
  <c r="G104" i="5"/>
  <c r="H26" i="5"/>
  <c r="H99" i="5"/>
  <c r="H104" i="5"/>
  <c r="I26" i="5"/>
  <c r="I99" i="5"/>
  <c r="I104" i="5"/>
  <c r="J104" i="5"/>
  <c r="K26" i="5"/>
  <c r="K99" i="5"/>
  <c r="K104" i="5"/>
  <c r="L26" i="5"/>
  <c r="L99" i="5"/>
  <c r="L104" i="5"/>
  <c r="M26" i="5"/>
  <c r="M99" i="5"/>
  <c r="M104" i="5"/>
  <c r="M109" i="5"/>
  <c r="F100" i="5"/>
  <c r="F105" i="5"/>
  <c r="G100" i="5"/>
  <c r="G105" i="5"/>
  <c r="H100" i="5"/>
  <c r="H105" i="5"/>
  <c r="I100" i="5"/>
  <c r="I105" i="5"/>
  <c r="J105" i="5"/>
  <c r="K100" i="5"/>
  <c r="K105" i="5"/>
  <c r="L100" i="5"/>
  <c r="L105" i="5"/>
  <c r="M100" i="5"/>
  <c r="M105" i="5"/>
  <c r="M110" i="5"/>
  <c r="M108" i="5"/>
  <c r="L109" i="5"/>
  <c r="L110" i="5"/>
  <c r="L108" i="5"/>
  <c r="K22" i="11"/>
  <c r="K24" i="11"/>
  <c r="K27" i="11"/>
  <c r="K28" i="11"/>
  <c r="K29" i="11"/>
  <c r="M8" i="18"/>
  <c r="M9" i="18"/>
  <c r="M24" i="18"/>
  <c r="N26" i="5"/>
  <c r="N99" i="5"/>
  <c r="N104" i="5"/>
  <c r="N109" i="5"/>
  <c r="N100" i="5"/>
  <c r="N105" i="5"/>
  <c r="N110" i="5"/>
  <c r="N108" i="5"/>
  <c r="L22" i="11"/>
  <c r="L24" i="11"/>
  <c r="L27" i="11"/>
  <c r="L28" i="11"/>
  <c r="L29" i="11"/>
  <c r="N8" i="18"/>
  <c r="N9" i="18"/>
  <c r="N24" i="18"/>
  <c r="E296" i="4"/>
  <c r="F296" i="4"/>
  <c r="F96" i="4"/>
  <c r="E310" i="4"/>
  <c r="F310" i="4"/>
  <c r="D325" i="4"/>
  <c r="G325" i="4"/>
  <c r="G296" i="4"/>
  <c r="G310" i="4"/>
  <c r="D332" i="4"/>
  <c r="G332" i="4"/>
  <c r="G340" i="4"/>
  <c r="E4" i="18"/>
  <c r="F4" i="18"/>
  <c r="F18" i="18"/>
  <c r="E4" i="12"/>
  <c r="E6" i="12"/>
  <c r="D10" i="11"/>
  <c r="E297" i="4"/>
  <c r="F297" i="4"/>
  <c r="H297" i="4"/>
  <c r="E311" i="4"/>
  <c r="F311" i="4"/>
  <c r="H311" i="4"/>
  <c r="E326" i="4"/>
  <c r="G297" i="4"/>
  <c r="I297" i="4"/>
  <c r="G311" i="4"/>
  <c r="I311" i="4"/>
  <c r="E333" i="4"/>
  <c r="E341" i="4"/>
  <c r="D6" i="11"/>
  <c r="E5" i="10"/>
  <c r="E6" i="10"/>
  <c r="D11" i="11"/>
  <c r="D21" i="11"/>
  <c r="F109" i="5"/>
  <c r="F110" i="5"/>
  <c r="F108" i="5"/>
  <c r="D22" i="11"/>
  <c r="D24" i="11"/>
  <c r="L17" i="21"/>
  <c r="O17" i="21"/>
  <c r="P17" i="21"/>
  <c r="Q17" i="21"/>
  <c r="L18" i="21"/>
  <c r="O18" i="21"/>
  <c r="P18" i="21"/>
  <c r="Q18" i="21"/>
  <c r="E37" i="21"/>
  <c r="D340" i="4"/>
  <c r="H296" i="4"/>
  <c r="H310" i="4"/>
  <c r="E325" i="4"/>
  <c r="I296" i="4"/>
  <c r="I310" i="4"/>
  <c r="E332" i="4"/>
  <c r="E340" i="4"/>
  <c r="H325" i="4"/>
  <c r="H332" i="4"/>
  <c r="H340" i="4"/>
  <c r="I340" i="4"/>
  <c r="D4" i="21"/>
  <c r="C17" i="21"/>
  <c r="C18" i="21"/>
  <c r="C19" i="21"/>
  <c r="F19" i="21"/>
  <c r="G19" i="21"/>
  <c r="H19" i="21"/>
  <c r="D19" i="21"/>
  <c r="E19" i="21"/>
  <c r="C20" i="21"/>
  <c r="F20" i="21"/>
  <c r="G20" i="21"/>
  <c r="H20" i="21"/>
  <c r="E31" i="21"/>
  <c r="I30" i="21"/>
  <c r="F4" i="12"/>
  <c r="F6" i="12"/>
  <c r="E10" i="11"/>
  <c r="E298" i="4"/>
  <c r="F298" i="4"/>
  <c r="H298" i="4"/>
  <c r="E312" i="4"/>
  <c r="F312" i="4"/>
  <c r="H312" i="4"/>
  <c r="E327" i="4"/>
  <c r="G298" i="4"/>
  <c r="I298" i="4"/>
  <c r="G312" i="4"/>
  <c r="I312" i="4"/>
  <c r="E334" i="4"/>
  <c r="E342" i="4"/>
  <c r="E6" i="11"/>
  <c r="F5" i="10"/>
  <c r="F6" i="10"/>
  <c r="E11" i="11"/>
  <c r="E21" i="11"/>
  <c r="G109" i="5"/>
  <c r="G110" i="5"/>
  <c r="G108" i="5"/>
  <c r="E22" i="11"/>
  <c r="E24" i="11"/>
  <c r="L19" i="21"/>
  <c r="O19" i="21"/>
  <c r="P19" i="21"/>
  <c r="Q19" i="21"/>
  <c r="M19" i="21"/>
  <c r="N19" i="21"/>
  <c r="L20" i="21"/>
  <c r="O20" i="21"/>
  <c r="P20" i="21"/>
  <c r="Q20" i="21"/>
  <c r="E38" i="21"/>
  <c r="U17" i="21"/>
  <c r="X17" i="21"/>
  <c r="Y17" i="21"/>
  <c r="Z17" i="21"/>
  <c r="V17" i="21"/>
  <c r="W17" i="21"/>
  <c r="U18" i="21"/>
  <c r="X18" i="21"/>
  <c r="Y18" i="21"/>
  <c r="Z18" i="21"/>
  <c r="E44" i="21"/>
  <c r="D20" i="21"/>
  <c r="E20" i="21"/>
  <c r="C21" i="21"/>
  <c r="F21" i="21"/>
  <c r="G21" i="21"/>
  <c r="H21" i="21"/>
  <c r="D21" i="21"/>
  <c r="E21" i="21"/>
  <c r="C22" i="21"/>
  <c r="F22" i="21"/>
  <c r="G22" i="21"/>
  <c r="H22" i="21"/>
  <c r="E32" i="21"/>
  <c r="I31" i="21"/>
  <c r="G4" i="12"/>
  <c r="G6" i="12"/>
  <c r="F10" i="11"/>
  <c r="E299" i="4"/>
  <c r="F299" i="4"/>
  <c r="H299" i="4"/>
  <c r="E313" i="4"/>
  <c r="F313" i="4"/>
  <c r="H313" i="4"/>
  <c r="E328" i="4"/>
  <c r="G299" i="4"/>
  <c r="I299" i="4"/>
  <c r="G313" i="4"/>
  <c r="I313" i="4"/>
  <c r="E335" i="4"/>
  <c r="E343" i="4"/>
  <c r="F6" i="11"/>
  <c r="G5" i="10"/>
  <c r="G6" i="10"/>
  <c r="F11" i="11"/>
  <c r="F21" i="11"/>
  <c r="H109" i="5"/>
  <c r="H110" i="5"/>
  <c r="H108" i="5"/>
  <c r="F22" i="11"/>
  <c r="F24" i="11"/>
  <c r="M20" i="21"/>
  <c r="N20" i="21"/>
  <c r="L21" i="21"/>
  <c r="O21" i="21"/>
  <c r="P21" i="21"/>
  <c r="Q21" i="21"/>
  <c r="M21" i="21"/>
  <c r="N21" i="21"/>
  <c r="L22" i="21"/>
  <c r="O22" i="21"/>
  <c r="P22" i="21"/>
  <c r="Q22" i="21"/>
  <c r="E39" i="21"/>
  <c r="V18" i="21"/>
  <c r="W18" i="21"/>
  <c r="U19" i="21"/>
  <c r="X19" i="21"/>
  <c r="Y19" i="21"/>
  <c r="Z19" i="21"/>
  <c r="V19" i="21"/>
  <c r="W19" i="21"/>
  <c r="U20" i="21"/>
  <c r="X20" i="21"/>
  <c r="Y20" i="21"/>
  <c r="Z20" i="21"/>
  <c r="E45" i="21"/>
  <c r="D22" i="21"/>
  <c r="E22" i="21"/>
  <c r="C23" i="21"/>
  <c r="F23" i="21"/>
  <c r="G23" i="21"/>
  <c r="H23" i="21"/>
  <c r="D23" i="21"/>
  <c r="E23" i="21"/>
  <c r="C24" i="21"/>
  <c r="F24" i="21"/>
  <c r="G24" i="21"/>
  <c r="H24" i="21"/>
  <c r="E33" i="21"/>
  <c r="I32" i="21"/>
  <c r="H4" i="12"/>
  <c r="H6" i="12"/>
  <c r="G10" i="11"/>
  <c r="G21" i="11"/>
  <c r="I109" i="5"/>
  <c r="I110" i="5"/>
  <c r="I108" i="5"/>
  <c r="G22" i="11"/>
  <c r="G24" i="11"/>
  <c r="M22" i="21"/>
  <c r="N22" i="21"/>
  <c r="L23" i="21"/>
  <c r="O23" i="21"/>
  <c r="P23" i="21"/>
  <c r="Q23" i="21"/>
  <c r="M23" i="21"/>
  <c r="N23" i="21"/>
  <c r="L24" i="21"/>
  <c r="O24" i="21"/>
  <c r="P24" i="21"/>
  <c r="Q24" i="21"/>
  <c r="E40" i="21"/>
  <c r="V20" i="21"/>
  <c r="W20" i="21"/>
  <c r="U21" i="21"/>
  <c r="X21" i="21"/>
  <c r="Y21" i="21"/>
  <c r="Z21" i="21"/>
  <c r="V21" i="21"/>
  <c r="W21" i="21"/>
  <c r="U22" i="21"/>
  <c r="X22" i="21"/>
  <c r="Y22" i="21"/>
  <c r="Z22" i="21"/>
  <c r="E46" i="21"/>
  <c r="D24" i="21"/>
  <c r="E24" i="21"/>
  <c r="C25" i="21"/>
  <c r="F25" i="21"/>
  <c r="G25" i="21"/>
  <c r="H25" i="21"/>
  <c r="D25" i="21"/>
  <c r="E25" i="21"/>
  <c r="C26" i="21"/>
  <c r="F26" i="21"/>
  <c r="G26" i="21"/>
  <c r="H26" i="21"/>
  <c r="E34" i="21"/>
  <c r="I33" i="21"/>
  <c r="I4" i="12"/>
  <c r="I6" i="12"/>
  <c r="H10" i="11"/>
  <c r="H21" i="11"/>
  <c r="J109" i="5"/>
  <c r="J110" i="5"/>
  <c r="J108" i="5"/>
  <c r="H22" i="11"/>
  <c r="H24" i="11"/>
  <c r="M24" i="21"/>
  <c r="N24" i="21"/>
  <c r="L25" i="21"/>
  <c r="O25" i="21"/>
  <c r="P25" i="21"/>
  <c r="Q25" i="21"/>
  <c r="M25" i="21"/>
  <c r="N25" i="21"/>
  <c r="L26" i="21"/>
  <c r="O26" i="21"/>
  <c r="P26" i="21"/>
  <c r="Q26" i="21"/>
  <c r="E41" i="21"/>
  <c r="V22" i="21"/>
  <c r="W22" i="21"/>
  <c r="U23" i="21"/>
  <c r="X23" i="21"/>
  <c r="Y23" i="21"/>
  <c r="Z23" i="21"/>
  <c r="V23" i="21"/>
  <c r="W23" i="21"/>
  <c r="U24" i="21"/>
  <c r="X24" i="21"/>
  <c r="Y24" i="21"/>
  <c r="Z24" i="21"/>
  <c r="E47" i="21"/>
  <c r="I34" i="21"/>
  <c r="J4" i="12"/>
  <c r="J6" i="12"/>
  <c r="I10" i="11"/>
  <c r="I21" i="11"/>
  <c r="K109" i="5"/>
  <c r="K110" i="5"/>
  <c r="K108" i="5"/>
  <c r="I22" i="11"/>
  <c r="I24" i="11"/>
  <c r="V24" i="21"/>
  <c r="W24" i="21"/>
  <c r="U25" i="21"/>
  <c r="X25" i="21"/>
  <c r="Y25" i="21"/>
  <c r="Z25" i="21"/>
  <c r="V25" i="21"/>
  <c r="W25" i="21"/>
  <c r="U26" i="21"/>
  <c r="X26" i="21"/>
  <c r="Y26" i="21"/>
  <c r="Z26" i="21"/>
  <c r="E48" i="21"/>
  <c r="I35" i="21"/>
  <c r="K4" i="12"/>
  <c r="K6" i="12"/>
  <c r="J10" i="11"/>
  <c r="J21" i="11"/>
  <c r="J22" i="11"/>
  <c r="J24" i="11"/>
  <c r="L4" i="12"/>
  <c r="L6" i="12"/>
  <c r="K10" i="11"/>
  <c r="K21" i="11"/>
  <c r="K41" i="11"/>
  <c r="M4" i="12"/>
  <c r="M6" i="12"/>
  <c r="L10" i="11"/>
  <c r="L21" i="11"/>
  <c r="L41" i="11"/>
  <c r="D4" i="12"/>
  <c r="D6" i="12"/>
  <c r="C10" i="11"/>
  <c r="C6" i="11"/>
  <c r="D5" i="10"/>
  <c r="D6" i="10"/>
  <c r="C11" i="11"/>
  <c r="C21" i="11"/>
  <c r="C24" i="11"/>
  <c r="G30" i="2"/>
  <c r="E12" i="10"/>
  <c r="F12" i="10"/>
  <c r="G12" i="10"/>
  <c r="H12" i="10"/>
  <c r="I12" i="10"/>
  <c r="J12" i="10"/>
  <c r="K12" i="10"/>
  <c r="L12" i="10"/>
  <c r="M12" i="10"/>
  <c r="I11" i="2"/>
  <c r="F39" i="2"/>
  <c r="F6" i="2"/>
  <c r="F22" i="2"/>
  <c r="G22" i="2"/>
  <c r="D3" i="8"/>
  <c r="K13" i="8"/>
  <c r="D4" i="8"/>
  <c r="D4" i="10"/>
  <c r="F27" i="4"/>
  <c r="F28" i="4"/>
  <c r="F29" i="4"/>
  <c r="F30" i="4"/>
  <c r="B15" i="31"/>
  <c r="C4" i="11"/>
  <c r="D4" i="11"/>
  <c r="E4" i="11"/>
  <c r="F4" i="11"/>
  <c r="G4" i="11"/>
  <c r="H4" i="11"/>
  <c r="I4" i="11"/>
  <c r="J4" i="11"/>
  <c r="K4" i="11"/>
  <c r="L4" i="11"/>
  <c r="D4" i="9"/>
  <c r="D8" i="9"/>
  <c r="C36" i="11"/>
  <c r="D16" i="9"/>
  <c r="C37" i="11"/>
  <c r="C35" i="11"/>
  <c r="D22" i="9"/>
  <c r="D27" i="9"/>
  <c r="C38" i="11"/>
  <c r="C5" i="11"/>
  <c r="E4" i="9"/>
  <c r="E8" i="9"/>
  <c r="D36" i="11"/>
  <c r="E12" i="9"/>
  <c r="E16" i="9"/>
  <c r="D37" i="11"/>
  <c r="D35" i="11"/>
  <c r="E22" i="9"/>
  <c r="E27" i="9"/>
  <c r="D38" i="11"/>
  <c r="D5" i="11"/>
  <c r="F4" i="9"/>
  <c r="F8" i="9"/>
  <c r="E36" i="11"/>
  <c r="F12" i="9"/>
  <c r="F16" i="9"/>
  <c r="E37" i="11"/>
  <c r="E35" i="11"/>
  <c r="F22" i="9"/>
  <c r="F27" i="9"/>
  <c r="E38" i="11"/>
  <c r="E5" i="11"/>
  <c r="G4" i="9"/>
  <c r="G8" i="9"/>
  <c r="F36" i="11"/>
  <c r="G12" i="9"/>
  <c r="G16" i="9"/>
  <c r="F37" i="11"/>
  <c r="F35" i="11"/>
  <c r="G22" i="9"/>
  <c r="G27" i="9"/>
  <c r="F38" i="11"/>
  <c r="F5" i="11"/>
  <c r="H4" i="9"/>
  <c r="H8" i="9"/>
  <c r="G36" i="11"/>
  <c r="H12" i="9"/>
  <c r="H16" i="9"/>
  <c r="G37" i="11"/>
  <c r="G35" i="11"/>
  <c r="H22" i="9"/>
  <c r="H27" i="9"/>
  <c r="G38" i="11"/>
  <c r="G5" i="11"/>
  <c r="I4" i="9"/>
  <c r="I8" i="9"/>
  <c r="H36" i="11"/>
  <c r="I12" i="9"/>
  <c r="I16" i="9"/>
  <c r="H37" i="11"/>
  <c r="H35" i="11"/>
  <c r="I22" i="9"/>
  <c r="I27" i="9"/>
  <c r="H38" i="11"/>
  <c r="H5" i="11"/>
  <c r="J4" i="9"/>
  <c r="J8" i="9"/>
  <c r="I36" i="11"/>
  <c r="J12" i="9"/>
  <c r="J16" i="9"/>
  <c r="I37" i="11"/>
  <c r="I35" i="11"/>
  <c r="J22" i="9"/>
  <c r="J27" i="9"/>
  <c r="I38" i="11"/>
  <c r="I5" i="11"/>
  <c r="K4" i="9"/>
  <c r="K8" i="9"/>
  <c r="J36" i="11"/>
  <c r="K12" i="9"/>
  <c r="K16" i="9"/>
  <c r="J37" i="11"/>
  <c r="J35" i="11"/>
  <c r="K22" i="9"/>
  <c r="K27" i="9"/>
  <c r="J38" i="11"/>
  <c r="J5" i="11"/>
  <c r="L4" i="9"/>
  <c r="L8" i="9"/>
  <c r="K36" i="11"/>
  <c r="L12" i="9"/>
  <c r="L16" i="9"/>
  <c r="K37" i="11"/>
  <c r="K35" i="11"/>
  <c r="L22" i="9"/>
  <c r="L27" i="9"/>
  <c r="K38" i="11"/>
  <c r="K5" i="11"/>
  <c r="M4" i="9"/>
  <c r="M8" i="9"/>
  <c r="L36" i="11"/>
  <c r="M12" i="9"/>
  <c r="M16" i="9"/>
  <c r="L37" i="11"/>
  <c r="L35" i="11"/>
  <c r="M22" i="9"/>
  <c r="M27" i="9"/>
  <c r="L38" i="11"/>
  <c r="L5" i="11"/>
  <c r="C15" i="31"/>
  <c r="F15" i="31"/>
  <c r="E15" i="31"/>
  <c r="D31" i="31"/>
  <c r="E23" i="31"/>
  <c r="F23" i="31"/>
  <c r="G23" i="31"/>
  <c r="E24" i="31"/>
  <c r="F24" i="31"/>
  <c r="G24" i="31"/>
  <c r="E25" i="31"/>
  <c r="F25" i="31"/>
  <c r="G25" i="31"/>
  <c r="E26" i="31"/>
  <c r="F26" i="31"/>
  <c r="G26" i="31"/>
  <c r="E27" i="31"/>
  <c r="F27" i="31"/>
  <c r="G27" i="31"/>
  <c r="E28" i="31"/>
  <c r="F28" i="31"/>
  <c r="G28" i="31"/>
  <c r="E29" i="31"/>
  <c r="F29" i="31"/>
  <c r="G29" i="31"/>
  <c r="E30" i="31"/>
  <c r="F30" i="31"/>
  <c r="G30" i="31"/>
  <c r="F26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D289" i="4"/>
  <c r="D2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D310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D317" i="4"/>
  <c r="F274" i="4"/>
  <c r="F275" i="4"/>
  <c r="F276" i="4"/>
  <c r="F277" i="4"/>
  <c r="F278" i="4"/>
  <c r="F279" i="4"/>
  <c r="F280" i="4"/>
  <c r="F281" i="4"/>
  <c r="F282" i="4"/>
  <c r="E317" i="4"/>
  <c r="F317" i="4"/>
  <c r="D348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E289" i="4"/>
  <c r="F289" i="4"/>
  <c r="D290" i="4"/>
  <c r="D291" i="4"/>
  <c r="D292" i="4"/>
  <c r="D297" i="4"/>
  <c r="D298" i="4"/>
  <c r="D299" i="4"/>
  <c r="D303" i="4"/>
  <c r="D304" i="4"/>
  <c r="D305" i="4"/>
  <c r="D306" i="4"/>
  <c r="D311" i="4"/>
  <c r="D312" i="4"/>
  <c r="D313" i="4"/>
  <c r="D318" i="4"/>
  <c r="D319" i="4"/>
  <c r="D320" i="4"/>
  <c r="E290" i="4"/>
  <c r="E23" i="4"/>
  <c r="F290" i="4"/>
  <c r="E291" i="4"/>
  <c r="F291" i="4"/>
  <c r="E292" i="4"/>
  <c r="F292" i="4"/>
  <c r="F293" i="4"/>
  <c r="F300" i="4"/>
  <c r="F83" i="4"/>
  <c r="F84" i="4"/>
  <c r="F85" i="4"/>
  <c r="F86" i="4"/>
  <c r="F87" i="4"/>
  <c r="F88" i="4"/>
  <c r="F89" i="4"/>
  <c r="F90" i="4"/>
  <c r="F91" i="4"/>
  <c r="F92" i="4"/>
  <c r="E303" i="4"/>
  <c r="F303" i="4"/>
  <c r="E304" i="4"/>
  <c r="F304" i="4"/>
  <c r="E305" i="4"/>
  <c r="F305" i="4"/>
  <c r="E306" i="4"/>
  <c r="F306" i="4"/>
  <c r="F307" i="4"/>
  <c r="F314" i="4"/>
  <c r="E318" i="4"/>
  <c r="F318" i="4"/>
  <c r="E319" i="4"/>
  <c r="F319" i="4"/>
  <c r="E320" i="4"/>
  <c r="F320" i="4"/>
  <c r="F321" i="4"/>
  <c r="D349" i="4"/>
  <c r="D326" i="4"/>
  <c r="D350" i="4"/>
  <c r="D327" i="4"/>
  <c r="D351" i="4"/>
  <c r="D328" i="4"/>
  <c r="D329" i="4"/>
  <c r="I19" i="33"/>
  <c r="H289" i="4"/>
  <c r="H303" i="4"/>
  <c r="H317" i="4"/>
  <c r="I325" i="4"/>
  <c r="B12" i="33"/>
  <c r="H290" i="4"/>
  <c r="H304" i="4"/>
  <c r="H318" i="4"/>
  <c r="G326" i="4"/>
  <c r="H326" i="4"/>
  <c r="I326" i="4"/>
  <c r="C12" i="33"/>
  <c r="H291" i="4"/>
  <c r="H305" i="4"/>
  <c r="H319" i="4"/>
  <c r="G327" i="4"/>
  <c r="H327" i="4"/>
  <c r="I327" i="4"/>
  <c r="D12" i="33"/>
  <c r="H292" i="4"/>
  <c r="H306" i="4"/>
  <c r="H320" i="4"/>
  <c r="G328" i="4"/>
  <c r="H328" i="4"/>
  <c r="I328" i="4"/>
  <c r="E12" i="33"/>
  <c r="I12" i="33"/>
  <c r="B16" i="33"/>
  <c r="C16" i="33"/>
  <c r="D16" i="33"/>
  <c r="E16" i="33"/>
  <c r="I16" i="33"/>
  <c r="B4" i="33"/>
  <c r="C4" i="33"/>
  <c r="D4" i="33"/>
  <c r="E4" i="33"/>
  <c r="I4" i="33"/>
  <c r="B5" i="33"/>
  <c r="C5" i="33"/>
  <c r="D5" i="33"/>
  <c r="E5" i="33"/>
  <c r="I5" i="33"/>
  <c r="D6" i="33"/>
  <c r="B6" i="33"/>
  <c r="C6" i="33"/>
  <c r="E6" i="33"/>
  <c r="I6" i="33"/>
  <c r="I7" i="33"/>
  <c r="I8" i="33"/>
  <c r="I9" i="33"/>
  <c r="I10" i="33"/>
  <c r="I11" i="33"/>
  <c r="I13" i="33"/>
  <c r="I14" i="33"/>
  <c r="I15" i="33"/>
  <c r="I18" i="33"/>
  <c r="G317" i="4"/>
  <c r="G289" i="4"/>
  <c r="G303" i="4"/>
  <c r="G290" i="4"/>
  <c r="G318" i="4"/>
  <c r="G304" i="4"/>
  <c r="D333" i="4"/>
  <c r="G333" i="4"/>
  <c r="G341" i="4"/>
  <c r="H333" i="4"/>
  <c r="H341" i="4"/>
  <c r="G319" i="4"/>
  <c r="G291" i="4"/>
  <c r="G305" i="4"/>
  <c r="D334" i="4"/>
  <c r="G334" i="4"/>
  <c r="G342" i="4"/>
  <c r="H334" i="4"/>
  <c r="H342" i="4"/>
  <c r="G320" i="4"/>
  <c r="G292" i="4"/>
  <c r="G306" i="4"/>
  <c r="D335" i="4"/>
  <c r="G335" i="4"/>
  <c r="G343" i="4"/>
  <c r="H335" i="4"/>
  <c r="H343" i="4"/>
  <c r="F341" i="4"/>
  <c r="F342" i="4"/>
  <c r="F343" i="4"/>
  <c r="F340" i="4"/>
  <c r="B24" i="33"/>
  <c r="C24" i="33"/>
  <c r="D24" i="33"/>
  <c r="E24" i="33"/>
  <c r="F24" i="33"/>
  <c r="G24" i="33"/>
  <c r="I289" i="4"/>
  <c r="I303" i="4"/>
  <c r="I317" i="4"/>
  <c r="I332" i="4"/>
  <c r="I290" i="4"/>
  <c r="I304" i="4"/>
  <c r="I318" i="4"/>
  <c r="D341" i="4"/>
  <c r="I341" i="4"/>
  <c r="J341" i="4"/>
  <c r="D342" i="4"/>
  <c r="I291" i="4"/>
  <c r="I305" i="4"/>
  <c r="I319" i="4"/>
  <c r="I342" i="4"/>
  <c r="J342" i="4"/>
  <c r="D343" i="4"/>
  <c r="I292" i="4"/>
  <c r="I306" i="4"/>
  <c r="I320" i="4"/>
  <c r="I343" i="4"/>
  <c r="J343" i="4"/>
  <c r="D347" i="4"/>
  <c r="D346" i="4"/>
  <c r="F36" i="2"/>
  <c r="F25" i="2"/>
  <c r="F28" i="2"/>
  <c r="F30" i="2"/>
  <c r="F34" i="2"/>
  <c r="E347" i="4"/>
  <c r="H348" i="4"/>
  <c r="G348" i="4"/>
  <c r="I348" i="4"/>
  <c r="J348" i="4"/>
  <c r="H349" i="4"/>
  <c r="C25" i="1"/>
  <c r="D5" i="8"/>
  <c r="D6" i="8"/>
  <c r="C12" i="11"/>
  <c r="D11" i="12"/>
  <c r="D9" i="12"/>
  <c r="D5" i="12"/>
  <c r="E3" i="5"/>
  <c r="E81" i="5"/>
  <c r="E79" i="3"/>
  <c r="D84" i="5"/>
  <c r="D94" i="5"/>
  <c r="E89" i="5"/>
  <c r="E94" i="5"/>
  <c r="E99" i="5"/>
  <c r="E104" i="5"/>
  <c r="E109" i="5"/>
  <c r="E80" i="3"/>
  <c r="D85" i="5"/>
  <c r="D95" i="5"/>
  <c r="E90" i="5"/>
  <c r="E95" i="5"/>
  <c r="E100" i="5"/>
  <c r="E105" i="5"/>
  <c r="E110" i="5"/>
  <c r="E81" i="3"/>
  <c r="D86" i="5"/>
  <c r="D96" i="5"/>
  <c r="E91" i="5"/>
  <c r="E96" i="5"/>
  <c r="E101" i="5"/>
  <c r="E106" i="5"/>
  <c r="E111" i="5"/>
  <c r="E108" i="5"/>
  <c r="D109" i="5"/>
  <c r="D110" i="5"/>
  <c r="D111" i="5"/>
  <c r="D108" i="5"/>
  <c r="C22" i="11"/>
  <c r="L348" i="4"/>
  <c r="L349" i="4"/>
  <c r="F18" i="9"/>
  <c r="F30" i="9"/>
  <c r="F4" i="10"/>
  <c r="E3" i="8"/>
  <c r="G13" i="8"/>
  <c r="G14" i="8"/>
  <c r="K14" i="8"/>
  <c r="L13" i="8"/>
  <c r="M13" i="8"/>
  <c r="E4" i="8"/>
  <c r="F3" i="8"/>
  <c r="K15" i="8"/>
  <c r="H13" i="8"/>
  <c r="H14" i="8"/>
  <c r="L14" i="8"/>
  <c r="M14" i="8"/>
  <c r="F4" i="8"/>
  <c r="F5" i="8"/>
  <c r="F6" i="8"/>
  <c r="E12" i="11"/>
  <c r="F11" i="12"/>
  <c r="E9" i="12"/>
  <c r="F9" i="12"/>
  <c r="F5" i="12"/>
  <c r="F3" i="5"/>
  <c r="F81" i="5"/>
  <c r="F89" i="5"/>
  <c r="F94" i="5"/>
  <c r="G3" i="5"/>
  <c r="G81" i="5"/>
  <c r="G89" i="5"/>
  <c r="G94" i="5"/>
  <c r="D25" i="5"/>
  <c r="F90" i="5"/>
  <c r="F95" i="5"/>
  <c r="G90" i="5"/>
  <c r="G95" i="5"/>
  <c r="F91" i="5"/>
  <c r="F96" i="5"/>
  <c r="G91" i="5"/>
  <c r="G96" i="5"/>
  <c r="F101" i="5"/>
  <c r="F106" i="5"/>
  <c r="G101" i="5"/>
  <c r="G106" i="5"/>
  <c r="G111" i="5"/>
  <c r="F111" i="5"/>
  <c r="G293" i="4"/>
  <c r="G300" i="4"/>
  <c r="G307" i="4"/>
  <c r="G314" i="4"/>
  <c r="G321" i="4"/>
  <c r="E18" i="9"/>
  <c r="E30" i="9"/>
  <c r="E4" i="10"/>
  <c r="E5" i="8"/>
  <c r="E6" i="8"/>
  <c r="D12" i="11"/>
  <c r="E11" i="12"/>
  <c r="E5" i="12"/>
  <c r="K340" i="4"/>
  <c r="K341" i="4"/>
  <c r="K342" i="4"/>
  <c r="K343" i="4"/>
  <c r="K344" i="4"/>
  <c r="K332" i="4"/>
  <c r="K333" i="4"/>
  <c r="K334" i="4"/>
  <c r="K335" i="4"/>
  <c r="K336" i="4"/>
  <c r="K325" i="4"/>
  <c r="K326" i="4"/>
  <c r="K327" i="4"/>
  <c r="K328" i="4"/>
  <c r="K329" i="4"/>
  <c r="J325" i="4"/>
  <c r="E344" i="4"/>
  <c r="G344" i="4"/>
  <c r="H344" i="4"/>
  <c r="D344" i="4"/>
  <c r="B326" i="4"/>
  <c r="B341" i="4"/>
  <c r="B327" i="4"/>
  <c r="B342" i="4"/>
  <c r="B328" i="4"/>
  <c r="B343" i="4"/>
  <c r="B325" i="4"/>
  <c r="B340" i="4"/>
  <c r="B333" i="4"/>
  <c r="B334" i="4"/>
  <c r="B335" i="4"/>
  <c r="B332" i="4"/>
  <c r="E293" i="4"/>
  <c r="E300" i="4"/>
  <c r="E307" i="4"/>
  <c r="E314" i="4"/>
  <c r="E321" i="4"/>
  <c r="H336" i="4"/>
  <c r="G336" i="4"/>
  <c r="E336" i="4"/>
  <c r="D336" i="4"/>
  <c r="H350" i="4"/>
  <c r="H351" i="4"/>
  <c r="H329" i="4"/>
  <c r="G329" i="4"/>
  <c r="E329" i="4"/>
  <c r="I293" i="4"/>
  <c r="I300" i="4"/>
  <c r="I321" i="4"/>
  <c r="I314" i="4"/>
  <c r="I307" i="4"/>
  <c r="E259" i="4"/>
  <c r="E5" i="17"/>
  <c r="D18" i="17"/>
  <c r="E18" i="17"/>
  <c r="D19" i="17"/>
  <c r="E19" i="17"/>
  <c r="D20" i="17"/>
  <c r="B20" i="17"/>
  <c r="E20" i="17"/>
  <c r="D21" i="17"/>
  <c r="B21" i="17"/>
  <c r="E21" i="17"/>
  <c r="D22" i="17"/>
  <c r="B22" i="17"/>
  <c r="E11" i="17"/>
  <c r="E22" i="17"/>
  <c r="D23" i="17"/>
  <c r="C67" i="16"/>
  <c r="D67" i="16"/>
  <c r="E67" i="16"/>
  <c r="F67" i="16"/>
  <c r="G67" i="16"/>
  <c r="H67" i="16"/>
  <c r="I67" i="16"/>
  <c r="J67" i="16"/>
  <c r="K67" i="16"/>
  <c r="L67" i="16"/>
  <c r="C68" i="16"/>
  <c r="D68" i="16"/>
  <c r="E68" i="16"/>
  <c r="F68" i="16"/>
  <c r="G68" i="16"/>
  <c r="H68" i="16"/>
  <c r="I68" i="16"/>
  <c r="J68" i="16"/>
  <c r="K68" i="16"/>
  <c r="L68" i="16"/>
  <c r="C69" i="16"/>
  <c r="D69" i="16"/>
  <c r="E69" i="16"/>
  <c r="F69" i="16"/>
  <c r="G69" i="16"/>
  <c r="H69" i="16"/>
  <c r="I69" i="16"/>
  <c r="J69" i="16"/>
  <c r="K69" i="16"/>
  <c r="L69" i="16"/>
  <c r="C70" i="16"/>
  <c r="D70" i="16"/>
  <c r="E70" i="16"/>
  <c r="F70" i="16"/>
  <c r="G70" i="16"/>
  <c r="H70" i="16"/>
  <c r="I70" i="16"/>
  <c r="J70" i="16"/>
  <c r="K70" i="16"/>
  <c r="L70" i="16"/>
  <c r="C71" i="16"/>
  <c r="D71" i="16"/>
  <c r="E71" i="16"/>
  <c r="F71" i="16"/>
  <c r="G71" i="16"/>
  <c r="H71" i="16"/>
  <c r="I71" i="16"/>
  <c r="J71" i="16"/>
  <c r="K71" i="16"/>
  <c r="L71" i="16"/>
  <c r="K58" i="16"/>
  <c r="L58" i="16"/>
  <c r="L32" i="7"/>
  <c r="L33" i="7"/>
  <c r="L34" i="7"/>
  <c r="L35" i="7"/>
  <c r="L36" i="7"/>
  <c r="L37" i="7"/>
  <c r="L38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N4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38" i="7"/>
  <c r="I92" i="19"/>
  <c r="N37" i="7"/>
  <c r="H92" i="19"/>
  <c r="N36" i="7"/>
  <c r="G92" i="19"/>
  <c r="N35" i="7"/>
  <c r="F92" i="19"/>
  <c r="N34" i="7"/>
  <c r="E92" i="19"/>
  <c r="N33" i="7"/>
  <c r="D92" i="19"/>
  <c r="N32" i="7"/>
  <c r="C92" i="19"/>
  <c r="N31" i="7"/>
  <c r="B92" i="19"/>
  <c r="E36" i="2"/>
  <c r="E6" i="2"/>
  <c r="E22" i="2"/>
  <c r="E25" i="2"/>
  <c r="E28" i="2"/>
  <c r="E30" i="2"/>
  <c r="D48" i="3"/>
  <c r="E48" i="3"/>
  <c r="D36" i="2"/>
  <c r="D6" i="2"/>
  <c r="D22" i="2"/>
  <c r="D25" i="2"/>
  <c r="D28" i="2"/>
  <c r="D30" i="2"/>
  <c r="C48" i="3"/>
  <c r="H24" i="8"/>
  <c r="H23" i="8"/>
  <c r="H22" i="8"/>
  <c r="H21" i="8"/>
  <c r="H20" i="8"/>
  <c r="H19" i="8"/>
  <c r="H18" i="8"/>
  <c r="H17" i="8"/>
  <c r="H16" i="8"/>
  <c r="H15" i="8"/>
  <c r="J13" i="8"/>
  <c r="C8" i="8"/>
  <c r="G15" i="8"/>
  <c r="G16" i="8"/>
  <c r="G17" i="8"/>
  <c r="G18" i="8"/>
  <c r="G19" i="8"/>
  <c r="G20" i="8"/>
  <c r="G21" i="8"/>
  <c r="G22" i="8"/>
  <c r="G23" i="8"/>
  <c r="G24" i="8"/>
  <c r="F29" i="8"/>
  <c r="I29" i="8"/>
  <c r="F30" i="8"/>
  <c r="I30" i="8"/>
  <c r="F31" i="8"/>
  <c r="I31" i="8"/>
  <c r="F32" i="8"/>
  <c r="I32" i="8"/>
  <c r="F33" i="8"/>
  <c r="I33" i="8"/>
  <c r="F34" i="8"/>
  <c r="I34" i="8"/>
  <c r="F35" i="8"/>
  <c r="I35" i="8"/>
  <c r="F36" i="8"/>
  <c r="I36" i="8"/>
  <c r="F37" i="8"/>
  <c r="I37" i="8"/>
  <c r="F38" i="8"/>
  <c r="I38" i="8"/>
  <c r="F39" i="8"/>
  <c r="I39" i="8"/>
  <c r="F40" i="8"/>
  <c r="I40" i="8"/>
  <c r="F41" i="8"/>
  <c r="I41" i="8"/>
  <c r="F42" i="8"/>
  <c r="I42" i="8"/>
  <c r="F43" i="8"/>
  <c r="I43" i="8"/>
  <c r="F44" i="8"/>
  <c r="I44" i="8"/>
  <c r="F45" i="8"/>
  <c r="I45" i="8"/>
  <c r="F46" i="8"/>
  <c r="I46" i="8"/>
  <c r="F47" i="8"/>
  <c r="I47" i="8"/>
  <c r="F48" i="8"/>
  <c r="I48" i="8"/>
  <c r="F49" i="8"/>
  <c r="I49" i="8"/>
  <c r="F50" i="8"/>
  <c r="I50" i="8"/>
  <c r="F51" i="8"/>
  <c r="I51" i="8"/>
  <c r="F52" i="8"/>
  <c r="I52" i="8"/>
  <c r="F53" i="8"/>
  <c r="I53" i="8"/>
  <c r="F54" i="8"/>
  <c r="I54" i="8"/>
  <c r="F55" i="8"/>
  <c r="I55" i="8"/>
  <c r="I56" i="8"/>
  <c r="D9" i="8"/>
  <c r="F56" i="8"/>
  <c r="D8" i="8"/>
  <c r="D10" i="8"/>
  <c r="J14" i="8"/>
  <c r="I13" i="8"/>
  <c r="I14" i="8"/>
  <c r="I15" i="8"/>
  <c r="I16" i="8"/>
  <c r="I17" i="8"/>
  <c r="I18" i="8"/>
  <c r="L15" i="8"/>
  <c r="J15" i="8"/>
  <c r="G3" i="8"/>
  <c r="G27" i="20"/>
  <c r="H27" i="20"/>
  <c r="I27" i="20"/>
  <c r="J27" i="20"/>
  <c r="K27" i="20"/>
  <c r="L27" i="20"/>
  <c r="G28" i="20"/>
  <c r="H28" i="20"/>
  <c r="I28" i="20"/>
  <c r="J28" i="20"/>
  <c r="K28" i="20"/>
  <c r="L28" i="20"/>
  <c r="K16" i="8"/>
  <c r="L16" i="8"/>
  <c r="M16" i="8"/>
  <c r="J16" i="8"/>
  <c r="M15" i="8"/>
  <c r="H3" i="8"/>
  <c r="J17" i="8"/>
  <c r="L17" i="8"/>
  <c r="K17" i="8"/>
  <c r="I3" i="8"/>
  <c r="J18" i="8"/>
  <c r="L18" i="8"/>
  <c r="K18" i="8"/>
  <c r="M18" i="8"/>
  <c r="M17" i="8"/>
  <c r="G4" i="8"/>
  <c r="J3" i="8"/>
  <c r="K3" i="8"/>
  <c r="L3" i="8"/>
  <c r="M3" i="8"/>
  <c r="H4" i="8"/>
  <c r="I4" i="8"/>
  <c r="J4" i="8"/>
  <c r="D8" i="12"/>
  <c r="K4" i="8"/>
  <c r="D3" i="21"/>
  <c r="L4" i="8"/>
  <c r="E12" i="7"/>
  <c r="D12" i="7"/>
  <c r="M4" i="8"/>
  <c r="C79" i="3"/>
  <c r="C35" i="1"/>
  <c r="C16" i="1"/>
  <c r="N65" i="28"/>
  <c r="O65" i="28"/>
  <c r="G27" i="28"/>
  <c r="H27" i="28"/>
  <c r="I27" i="28"/>
  <c r="J27" i="28"/>
  <c r="K27" i="28"/>
  <c r="L27" i="28"/>
  <c r="M27" i="28"/>
  <c r="F27" i="28"/>
  <c r="O16" i="28"/>
  <c r="N16" i="28"/>
  <c r="C88" i="16"/>
  <c r="C86" i="16"/>
  <c r="C85" i="16"/>
  <c r="C113" i="24"/>
  <c r="C184" i="24"/>
  <c r="D113" i="24"/>
  <c r="D184" i="24"/>
  <c r="E113" i="24"/>
  <c r="E184" i="24"/>
  <c r="F113" i="24"/>
  <c r="F184" i="24"/>
  <c r="G113" i="24"/>
  <c r="G184" i="24"/>
  <c r="H113" i="24"/>
  <c r="H184" i="24"/>
  <c r="I113" i="24"/>
  <c r="I184" i="24"/>
  <c r="J113" i="24"/>
  <c r="J184" i="24"/>
  <c r="K113" i="24"/>
  <c r="K184" i="24"/>
  <c r="L113" i="24"/>
  <c r="L184" i="24"/>
  <c r="C114" i="24"/>
  <c r="C185" i="24"/>
  <c r="D114" i="24"/>
  <c r="D185" i="24"/>
  <c r="E114" i="24"/>
  <c r="E185" i="24"/>
  <c r="F114" i="24"/>
  <c r="F185" i="24"/>
  <c r="G114" i="24"/>
  <c r="G185" i="24"/>
  <c r="H114" i="24"/>
  <c r="H185" i="24"/>
  <c r="I114" i="24"/>
  <c r="I185" i="24"/>
  <c r="J114" i="24"/>
  <c r="J185" i="24"/>
  <c r="K114" i="24"/>
  <c r="K185" i="24"/>
  <c r="L114" i="24"/>
  <c r="L185" i="24"/>
  <c r="B113" i="24"/>
  <c r="B184" i="24"/>
  <c r="B114" i="24"/>
  <c r="B185" i="24"/>
  <c r="C59" i="23"/>
  <c r="C97" i="23"/>
  <c r="D59" i="23"/>
  <c r="D97" i="23"/>
  <c r="E59" i="23"/>
  <c r="E97" i="23"/>
  <c r="F59" i="23"/>
  <c r="F97" i="23"/>
  <c r="G59" i="23"/>
  <c r="G97" i="23"/>
  <c r="H59" i="23"/>
  <c r="H97" i="23"/>
  <c r="I59" i="23"/>
  <c r="I97" i="23"/>
  <c r="J59" i="23"/>
  <c r="J97" i="23"/>
  <c r="K59" i="23"/>
  <c r="K97" i="23"/>
  <c r="L59" i="23"/>
  <c r="L97" i="23"/>
  <c r="B59" i="23"/>
  <c r="B97" i="23"/>
  <c r="C56" i="23"/>
  <c r="C94" i="23"/>
  <c r="D56" i="23"/>
  <c r="D94" i="23"/>
  <c r="E56" i="23"/>
  <c r="E94" i="23"/>
  <c r="F56" i="23"/>
  <c r="F94" i="23"/>
  <c r="G56" i="23"/>
  <c r="G94" i="23"/>
  <c r="H56" i="23"/>
  <c r="H94" i="23"/>
  <c r="I56" i="23"/>
  <c r="I94" i="23"/>
  <c r="J56" i="23"/>
  <c r="J94" i="23"/>
  <c r="K56" i="23"/>
  <c r="K94" i="23"/>
  <c r="L56" i="23"/>
  <c r="L94" i="23"/>
  <c r="B56" i="23"/>
  <c r="B94" i="23"/>
  <c r="F54" i="24"/>
  <c r="F125" i="24"/>
  <c r="F196" i="24"/>
  <c r="G54" i="24"/>
  <c r="G125" i="24"/>
  <c r="G196" i="24"/>
  <c r="H54" i="24"/>
  <c r="H125" i="24"/>
  <c r="H196" i="24"/>
  <c r="I54" i="24"/>
  <c r="I125" i="24"/>
  <c r="I196" i="24"/>
  <c r="J54" i="24"/>
  <c r="J125" i="24"/>
  <c r="J196" i="24"/>
  <c r="K54" i="24"/>
  <c r="K125" i="24"/>
  <c r="K196" i="24"/>
  <c r="L54" i="24"/>
  <c r="L125" i="24"/>
  <c r="L196" i="24"/>
  <c r="F59" i="24"/>
  <c r="F130" i="24"/>
  <c r="F201" i="24"/>
  <c r="G59" i="24"/>
  <c r="G130" i="24"/>
  <c r="G201" i="24"/>
  <c r="H59" i="24"/>
  <c r="H130" i="24"/>
  <c r="H201" i="24"/>
  <c r="I59" i="24"/>
  <c r="I130" i="24"/>
  <c r="I201" i="24"/>
  <c r="J59" i="24"/>
  <c r="J130" i="24"/>
  <c r="J201" i="24"/>
  <c r="K59" i="24"/>
  <c r="K130" i="24"/>
  <c r="K201" i="24"/>
  <c r="L59" i="24"/>
  <c r="L130" i="24"/>
  <c r="L201" i="24"/>
  <c r="F60" i="24"/>
  <c r="F131" i="24"/>
  <c r="F202" i="24"/>
  <c r="G60" i="24"/>
  <c r="G131" i="24"/>
  <c r="G202" i="24"/>
  <c r="H60" i="24"/>
  <c r="H131" i="24"/>
  <c r="H202" i="24"/>
  <c r="I60" i="24"/>
  <c r="I131" i="24"/>
  <c r="I202" i="24"/>
  <c r="J60" i="24"/>
  <c r="J131" i="24"/>
  <c r="J202" i="24"/>
  <c r="K60" i="24"/>
  <c r="K131" i="24"/>
  <c r="K202" i="24"/>
  <c r="L60" i="24"/>
  <c r="L131" i="24"/>
  <c r="L202" i="24"/>
  <c r="F61" i="24"/>
  <c r="F132" i="24"/>
  <c r="F203" i="24"/>
  <c r="G61" i="24"/>
  <c r="G132" i="24"/>
  <c r="G203" i="24"/>
  <c r="H61" i="24"/>
  <c r="H132" i="24"/>
  <c r="H203" i="24"/>
  <c r="I61" i="24"/>
  <c r="I132" i="24"/>
  <c r="I203" i="24"/>
  <c r="J61" i="24"/>
  <c r="J132" i="24"/>
  <c r="J203" i="24"/>
  <c r="K61" i="24"/>
  <c r="K132" i="24"/>
  <c r="K203" i="24"/>
  <c r="L61" i="24"/>
  <c r="L132" i="24"/>
  <c r="L203" i="24"/>
  <c r="F62" i="24"/>
  <c r="F133" i="24"/>
  <c r="F204" i="24"/>
  <c r="G62" i="24"/>
  <c r="G133" i="24"/>
  <c r="G204" i="24"/>
  <c r="H62" i="24"/>
  <c r="H133" i="24"/>
  <c r="H204" i="24"/>
  <c r="I62" i="24"/>
  <c r="I133" i="24"/>
  <c r="I204" i="24"/>
  <c r="J62" i="24"/>
  <c r="J133" i="24"/>
  <c r="J204" i="24"/>
  <c r="K62" i="24"/>
  <c r="K133" i="24"/>
  <c r="K204" i="24"/>
  <c r="L62" i="24"/>
  <c r="L133" i="24"/>
  <c r="L204" i="24"/>
  <c r="F63" i="24"/>
  <c r="F134" i="24"/>
  <c r="F205" i="24"/>
  <c r="G63" i="24"/>
  <c r="G134" i="24"/>
  <c r="G205" i="24"/>
  <c r="H63" i="24"/>
  <c r="H134" i="24"/>
  <c r="H205" i="24"/>
  <c r="I63" i="24"/>
  <c r="I134" i="24"/>
  <c r="I205" i="24"/>
  <c r="J63" i="24"/>
  <c r="J134" i="24"/>
  <c r="J205" i="24"/>
  <c r="K63" i="24"/>
  <c r="K134" i="24"/>
  <c r="K205" i="24"/>
  <c r="L63" i="24"/>
  <c r="L134" i="24"/>
  <c r="L205" i="24"/>
  <c r="E54" i="24"/>
  <c r="E125" i="24"/>
  <c r="E196" i="24"/>
  <c r="E59" i="24"/>
  <c r="E130" i="24"/>
  <c r="E201" i="24"/>
  <c r="E60" i="24"/>
  <c r="E131" i="24"/>
  <c r="E202" i="24"/>
  <c r="E61" i="24"/>
  <c r="E132" i="24"/>
  <c r="E203" i="24"/>
  <c r="E62" i="24"/>
  <c r="E133" i="24"/>
  <c r="E204" i="24"/>
  <c r="E63" i="24"/>
  <c r="E134" i="24"/>
  <c r="E205" i="24"/>
  <c r="C53" i="24"/>
  <c r="C124" i="24"/>
  <c r="C195" i="24"/>
  <c r="D53" i="24"/>
  <c r="D124" i="24"/>
  <c r="D195" i="24"/>
  <c r="C54" i="24"/>
  <c r="C125" i="24"/>
  <c r="C196" i="24"/>
  <c r="D54" i="24"/>
  <c r="D125" i="24"/>
  <c r="D196" i="24"/>
  <c r="C55" i="24"/>
  <c r="C126" i="24"/>
  <c r="C197" i="24"/>
  <c r="D55" i="24"/>
  <c r="D126" i="24"/>
  <c r="D197" i="24"/>
  <c r="C56" i="24"/>
  <c r="C127" i="24"/>
  <c r="C198" i="24"/>
  <c r="D56" i="24"/>
  <c r="D127" i="24"/>
  <c r="D198" i="24"/>
  <c r="C57" i="24"/>
  <c r="C128" i="24"/>
  <c r="C199" i="24"/>
  <c r="D57" i="24"/>
  <c r="D128" i="24"/>
  <c r="D199" i="24"/>
  <c r="C58" i="24"/>
  <c r="C129" i="24"/>
  <c r="C200" i="24"/>
  <c r="D58" i="24"/>
  <c r="D129" i="24"/>
  <c r="D200" i="24"/>
  <c r="C59" i="24"/>
  <c r="C130" i="24"/>
  <c r="C201" i="24"/>
  <c r="D59" i="24"/>
  <c r="D130" i="24"/>
  <c r="D201" i="24"/>
  <c r="C60" i="24"/>
  <c r="C131" i="24"/>
  <c r="C202" i="24"/>
  <c r="D60" i="24"/>
  <c r="D131" i="24"/>
  <c r="D202" i="24"/>
  <c r="C61" i="24"/>
  <c r="C132" i="24"/>
  <c r="C203" i="24"/>
  <c r="D61" i="24"/>
  <c r="D132" i="24"/>
  <c r="D203" i="24"/>
  <c r="C62" i="24"/>
  <c r="C133" i="24"/>
  <c r="C204" i="24"/>
  <c r="D62" i="24"/>
  <c r="D133" i="24"/>
  <c r="D204" i="24"/>
  <c r="C63" i="24"/>
  <c r="C134" i="24"/>
  <c r="C205" i="24"/>
  <c r="D63" i="24"/>
  <c r="D134" i="24"/>
  <c r="D205" i="24"/>
  <c r="B54" i="24"/>
  <c r="B125" i="24"/>
  <c r="B196" i="24"/>
  <c r="B55" i="24"/>
  <c r="B126" i="24"/>
  <c r="B197" i="24"/>
  <c r="B56" i="24"/>
  <c r="B127" i="24"/>
  <c r="B198" i="24"/>
  <c r="B57" i="24"/>
  <c r="B128" i="24"/>
  <c r="B199" i="24"/>
  <c r="B58" i="24"/>
  <c r="B129" i="24"/>
  <c r="B200" i="24"/>
  <c r="B59" i="24"/>
  <c r="B130" i="24"/>
  <c r="B201" i="24"/>
  <c r="B60" i="24"/>
  <c r="B131" i="24"/>
  <c r="B202" i="24"/>
  <c r="B61" i="24"/>
  <c r="B132" i="24"/>
  <c r="B203" i="24"/>
  <c r="B62" i="24"/>
  <c r="B133" i="24"/>
  <c r="B204" i="24"/>
  <c r="B63" i="24"/>
  <c r="B134" i="24"/>
  <c r="B205" i="24"/>
  <c r="B53" i="24"/>
  <c r="B124" i="24"/>
  <c r="B195" i="24"/>
  <c r="F49" i="24"/>
  <c r="F120" i="24"/>
  <c r="F191" i="24"/>
  <c r="G49" i="24"/>
  <c r="G120" i="24"/>
  <c r="G191" i="24"/>
  <c r="H49" i="24"/>
  <c r="H120" i="24"/>
  <c r="H191" i="24"/>
  <c r="I49" i="24"/>
  <c r="I120" i="24"/>
  <c r="I191" i="24"/>
  <c r="J49" i="24"/>
  <c r="J120" i="24"/>
  <c r="J191" i="24"/>
  <c r="K49" i="24"/>
  <c r="K120" i="24"/>
  <c r="K191" i="24"/>
  <c r="L49" i="24"/>
  <c r="L120" i="24"/>
  <c r="L191" i="24"/>
  <c r="F50" i="24"/>
  <c r="F121" i="24"/>
  <c r="F192" i="24"/>
  <c r="G50" i="24"/>
  <c r="G121" i="24"/>
  <c r="G192" i="24"/>
  <c r="H50" i="24"/>
  <c r="H121" i="24"/>
  <c r="H192" i="24"/>
  <c r="I50" i="24"/>
  <c r="I121" i="24"/>
  <c r="I192" i="24"/>
  <c r="J50" i="24"/>
  <c r="J121" i="24"/>
  <c r="J192" i="24"/>
  <c r="K50" i="24"/>
  <c r="K121" i="24"/>
  <c r="K192" i="24"/>
  <c r="L50" i="24"/>
  <c r="L121" i="24"/>
  <c r="L192" i="24"/>
  <c r="E49" i="24"/>
  <c r="E120" i="24"/>
  <c r="E191" i="24"/>
  <c r="E50" i="24"/>
  <c r="E121" i="24"/>
  <c r="E192" i="24"/>
  <c r="C47" i="24"/>
  <c r="C118" i="24"/>
  <c r="C189" i="24"/>
  <c r="D47" i="24"/>
  <c r="D118" i="24"/>
  <c r="D189" i="24"/>
  <c r="C48" i="24"/>
  <c r="C119" i="24"/>
  <c r="C190" i="24"/>
  <c r="D48" i="24"/>
  <c r="D119" i="24"/>
  <c r="D190" i="24"/>
  <c r="C49" i="24"/>
  <c r="C120" i="24"/>
  <c r="C191" i="24"/>
  <c r="D49" i="24"/>
  <c r="D120" i="24"/>
  <c r="D191" i="24"/>
  <c r="C50" i="24"/>
  <c r="C121" i="24"/>
  <c r="C192" i="24"/>
  <c r="D50" i="24"/>
  <c r="D121" i="24"/>
  <c r="D192" i="24"/>
  <c r="C51" i="24"/>
  <c r="C122" i="24"/>
  <c r="C193" i="24"/>
  <c r="D51" i="24"/>
  <c r="D122" i="24"/>
  <c r="D193" i="24"/>
  <c r="B48" i="24"/>
  <c r="B119" i="24"/>
  <c r="B190" i="24"/>
  <c r="B49" i="24"/>
  <c r="B120" i="24"/>
  <c r="B191" i="24"/>
  <c r="B50" i="24"/>
  <c r="B121" i="24"/>
  <c r="B192" i="24"/>
  <c r="B51" i="24"/>
  <c r="B122" i="24"/>
  <c r="B193" i="24"/>
  <c r="B47" i="24"/>
  <c r="B118" i="24"/>
  <c r="B189" i="24"/>
  <c r="E38" i="24"/>
  <c r="E109" i="24"/>
  <c r="E180" i="24"/>
  <c r="F38" i="24"/>
  <c r="F109" i="24"/>
  <c r="F180" i="24"/>
  <c r="G38" i="24"/>
  <c r="G109" i="24"/>
  <c r="G180" i="24"/>
  <c r="H38" i="24"/>
  <c r="H109" i="24"/>
  <c r="H180" i="24"/>
  <c r="I38" i="24"/>
  <c r="I109" i="24"/>
  <c r="I180" i="24"/>
  <c r="J38" i="24"/>
  <c r="J109" i="24"/>
  <c r="J180" i="24"/>
  <c r="K38" i="24"/>
  <c r="K109" i="24"/>
  <c r="K180" i="24"/>
  <c r="L38" i="24"/>
  <c r="L109" i="24"/>
  <c r="L180" i="24"/>
  <c r="F40" i="24"/>
  <c r="F111" i="24"/>
  <c r="F182" i="24"/>
  <c r="G40" i="24"/>
  <c r="G111" i="24"/>
  <c r="G182" i="24"/>
  <c r="H40" i="24"/>
  <c r="H111" i="24"/>
  <c r="H182" i="24"/>
  <c r="I40" i="24"/>
  <c r="I111" i="24"/>
  <c r="I182" i="24"/>
  <c r="J40" i="24"/>
  <c r="J111" i="24"/>
  <c r="J182" i="24"/>
  <c r="K40" i="24"/>
  <c r="K111" i="24"/>
  <c r="K182" i="24"/>
  <c r="L40" i="24"/>
  <c r="L111" i="24"/>
  <c r="L182" i="24"/>
  <c r="C31" i="24"/>
  <c r="C102" i="24"/>
  <c r="C173" i="24"/>
  <c r="D31" i="24"/>
  <c r="D102" i="24"/>
  <c r="D173" i="24"/>
  <c r="C32" i="24"/>
  <c r="C103" i="24"/>
  <c r="C174" i="24"/>
  <c r="D32" i="24"/>
  <c r="D103" i="24"/>
  <c r="D174" i="24"/>
  <c r="C33" i="24"/>
  <c r="C104" i="24"/>
  <c r="C175" i="24"/>
  <c r="D33" i="24"/>
  <c r="D104" i="24"/>
  <c r="D175" i="24"/>
  <c r="C34" i="24"/>
  <c r="C105" i="24"/>
  <c r="C176" i="24"/>
  <c r="D34" i="24"/>
  <c r="D105" i="24"/>
  <c r="D176" i="24"/>
  <c r="C35" i="24"/>
  <c r="C106" i="24"/>
  <c r="C177" i="24"/>
  <c r="D35" i="24"/>
  <c r="D106" i="24"/>
  <c r="D177" i="24"/>
  <c r="C36" i="24"/>
  <c r="C107" i="24"/>
  <c r="C178" i="24"/>
  <c r="D36" i="24"/>
  <c r="D107" i="24"/>
  <c r="D178" i="24"/>
  <c r="C37" i="24"/>
  <c r="C108" i="24"/>
  <c r="C179" i="24"/>
  <c r="D37" i="24"/>
  <c r="D108" i="24"/>
  <c r="D179" i="24"/>
  <c r="C38" i="24"/>
  <c r="C109" i="24"/>
  <c r="C180" i="24"/>
  <c r="D38" i="24"/>
  <c r="D109" i="24"/>
  <c r="D180" i="24"/>
  <c r="C39" i="24"/>
  <c r="C110" i="24"/>
  <c r="C181" i="24"/>
  <c r="D39" i="24"/>
  <c r="D110" i="24"/>
  <c r="D181" i="24"/>
  <c r="C40" i="24"/>
  <c r="C111" i="24"/>
  <c r="C182" i="24"/>
  <c r="D40" i="24"/>
  <c r="D111" i="24"/>
  <c r="D182" i="24"/>
  <c r="B32" i="24"/>
  <c r="B103" i="24"/>
  <c r="B174" i="24"/>
  <c r="B33" i="24"/>
  <c r="B104" i="24"/>
  <c r="B175" i="24"/>
  <c r="B34" i="24"/>
  <c r="B105" i="24"/>
  <c r="B176" i="24"/>
  <c r="B35" i="24"/>
  <c r="B106" i="24"/>
  <c r="B177" i="24"/>
  <c r="B36" i="24"/>
  <c r="B107" i="24"/>
  <c r="B178" i="24"/>
  <c r="B37" i="24"/>
  <c r="B108" i="24"/>
  <c r="B179" i="24"/>
  <c r="B38" i="24"/>
  <c r="B109" i="24"/>
  <c r="B180" i="24"/>
  <c r="B39" i="24"/>
  <c r="B110" i="24"/>
  <c r="B181" i="24"/>
  <c r="B40" i="24"/>
  <c r="B111" i="24"/>
  <c r="B182" i="24"/>
  <c r="C16" i="24"/>
  <c r="C87" i="24"/>
  <c r="C158" i="24"/>
  <c r="C17" i="24"/>
  <c r="C88" i="24"/>
  <c r="C159" i="24"/>
  <c r="C18" i="24"/>
  <c r="C89" i="24"/>
  <c r="C160" i="24"/>
  <c r="C19" i="24"/>
  <c r="C90" i="24"/>
  <c r="C161" i="24"/>
  <c r="C20" i="24"/>
  <c r="C91" i="24"/>
  <c r="C162" i="24"/>
  <c r="C21" i="24"/>
  <c r="C92" i="24"/>
  <c r="C163" i="24"/>
  <c r="C22" i="24"/>
  <c r="C93" i="24"/>
  <c r="C164" i="24"/>
  <c r="C23" i="24"/>
  <c r="C94" i="24"/>
  <c r="C165" i="24"/>
  <c r="C24" i="24"/>
  <c r="C95" i="24"/>
  <c r="C166" i="24"/>
  <c r="C25" i="24"/>
  <c r="C96" i="24"/>
  <c r="C167" i="24"/>
  <c r="C26" i="24"/>
  <c r="C97" i="24"/>
  <c r="C168" i="24"/>
  <c r="C27" i="24"/>
  <c r="C98" i="24"/>
  <c r="C169" i="24"/>
  <c r="C28" i="24"/>
  <c r="C99" i="24"/>
  <c r="B17" i="24"/>
  <c r="B88" i="24"/>
  <c r="B159" i="24"/>
  <c r="B18" i="24"/>
  <c r="B89" i="24"/>
  <c r="B160" i="24"/>
  <c r="B19" i="24"/>
  <c r="B90" i="24"/>
  <c r="B161" i="24"/>
  <c r="B20" i="24"/>
  <c r="B91" i="24"/>
  <c r="B162" i="24"/>
  <c r="B21" i="24"/>
  <c r="B92" i="24"/>
  <c r="B163" i="24"/>
  <c r="B22" i="24"/>
  <c r="B93" i="24"/>
  <c r="B164" i="24"/>
  <c r="B23" i="24"/>
  <c r="B94" i="24"/>
  <c r="B165" i="24"/>
  <c r="B24" i="24"/>
  <c r="B95" i="24"/>
  <c r="B166" i="24"/>
  <c r="B25" i="24"/>
  <c r="B96" i="24"/>
  <c r="B167" i="24"/>
  <c r="B26" i="24"/>
  <c r="B97" i="24"/>
  <c r="B168" i="24"/>
  <c r="B27" i="24"/>
  <c r="B98" i="24"/>
  <c r="B169" i="24"/>
  <c r="B28" i="24"/>
  <c r="B99" i="24"/>
  <c r="B31" i="24"/>
  <c r="B102" i="24"/>
  <c r="B173" i="24"/>
  <c r="D17" i="24"/>
  <c r="D88" i="24"/>
  <c r="D159" i="24"/>
  <c r="D18" i="24"/>
  <c r="D89" i="24"/>
  <c r="D160" i="24"/>
  <c r="D19" i="24"/>
  <c r="D90" i="24"/>
  <c r="D161" i="24"/>
  <c r="D20" i="24"/>
  <c r="D91" i="24"/>
  <c r="D162" i="24"/>
  <c r="D21" i="24"/>
  <c r="D92" i="24"/>
  <c r="D163" i="24"/>
  <c r="D22" i="24"/>
  <c r="D93" i="24"/>
  <c r="D164" i="24"/>
  <c r="D23" i="24"/>
  <c r="D94" i="24"/>
  <c r="D165" i="24"/>
  <c r="D24" i="24"/>
  <c r="D95" i="24"/>
  <c r="D166" i="24"/>
  <c r="D25" i="24"/>
  <c r="D96" i="24"/>
  <c r="D167" i="24"/>
  <c r="D26" i="24"/>
  <c r="D97" i="24"/>
  <c r="D168" i="24"/>
  <c r="D27" i="24"/>
  <c r="D98" i="24"/>
  <c r="D169" i="24"/>
  <c r="D28" i="24"/>
  <c r="D99" i="24"/>
  <c r="D16" i="24"/>
  <c r="D87" i="24"/>
  <c r="D158" i="24"/>
  <c r="B16" i="24"/>
  <c r="B87" i="24"/>
  <c r="B158" i="24"/>
  <c r="B5" i="24"/>
  <c r="B76" i="24"/>
  <c r="B147" i="24"/>
  <c r="C5" i="24"/>
  <c r="C76" i="24"/>
  <c r="C147" i="24"/>
  <c r="D5" i="24"/>
  <c r="D76" i="24"/>
  <c r="D147" i="24"/>
  <c r="B6" i="24"/>
  <c r="B77" i="24"/>
  <c r="B148" i="24"/>
  <c r="C6" i="24"/>
  <c r="C77" i="24"/>
  <c r="C148" i="24"/>
  <c r="D6" i="24"/>
  <c r="D77" i="24"/>
  <c r="D148" i="24"/>
  <c r="B7" i="24"/>
  <c r="B78" i="24"/>
  <c r="B149" i="24"/>
  <c r="C7" i="24"/>
  <c r="C78" i="24"/>
  <c r="C149" i="24"/>
  <c r="D7" i="24"/>
  <c r="D78" i="24"/>
  <c r="D149" i="24"/>
  <c r="B8" i="24"/>
  <c r="B79" i="24"/>
  <c r="B150" i="24"/>
  <c r="C8" i="24"/>
  <c r="C79" i="24"/>
  <c r="C150" i="24"/>
  <c r="D8" i="24"/>
  <c r="D79" i="24"/>
  <c r="D150" i="24"/>
  <c r="B9" i="24"/>
  <c r="B80" i="24"/>
  <c r="B151" i="24"/>
  <c r="C9" i="24"/>
  <c r="C80" i="24"/>
  <c r="C151" i="24"/>
  <c r="D9" i="24"/>
  <c r="D80" i="24"/>
  <c r="D151" i="24"/>
  <c r="B10" i="24"/>
  <c r="B81" i="24"/>
  <c r="B152" i="24"/>
  <c r="C10" i="24"/>
  <c r="C81" i="24"/>
  <c r="C152" i="24"/>
  <c r="D10" i="24"/>
  <c r="D81" i="24"/>
  <c r="D152" i="24"/>
  <c r="B11" i="24"/>
  <c r="B82" i="24"/>
  <c r="B153" i="24"/>
  <c r="C11" i="24"/>
  <c r="C82" i="24"/>
  <c r="C153" i="24"/>
  <c r="D11" i="24"/>
  <c r="D82" i="24"/>
  <c r="D153" i="24"/>
  <c r="B12" i="24"/>
  <c r="B83" i="24"/>
  <c r="B154" i="24"/>
  <c r="C12" i="24"/>
  <c r="C83" i="24"/>
  <c r="C154" i="24"/>
  <c r="D12" i="24"/>
  <c r="D83" i="24"/>
  <c r="D154" i="24"/>
  <c r="B13" i="24"/>
  <c r="B84" i="24"/>
  <c r="B155" i="24"/>
  <c r="C13" i="24"/>
  <c r="C84" i="24"/>
  <c r="C155" i="24"/>
  <c r="D13" i="24"/>
  <c r="D84" i="24"/>
  <c r="D155" i="24"/>
  <c r="B14" i="24"/>
  <c r="B85" i="24"/>
  <c r="B156" i="24"/>
  <c r="C14" i="24"/>
  <c r="C85" i="24"/>
  <c r="C156" i="24"/>
  <c r="D14" i="24"/>
  <c r="D85" i="24"/>
  <c r="D156" i="24"/>
  <c r="C4" i="24"/>
  <c r="C75" i="24"/>
  <c r="C146" i="24"/>
  <c r="D4" i="24"/>
  <c r="D75" i="24"/>
  <c r="D146" i="24"/>
  <c r="B4" i="24"/>
  <c r="B75" i="24"/>
  <c r="B146" i="24"/>
  <c r="B145" i="24"/>
  <c r="B194" i="24"/>
  <c r="C145" i="24"/>
  <c r="D145" i="24"/>
  <c r="B188" i="24"/>
  <c r="C188" i="24"/>
  <c r="D188" i="24"/>
  <c r="D194" i="24"/>
  <c r="C194" i="24"/>
  <c r="B2" i="33"/>
  <c r="C2" i="33"/>
  <c r="D2" i="33"/>
  <c r="E2" i="33"/>
  <c r="F2" i="33"/>
  <c r="G2" i="33"/>
  <c r="M14" i="31"/>
  <c r="O13" i="31"/>
  <c r="O14" i="31"/>
  <c r="M8" i="31"/>
  <c r="M9" i="31"/>
  <c r="M10" i="31"/>
  <c r="M11" i="31"/>
  <c r="M12" i="31"/>
  <c r="M13" i="31"/>
  <c r="B206" i="24"/>
  <c r="D206" i="24"/>
  <c r="C206" i="24"/>
  <c r="M32" i="31"/>
  <c r="E11" i="28"/>
  <c r="L346" i="4"/>
  <c r="B4" i="31"/>
  <c r="E8" i="12"/>
  <c r="F8" i="12"/>
  <c r="G8" i="12"/>
  <c r="H8" i="12"/>
  <c r="C18" i="31"/>
  <c r="M7" i="31"/>
  <c r="E20" i="31"/>
  <c r="E19" i="31"/>
  <c r="C31" i="31"/>
  <c r="E22" i="31"/>
  <c r="E21" i="31"/>
  <c r="I8" i="12"/>
  <c r="A7" i="19"/>
  <c r="A6" i="19"/>
  <c r="E31" i="31"/>
  <c r="J8" i="12"/>
  <c r="K8" i="12"/>
  <c r="L8" i="12"/>
  <c r="C58" i="3"/>
  <c r="C47" i="3"/>
  <c r="C50" i="3"/>
  <c r="C33" i="3"/>
  <c r="C18" i="3"/>
  <c r="E40" i="2"/>
  <c r="C35" i="23"/>
  <c r="C34" i="3"/>
  <c r="C76" i="3"/>
  <c r="M8" i="12"/>
  <c r="F3" i="28"/>
  <c r="G3" i="28"/>
  <c r="C19" i="26"/>
  <c r="C20" i="26"/>
  <c r="C7" i="26"/>
  <c r="C8" i="26"/>
  <c r="C9" i="26"/>
  <c r="C13" i="26"/>
  <c r="C14" i="26"/>
  <c r="C15" i="26"/>
  <c r="C16" i="26"/>
  <c r="C17" i="26"/>
  <c r="C18" i="26"/>
  <c r="C25" i="11"/>
  <c r="C25" i="26"/>
  <c r="O85" i="5"/>
  <c r="E3" i="13"/>
  <c r="E82" i="13"/>
  <c r="G82" i="13"/>
  <c r="H82" i="13"/>
  <c r="D16" i="1"/>
  <c r="E16" i="1"/>
  <c r="F16" i="1"/>
  <c r="G16" i="1"/>
  <c r="H16" i="1"/>
  <c r="I16" i="1"/>
  <c r="J16" i="1"/>
  <c r="K16" i="1"/>
  <c r="L16" i="1"/>
  <c r="D27" i="1"/>
  <c r="E27" i="1"/>
  <c r="F27" i="1"/>
  <c r="G27" i="1"/>
  <c r="H27" i="1"/>
  <c r="I27" i="1"/>
  <c r="J27" i="1"/>
  <c r="K27" i="1"/>
  <c r="L27" i="1"/>
  <c r="M27" i="1"/>
  <c r="C90" i="3"/>
  <c r="C27" i="28"/>
  <c r="D90" i="3"/>
  <c r="D27" i="28"/>
  <c r="E90" i="3"/>
  <c r="E27" i="28"/>
  <c r="D89" i="3"/>
  <c r="D26" i="28"/>
  <c r="D88" i="3"/>
  <c r="D25" i="28"/>
  <c r="F14" i="13"/>
  <c r="E84" i="13"/>
  <c r="E85" i="13"/>
  <c r="D19" i="26"/>
  <c r="D20" i="26"/>
  <c r="D7" i="26"/>
  <c r="D8" i="26"/>
  <c r="D9" i="26"/>
  <c r="D13" i="26"/>
  <c r="D14" i="26"/>
  <c r="D15" i="26"/>
  <c r="D16" i="26"/>
  <c r="D17" i="26"/>
  <c r="D18" i="26"/>
  <c r="D63" i="5"/>
  <c r="D27" i="5"/>
  <c r="D25" i="11"/>
  <c r="D25" i="26"/>
  <c r="D28" i="1"/>
  <c r="G84" i="13"/>
  <c r="G85" i="13"/>
  <c r="E19" i="26"/>
  <c r="E20" i="26"/>
  <c r="E7" i="26"/>
  <c r="E8" i="26"/>
  <c r="E9" i="26"/>
  <c r="E13" i="26"/>
  <c r="E14" i="26"/>
  <c r="E15" i="26"/>
  <c r="E16" i="26"/>
  <c r="E17" i="26"/>
  <c r="E18" i="26"/>
  <c r="E25" i="11"/>
  <c r="E25" i="26"/>
  <c r="E28" i="1"/>
  <c r="I84" i="13"/>
  <c r="I85" i="13"/>
  <c r="F19" i="26"/>
  <c r="F20" i="26"/>
  <c r="F7" i="26"/>
  <c r="F8" i="26"/>
  <c r="F9" i="26"/>
  <c r="F13" i="26"/>
  <c r="F14" i="26"/>
  <c r="F15" i="26"/>
  <c r="F16" i="26"/>
  <c r="F17" i="26"/>
  <c r="F18" i="26"/>
  <c r="F25" i="11"/>
  <c r="F35" i="20"/>
  <c r="F30" i="6"/>
  <c r="F28" i="1"/>
  <c r="G28" i="1"/>
  <c r="H28" i="1"/>
  <c r="I28" i="1"/>
  <c r="J28" i="1"/>
  <c r="K28" i="1"/>
  <c r="K84" i="13"/>
  <c r="K85" i="13"/>
  <c r="G19" i="26"/>
  <c r="G20" i="26"/>
  <c r="G6" i="26"/>
  <c r="G7" i="26"/>
  <c r="G8" i="26"/>
  <c r="G9" i="26"/>
  <c r="G13" i="26"/>
  <c r="G14" i="26"/>
  <c r="G15" i="26"/>
  <c r="G16" i="26"/>
  <c r="G17" i="26"/>
  <c r="G18" i="26"/>
  <c r="G25" i="11"/>
  <c r="M84" i="13"/>
  <c r="N84" i="13"/>
  <c r="M85" i="13"/>
  <c r="N85" i="13"/>
  <c r="H19" i="26"/>
  <c r="H20" i="26"/>
  <c r="H6" i="26"/>
  <c r="H7" i="26"/>
  <c r="H8" i="26"/>
  <c r="H9" i="26"/>
  <c r="H13" i="26"/>
  <c r="H14" i="26"/>
  <c r="H15" i="26"/>
  <c r="H16" i="26"/>
  <c r="H17" i="26"/>
  <c r="H18" i="26"/>
  <c r="J99" i="5"/>
  <c r="J100" i="5"/>
  <c r="H25" i="11"/>
  <c r="O84" i="13"/>
  <c r="P84" i="13"/>
  <c r="O85" i="13"/>
  <c r="P85" i="13"/>
  <c r="I19" i="26"/>
  <c r="I20" i="26"/>
  <c r="I6" i="26"/>
  <c r="I7" i="26"/>
  <c r="I8" i="26"/>
  <c r="I9" i="26"/>
  <c r="I13" i="26"/>
  <c r="I14" i="26"/>
  <c r="I15" i="26"/>
  <c r="I16" i="26"/>
  <c r="I17" i="26"/>
  <c r="I18" i="26"/>
  <c r="B6" i="5"/>
  <c r="K6" i="5"/>
  <c r="B7" i="5"/>
  <c r="K7" i="5"/>
  <c r="B8" i="5"/>
  <c r="N8" i="5"/>
  <c r="B9" i="5"/>
  <c r="K9" i="5"/>
  <c r="B10" i="5"/>
  <c r="K10" i="5"/>
  <c r="B11" i="5"/>
  <c r="K11" i="5"/>
  <c r="B12" i="5"/>
  <c r="N12" i="5"/>
  <c r="B13" i="5"/>
  <c r="K13" i="5"/>
  <c r="B14" i="5"/>
  <c r="K14" i="5"/>
  <c r="B15" i="5"/>
  <c r="K15" i="5"/>
  <c r="B16" i="5"/>
  <c r="N16" i="5"/>
  <c r="B17" i="5"/>
  <c r="K17" i="5"/>
  <c r="B18" i="5"/>
  <c r="K18" i="5"/>
  <c r="B19" i="5"/>
  <c r="K19" i="5"/>
  <c r="B20" i="5"/>
  <c r="N20" i="5"/>
  <c r="B21" i="5"/>
  <c r="K21" i="5"/>
  <c r="B25" i="5"/>
  <c r="B26" i="5"/>
  <c r="B27" i="5"/>
  <c r="K27" i="5"/>
  <c r="B28" i="5"/>
  <c r="K28" i="5"/>
  <c r="B29" i="5"/>
  <c r="K29" i="5"/>
  <c r="B30" i="5"/>
  <c r="K30" i="5"/>
  <c r="B31" i="5"/>
  <c r="N31" i="5"/>
  <c r="B32" i="5"/>
  <c r="K32" i="5"/>
  <c r="B33" i="5"/>
  <c r="K33" i="5"/>
  <c r="B34" i="5"/>
  <c r="K34" i="5"/>
  <c r="B35" i="5"/>
  <c r="K35" i="5"/>
  <c r="B36" i="5"/>
  <c r="K36" i="5"/>
  <c r="B37" i="5"/>
  <c r="K37" i="5"/>
  <c r="B38" i="5"/>
  <c r="K38" i="5"/>
  <c r="B39" i="5"/>
  <c r="N39" i="5"/>
  <c r="B40" i="5"/>
  <c r="K40" i="5"/>
  <c r="B41" i="5"/>
  <c r="N41" i="5"/>
  <c r="B42" i="5"/>
  <c r="K42" i="5"/>
  <c r="B43" i="5"/>
  <c r="K43" i="5"/>
  <c r="B44" i="5"/>
  <c r="K44" i="5"/>
  <c r="B45" i="5"/>
  <c r="K45" i="5"/>
  <c r="B46" i="5"/>
  <c r="K46" i="5"/>
  <c r="B47" i="5"/>
  <c r="N47" i="5"/>
  <c r="B48" i="5"/>
  <c r="K48" i="5"/>
  <c r="B49" i="5"/>
  <c r="K49" i="5"/>
  <c r="B50" i="5"/>
  <c r="K50" i="5"/>
  <c r="B51" i="5"/>
  <c r="K51" i="5"/>
  <c r="B52" i="5"/>
  <c r="K52" i="5"/>
  <c r="B53" i="5"/>
  <c r="K53" i="5"/>
  <c r="B54" i="5"/>
  <c r="K54" i="5"/>
  <c r="B55" i="5"/>
  <c r="N55" i="5"/>
  <c r="B56" i="5"/>
  <c r="K56" i="5"/>
  <c r="B57" i="5"/>
  <c r="M57" i="5"/>
  <c r="B58" i="5"/>
  <c r="K58" i="5"/>
  <c r="B59" i="5"/>
  <c r="K59" i="5"/>
  <c r="B63" i="5"/>
  <c r="B64" i="5"/>
  <c r="K64" i="5"/>
  <c r="B65" i="5"/>
  <c r="K65" i="5"/>
  <c r="B66" i="5"/>
  <c r="K66" i="5"/>
  <c r="B67" i="5"/>
  <c r="K67" i="5"/>
  <c r="B68" i="5"/>
  <c r="K68" i="5"/>
  <c r="B69" i="5"/>
  <c r="K69" i="5"/>
  <c r="B70" i="5"/>
  <c r="K70" i="5"/>
  <c r="B71" i="5"/>
  <c r="K71" i="5"/>
  <c r="B72" i="5"/>
  <c r="K72" i="5"/>
  <c r="B73" i="5"/>
  <c r="K73" i="5"/>
  <c r="B74" i="5"/>
  <c r="L74" i="5"/>
  <c r="B75" i="5"/>
  <c r="K75" i="5"/>
  <c r="B76" i="5"/>
  <c r="K76" i="5"/>
  <c r="B77" i="5"/>
  <c r="K77" i="5"/>
  <c r="B78" i="5"/>
  <c r="L78" i="5"/>
  <c r="I25" i="11"/>
  <c r="I35" i="20"/>
  <c r="I30" i="6"/>
  <c r="Q84" i="13"/>
  <c r="R84" i="13"/>
  <c r="Q85" i="13"/>
  <c r="R85" i="13"/>
  <c r="J19" i="26"/>
  <c r="J20" i="26"/>
  <c r="J6" i="26"/>
  <c r="J7" i="26"/>
  <c r="J8" i="26"/>
  <c r="J9" i="26"/>
  <c r="J13" i="26"/>
  <c r="J14" i="26"/>
  <c r="J15" i="26"/>
  <c r="J16" i="26"/>
  <c r="J17" i="26"/>
  <c r="J18" i="26"/>
  <c r="J25" i="11"/>
  <c r="J25" i="26"/>
  <c r="S84" i="13"/>
  <c r="T84" i="13"/>
  <c r="S85" i="13"/>
  <c r="T85" i="13"/>
  <c r="K19" i="26"/>
  <c r="K20" i="26"/>
  <c r="K6" i="26"/>
  <c r="K7" i="26"/>
  <c r="K8" i="26"/>
  <c r="K9" i="26"/>
  <c r="K13" i="26"/>
  <c r="K14" i="26"/>
  <c r="K15" i="26"/>
  <c r="K16" i="26"/>
  <c r="K17" i="26"/>
  <c r="K18" i="26"/>
  <c r="K25" i="11"/>
  <c r="K25" i="26"/>
  <c r="U84" i="13"/>
  <c r="V84" i="13"/>
  <c r="U85" i="13"/>
  <c r="V85" i="13"/>
  <c r="L19" i="26"/>
  <c r="L20" i="26"/>
  <c r="L6" i="26"/>
  <c r="L7" i="26"/>
  <c r="L8" i="26"/>
  <c r="L9" i="26"/>
  <c r="L13" i="26"/>
  <c r="L14" i="26"/>
  <c r="L15" i="26"/>
  <c r="L16" i="26"/>
  <c r="L17" i="26"/>
  <c r="L18" i="26"/>
  <c r="L25" i="11"/>
  <c r="L28" i="1"/>
  <c r="W84" i="13"/>
  <c r="X84" i="13"/>
  <c r="W85" i="13"/>
  <c r="X85" i="13"/>
  <c r="C6" i="29"/>
  <c r="D6" i="29"/>
  <c r="E6" i="29"/>
  <c r="F6" i="29"/>
  <c r="G6" i="29"/>
  <c r="H6" i="29"/>
  <c r="I6" i="29"/>
  <c r="G13" i="15"/>
  <c r="G12" i="15"/>
  <c r="G6" i="15"/>
  <c r="G7" i="15"/>
  <c r="B30" i="23"/>
  <c r="B28" i="23"/>
  <c r="B24" i="23"/>
  <c r="B19" i="23"/>
  <c r="B22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C30" i="23"/>
  <c r="C28" i="23"/>
  <c r="C24" i="23"/>
  <c r="C19" i="23"/>
  <c r="C22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D30" i="23"/>
  <c r="D28" i="23"/>
  <c r="D24" i="23"/>
  <c r="D19" i="23"/>
  <c r="D22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L4" i="23"/>
  <c r="L5" i="23"/>
  <c r="L6" i="23"/>
  <c r="L7" i="23"/>
  <c r="L11" i="23"/>
  <c r="L12" i="23"/>
  <c r="L13" i="23"/>
  <c r="L14" i="23"/>
  <c r="L15" i="23"/>
  <c r="L16" i="23"/>
  <c r="L19" i="23"/>
  <c r="L22" i="23"/>
  <c r="L25" i="23"/>
  <c r="K4" i="23"/>
  <c r="K5" i="23"/>
  <c r="K6" i="23"/>
  <c r="K7" i="23"/>
  <c r="K11" i="23"/>
  <c r="K12" i="23"/>
  <c r="K13" i="23"/>
  <c r="K14" i="23"/>
  <c r="K15" i="23"/>
  <c r="K16" i="23"/>
  <c r="K19" i="23"/>
  <c r="K22" i="23"/>
  <c r="K25" i="23"/>
  <c r="J4" i="23"/>
  <c r="J5" i="23"/>
  <c r="J6" i="23"/>
  <c r="J7" i="23"/>
  <c r="J11" i="23"/>
  <c r="J12" i="23"/>
  <c r="J13" i="23"/>
  <c r="J14" i="23"/>
  <c r="J15" i="23"/>
  <c r="J16" i="23"/>
  <c r="J19" i="23"/>
  <c r="J22" i="23"/>
  <c r="J25" i="23"/>
  <c r="I4" i="23"/>
  <c r="I5" i="23"/>
  <c r="I6" i="23"/>
  <c r="I7" i="23"/>
  <c r="I11" i="23"/>
  <c r="I12" i="23"/>
  <c r="I13" i="23"/>
  <c r="I14" i="23"/>
  <c r="I15" i="23"/>
  <c r="I16" i="23"/>
  <c r="I19" i="23"/>
  <c r="I22" i="23"/>
  <c r="I25" i="23"/>
  <c r="I27" i="23"/>
  <c r="H5" i="23"/>
  <c r="H6" i="23"/>
  <c r="H7" i="23"/>
  <c r="H11" i="23"/>
  <c r="H12" i="23"/>
  <c r="H13" i="23"/>
  <c r="H14" i="23"/>
  <c r="H15" i="23"/>
  <c r="H16" i="23"/>
  <c r="H19" i="23"/>
  <c r="H22" i="23"/>
  <c r="H25" i="23"/>
  <c r="G5" i="23"/>
  <c r="G6" i="23"/>
  <c r="G7" i="23"/>
  <c r="G11" i="23"/>
  <c r="G12" i="23"/>
  <c r="G13" i="23"/>
  <c r="G14" i="23"/>
  <c r="G15" i="23"/>
  <c r="G16" i="23"/>
  <c r="G19" i="23"/>
  <c r="G22" i="23"/>
  <c r="G25" i="23"/>
  <c r="F5" i="23"/>
  <c r="F6" i="23"/>
  <c r="F7" i="23"/>
  <c r="F11" i="23"/>
  <c r="F12" i="23"/>
  <c r="F13" i="23"/>
  <c r="F14" i="23"/>
  <c r="F15" i="23"/>
  <c r="F16" i="23"/>
  <c r="F19" i="23"/>
  <c r="F22" i="23"/>
  <c r="F25" i="23"/>
  <c r="E5" i="23"/>
  <c r="E6" i="23"/>
  <c r="E7" i="23"/>
  <c r="E11" i="23"/>
  <c r="E12" i="23"/>
  <c r="E13" i="23"/>
  <c r="E14" i="23"/>
  <c r="E15" i="23"/>
  <c r="E16" i="23"/>
  <c r="E19" i="23"/>
  <c r="E22" i="23"/>
  <c r="E25" i="23"/>
  <c r="E27" i="23"/>
  <c r="B1" i="19"/>
  <c r="C1" i="19"/>
  <c r="D1" i="19"/>
  <c r="E1" i="19"/>
  <c r="E4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C4" i="3"/>
  <c r="D4" i="3"/>
  <c r="E4" i="3"/>
  <c r="AF4" i="7"/>
  <c r="AF5" i="7"/>
  <c r="C54" i="16"/>
  <c r="E47" i="24"/>
  <c r="E118" i="24"/>
  <c r="E189" i="24"/>
  <c r="D47" i="3"/>
  <c r="D50" i="3"/>
  <c r="D58" i="3"/>
  <c r="E47" i="3"/>
  <c r="E50" i="3"/>
  <c r="E58" i="3"/>
  <c r="H24" i="15"/>
  <c r="H31" i="15"/>
  <c r="D26" i="1"/>
  <c r="E26" i="1"/>
  <c r="F26" i="1"/>
  <c r="G26" i="1"/>
  <c r="H26" i="1"/>
  <c r="I26" i="1"/>
  <c r="J26" i="1"/>
  <c r="K26" i="1"/>
  <c r="L26" i="1"/>
  <c r="M26" i="1"/>
  <c r="C9" i="16"/>
  <c r="E5" i="24"/>
  <c r="E76" i="24"/>
  <c r="E147" i="24"/>
  <c r="C10" i="16"/>
  <c r="E6" i="24"/>
  <c r="E77" i="24"/>
  <c r="E148" i="24"/>
  <c r="C13" i="16"/>
  <c r="E9" i="24"/>
  <c r="E80" i="24"/>
  <c r="E151" i="24"/>
  <c r="C14" i="16"/>
  <c r="E10" i="24"/>
  <c r="E81" i="24"/>
  <c r="E152" i="24"/>
  <c r="C15" i="16"/>
  <c r="E11" i="24"/>
  <c r="E82" i="24"/>
  <c r="E153" i="24"/>
  <c r="C17" i="16"/>
  <c r="E13" i="24"/>
  <c r="E84" i="24"/>
  <c r="E155" i="24"/>
  <c r="D18" i="3"/>
  <c r="D33" i="3"/>
  <c r="E18" i="3"/>
  <c r="E33" i="3"/>
  <c r="C6" i="27"/>
  <c r="C15" i="27"/>
  <c r="D23" i="26"/>
  <c r="E23" i="26"/>
  <c r="F23" i="26"/>
  <c r="G23" i="26"/>
  <c r="H23" i="26"/>
  <c r="I23" i="26"/>
  <c r="J23" i="26"/>
  <c r="K23" i="26"/>
  <c r="L23" i="26"/>
  <c r="C23" i="26"/>
  <c r="C4" i="26"/>
  <c r="D4" i="26"/>
  <c r="E4" i="26"/>
  <c r="F4" i="26"/>
  <c r="G4" i="26"/>
  <c r="H4" i="26"/>
  <c r="I4" i="26"/>
  <c r="J4" i="26"/>
  <c r="K4" i="26"/>
  <c r="L4" i="26"/>
  <c r="G8" i="20"/>
  <c r="H8" i="20"/>
  <c r="I8" i="20"/>
  <c r="J8" i="20"/>
  <c r="K8" i="20"/>
  <c r="L8" i="20"/>
  <c r="C4" i="20"/>
  <c r="C36" i="20"/>
  <c r="E35" i="20"/>
  <c r="E30" i="6"/>
  <c r="C26" i="20"/>
  <c r="C49" i="6"/>
  <c r="H19" i="18"/>
  <c r="F32" i="20"/>
  <c r="F33" i="6"/>
  <c r="D39" i="16"/>
  <c r="F32" i="24"/>
  <c r="F103" i="24"/>
  <c r="F174" i="24"/>
  <c r="E39" i="16"/>
  <c r="G32" i="24"/>
  <c r="G103" i="24"/>
  <c r="G174" i="24"/>
  <c r="F39" i="16"/>
  <c r="H32" i="24"/>
  <c r="H103" i="24"/>
  <c r="H174" i="24"/>
  <c r="G39" i="16"/>
  <c r="I32" i="24"/>
  <c r="I103" i="24"/>
  <c r="I174" i="24"/>
  <c r="H39" i="16"/>
  <c r="J32" i="24"/>
  <c r="J103" i="24"/>
  <c r="J174" i="24"/>
  <c r="I39" i="16"/>
  <c r="K32" i="24"/>
  <c r="K103" i="24"/>
  <c r="K174" i="24"/>
  <c r="J39" i="16"/>
  <c r="L32" i="24"/>
  <c r="L103" i="24"/>
  <c r="L174" i="24"/>
  <c r="D41" i="16"/>
  <c r="F34" i="24"/>
  <c r="F105" i="24"/>
  <c r="F176" i="24"/>
  <c r="E41" i="16"/>
  <c r="G34" i="24"/>
  <c r="G105" i="24"/>
  <c r="G176" i="24"/>
  <c r="F41" i="16"/>
  <c r="H34" i="24"/>
  <c r="H105" i="24"/>
  <c r="H176" i="24"/>
  <c r="G41" i="16"/>
  <c r="I34" i="24"/>
  <c r="I105" i="24"/>
  <c r="I176" i="24"/>
  <c r="H41" i="16"/>
  <c r="J34" i="24"/>
  <c r="J105" i="24"/>
  <c r="J176" i="24"/>
  <c r="I41" i="16"/>
  <c r="K34" i="24"/>
  <c r="K105" i="24"/>
  <c r="K176" i="24"/>
  <c r="J41" i="16"/>
  <c r="L34" i="24"/>
  <c r="L105" i="24"/>
  <c r="L176" i="24"/>
  <c r="C43" i="16"/>
  <c r="E36" i="24"/>
  <c r="E107" i="24"/>
  <c r="E178" i="24"/>
  <c r="D46" i="16"/>
  <c r="F39" i="24"/>
  <c r="F110" i="24"/>
  <c r="F181" i="24"/>
  <c r="E46" i="16"/>
  <c r="G39" i="24"/>
  <c r="G110" i="24"/>
  <c r="G181" i="24"/>
  <c r="F46" i="16"/>
  <c r="H39" i="24"/>
  <c r="H110" i="24"/>
  <c r="H181" i="24"/>
  <c r="G46" i="16"/>
  <c r="I39" i="24"/>
  <c r="I110" i="24"/>
  <c r="I181" i="24"/>
  <c r="H46" i="16"/>
  <c r="J39" i="24"/>
  <c r="J110" i="24"/>
  <c r="J181" i="24"/>
  <c r="I46" i="16"/>
  <c r="K39" i="24"/>
  <c r="K110" i="24"/>
  <c r="K181" i="24"/>
  <c r="J46" i="16"/>
  <c r="L39" i="24"/>
  <c r="L110" i="24"/>
  <c r="L181" i="24"/>
  <c r="C39" i="16"/>
  <c r="E32" i="24"/>
  <c r="E103" i="24"/>
  <c r="E174" i="24"/>
  <c r="C41" i="16"/>
  <c r="E34" i="24"/>
  <c r="E105" i="24"/>
  <c r="E176" i="24"/>
  <c r="C46" i="16"/>
  <c r="E39" i="24"/>
  <c r="E110" i="24"/>
  <c r="E181" i="24"/>
  <c r="E40" i="24"/>
  <c r="E111" i="24"/>
  <c r="E182" i="24"/>
  <c r="C22" i="16"/>
  <c r="E17" i="24"/>
  <c r="E88" i="24"/>
  <c r="E159" i="24"/>
  <c r="C27" i="16"/>
  <c r="C28" i="16"/>
  <c r="C29" i="16"/>
  <c r="C30" i="16"/>
  <c r="E25" i="24"/>
  <c r="E96" i="24"/>
  <c r="E167" i="24"/>
  <c r="C31" i="16"/>
  <c r="C32" i="16"/>
  <c r="E27" i="24"/>
  <c r="E98" i="24"/>
  <c r="E169" i="24"/>
  <c r="C3" i="22"/>
  <c r="D3" i="22"/>
  <c r="E3" i="22"/>
  <c r="F3" i="22"/>
  <c r="G3" i="22"/>
  <c r="H3" i="22"/>
  <c r="I3" i="22"/>
  <c r="J3" i="22"/>
  <c r="K3" i="22"/>
  <c r="L3" i="22"/>
  <c r="C3" i="14"/>
  <c r="D31" i="7"/>
  <c r="D32" i="7"/>
  <c r="D33" i="7"/>
  <c r="D34" i="7"/>
  <c r="D35" i="7"/>
  <c r="D36" i="7"/>
  <c r="D37" i="7"/>
  <c r="D38" i="7"/>
  <c r="V31" i="7"/>
  <c r="V32" i="7"/>
  <c r="V33" i="7"/>
  <c r="V34" i="7"/>
  <c r="V35" i="7"/>
  <c r="V36" i="7"/>
  <c r="V37" i="7"/>
  <c r="V38" i="7"/>
  <c r="M31" i="7"/>
  <c r="M32" i="7"/>
  <c r="M33" i="7"/>
  <c r="M34" i="7"/>
  <c r="M35" i="7"/>
  <c r="M36" i="7"/>
  <c r="M37" i="7"/>
  <c r="M38" i="7"/>
  <c r="H4" i="15"/>
  <c r="G4" i="15"/>
  <c r="E86" i="13"/>
  <c r="E88" i="13"/>
  <c r="F88" i="13"/>
  <c r="G86" i="13"/>
  <c r="G88" i="13"/>
  <c r="H88" i="13"/>
  <c r="I86" i="13"/>
  <c r="I88" i="13"/>
  <c r="J88" i="13"/>
  <c r="K86" i="13"/>
  <c r="K88" i="13"/>
  <c r="L88" i="13"/>
  <c r="M86" i="13"/>
  <c r="N86" i="13"/>
  <c r="M88" i="13"/>
  <c r="N88" i="13"/>
  <c r="O86" i="13"/>
  <c r="P86" i="13"/>
  <c r="O88" i="13"/>
  <c r="P88" i="13"/>
  <c r="Q86" i="13"/>
  <c r="R86" i="13"/>
  <c r="Q88" i="13"/>
  <c r="R88" i="13"/>
  <c r="S86" i="13"/>
  <c r="T86" i="13"/>
  <c r="S88" i="13"/>
  <c r="T88" i="13"/>
  <c r="E2" i="24"/>
  <c r="E73" i="24"/>
  <c r="E144" i="24"/>
  <c r="C27" i="23"/>
  <c r="D27" i="23"/>
  <c r="B27" i="23"/>
  <c r="C25" i="23"/>
  <c r="D25" i="23"/>
  <c r="B25" i="23"/>
  <c r="E2" i="23"/>
  <c r="K46" i="16"/>
  <c r="L46" i="16"/>
  <c r="G41" i="15"/>
  <c r="G42" i="15"/>
  <c r="G40" i="15"/>
  <c r="I101" i="5"/>
  <c r="J101" i="5"/>
  <c r="E22" i="5"/>
  <c r="F22" i="5"/>
  <c r="E61" i="4"/>
  <c r="G22" i="5"/>
  <c r="H22" i="5"/>
  <c r="I22" i="5"/>
  <c r="J22" i="5"/>
  <c r="K41" i="16"/>
  <c r="L41" i="16"/>
  <c r="K39" i="16"/>
  <c r="L39" i="16"/>
  <c r="C18" i="22"/>
  <c r="C11" i="22"/>
  <c r="C12" i="22"/>
  <c r="C13" i="22"/>
  <c r="D18" i="22"/>
  <c r="D11" i="22"/>
  <c r="D12" i="22"/>
  <c r="D13" i="22"/>
  <c r="E18" i="22"/>
  <c r="E11" i="22"/>
  <c r="E12" i="22"/>
  <c r="E13" i="22"/>
  <c r="F18" i="22"/>
  <c r="F11" i="22"/>
  <c r="F12" i="22"/>
  <c r="F13" i="22"/>
  <c r="G18" i="22"/>
  <c r="G7" i="22"/>
  <c r="G8" i="22"/>
  <c r="G11" i="22"/>
  <c r="G12" i="22"/>
  <c r="G13" i="22"/>
  <c r="G16" i="22"/>
  <c r="G15" i="22"/>
  <c r="H18" i="22"/>
  <c r="H7" i="22"/>
  <c r="H8" i="22"/>
  <c r="H11" i="22"/>
  <c r="H12" i="22"/>
  <c r="H13" i="22"/>
  <c r="H16" i="22"/>
  <c r="H15" i="22"/>
  <c r="I18" i="22"/>
  <c r="I7" i="22"/>
  <c r="I8" i="22"/>
  <c r="I11" i="22"/>
  <c r="I12" i="22"/>
  <c r="I13" i="22"/>
  <c r="I16" i="22"/>
  <c r="I15" i="22"/>
  <c r="J18" i="22"/>
  <c r="J7" i="22"/>
  <c r="J8" i="22"/>
  <c r="J11" i="22"/>
  <c r="J12" i="22"/>
  <c r="J13" i="22"/>
  <c r="J16" i="22"/>
  <c r="J15" i="22"/>
  <c r="K18" i="22"/>
  <c r="K25" i="22"/>
  <c r="K27" i="22"/>
  <c r="U86" i="13"/>
  <c r="V86" i="13"/>
  <c r="K7" i="22"/>
  <c r="K8" i="22"/>
  <c r="K11" i="22"/>
  <c r="K12" i="22"/>
  <c r="K13" i="22"/>
  <c r="L13" i="22"/>
  <c r="M13" i="22"/>
  <c r="K16" i="22"/>
  <c r="K15" i="22"/>
  <c r="L18" i="22"/>
  <c r="L25" i="22"/>
  <c r="L27" i="22"/>
  <c r="W86" i="13"/>
  <c r="X86" i="13"/>
  <c r="L7" i="22"/>
  <c r="L8" i="22"/>
  <c r="L11" i="22"/>
  <c r="L12" i="22"/>
  <c r="L16" i="22"/>
  <c r="L15" i="22"/>
  <c r="M31" i="22"/>
  <c r="M26" i="22"/>
  <c r="M19" i="22"/>
  <c r="M20" i="22"/>
  <c r="E27" i="20"/>
  <c r="E28" i="20"/>
  <c r="H5" i="18"/>
  <c r="H6" i="18"/>
  <c r="C27" i="20"/>
  <c r="L19" i="18"/>
  <c r="L22" i="18"/>
  <c r="F19" i="18"/>
  <c r="F22" i="18"/>
  <c r="G19" i="18"/>
  <c r="F9" i="22"/>
  <c r="I19" i="18"/>
  <c r="G9" i="22"/>
  <c r="J19" i="18"/>
  <c r="H9" i="22"/>
  <c r="H6" i="22"/>
  <c r="K19" i="18"/>
  <c r="J9" i="22"/>
  <c r="M19" i="18"/>
  <c r="K9" i="22"/>
  <c r="N19" i="18"/>
  <c r="L32" i="20"/>
  <c r="L33" i="6"/>
  <c r="C33" i="6"/>
  <c r="C46" i="1"/>
  <c r="BY13" i="17"/>
  <c r="B30" i="21"/>
  <c r="A45" i="21"/>
  <c r="A46" i="21"/>
  <c r="A47" i="21"/>
  <c r="A48" i="21"/>
  <c r="A38" i="21"/>
  <c r="A39" i="21"/>
  <c r="A40" i="21"/>
  <c r="A41" i="21"/>
  <c r="C37" i="21"/>
  <c r="A31" i="21"/>
  <c r="A32" i="21"/>
  <c r="A33" i="21"/>
  <c r="A34" i="21"/>
  <c r="C30" i="21"/>
  <c r="K29" i="21"/>
  <c r="C44" i="20"/>
  <c r="J94" i="19"/>
  <c r="K43" i="20"/>
  <c r="K39" i="6"/>
  <c r="K94" i="19"/>
  <c r="L43" i="20"/>
  <c r="L39" i="6"/>
  <c r="N5" i="17"/>
  <c r="M20" i="17"/>
  <c r="W5" i="17"/>
  <c r="V18" i="17"/>
  <c r="AF5" i="17"/>
  <c r="AE20" i="17"/>
  <c r="AC20" i="17"/>
  <c r="AF20" i="17"/>
  <c r="AG20" i="17"/>
  <c r="AO5" i="17"/>
  <c r="AN18" i="17"/>
  <c r="AX5" i="17"/>
  <c r="AW20" i="17"/>
  <c r="BG5" i="17"/>
  <c r="BF18" i="17"/>
  <c r="BG18" i="17"/>
  <c r="BH18" i="17"/>
  <c r="BF19" i="17"/>
  <c r="BP5" i="17"/>
  <c r="BO18" i="17"/>
  <c r="BP18" i="17"/>
  <c r="BQ18" i="17"/>
  <c r="BO19" i="17"/>
  <c r="BP19" i="17"/>
  <c r="BQ19" i="17"/>
  <c r="BQ54" i="17"/>
  <c r="BY5" i="17"/>
  <c r="CH5" i="17"/>
  <c r="CG20" i="17"/>
  <c r="U88" i="13"/>
  <c r="V88" i="13"/>
  <c r="W88" i="13"/>
  <c r="X88" i="13"/>
  <c r="C34" i="20"/>
  <c r="G33" i="20"/>
  <c r="G32" i="6"/>
  <c r="H33" i="20"/>
  <c r="I33" i="20"/>
  <c r="J33" i="20"/>
  <c r="K33" i="20"/>
  <c r="L33" i="20"/>
  <c r="D31" i="20"/>
  <c r="D29" i="6"/>
  <c r="E31" i="20"/>
  <c r="E29" i="6"/>
  <c r="F31" i="20"/>
  <c r="F29" i="6"/>
  <c r="G31" i="20"/>
  <c r="G29" i="6"/>
  <c r="H31" i="20"/>
  <c r="H29" i="6"/>
  <c r="I31" i="20"/>
  <c r="I29" i="6"/>
  <c r="J31" i="20"/>
  <c r="J29" i="6"/>
  <c r="K31" i="20"/>
  <c r="K29" i="6"/>
  <c r="L31" i="20"/>
  <c r="L29" i="6"/>
  <c r="C31" i="20"/>
  <c r="C29" i="6"/>
  <c r="D17" i="20"/>
  <c r="E17" i="20"/>
  <c r="F17" i="20"/>
  <c r="G17" i="20"/>
  <c r="H17" i="20"/>
  <c r="I17" i="20"/>
  <c r="J17" i="20"/>
  <c r="K17" i="20"/>
  <c r="L17" i="20"/>
  <c r="C17" i="20"/>
  <c r="BY18" i="17"/>
  <c r="BY19" i="17"/>
  <c r="CG18" i="17"/>
  <c r="CH18" i="17"/>
  <c r="CH19" i="17"/>
  <c r="BO20" i="17"/>
  <c r="BG19" i="17"/>
  <c r="AX18" i="17"/>
  <c r="AX19" i="17"/>
  <c r="AO18" i="17"/>
  <c r="AO19" i="17"/>
  <c r="AF18" i="17"/>
  <c r="AF19" i="17"/>
  <c r="W18" i="17"/>
  <c r="W19" i="17"/>
  <c r="N18" i="17"/>
  <c r="N19" i="17"/>
  <c r="K104" i="19"/>
  <c r="J104" i="19"/>
  <c r="K99" i="19"/>
  <c r="J99" i="19"/>
  <c r="A104" i="19"/>
  <c r="A98" i="19"/>
  <c r="A103" i="19"/>
  <c r="A97" i="19"/>
  <c r="A102" i="19"/>
  <c r="A99" i="19"/>
  <c r="A94" i="19"/>
  <c r="AF13" i="17"/>
  <c r="E3" i="18"/>
  <c r="F3" i="18"/>
  <c r="G3" i="18"/>
  <c r="H3" i="18"/>
  <c r="I3" i="18"/>
  <c r="J3" i="18"/>
  <c r="K3" i="18"/>
  <c r="L3" i="18"/>
  <c r="M3" i="18"/>
  <c r="N3" i="18"/>
  <c r="N4" i="18"/>
  <c r="N15" i="18"/>
  <c r="M4" i="18"/>
  <c r="M15" i="18"/>
  <c r="M10" i="18"/>
  <c r="L4" i="18"/>
  <c r="L15" i="18"/>
  <c r="J14" i="22"/>
  <c r="K4" i="18"/>
  <c r="K15" i="18"/>
  <c r="J4" i="18"/>
  <c r="J15" i="18"/>
  <c r="I4" i="18"/>
  <c r="I15" i="18"/>
  <c r="I10" i="18"/>
  <c r="H15" i="18"/>
  <c r="F14" i="22"/>
  <c r="G15" i="18"/>
  <c r="E14" i="22"/>
  <c r="F15" i="18"/>
  <c r="D14" i="22"/>
  <c r="E15" i="18"/>
  <c r="C14" i="22"/>
  <c r="C17" i="18"/>
  <c r="C16" i="18"/>
  <c r="C14" i="18"/>
  <c r="C12" i="18"/>
  <c r="C11" i="18"/>
  <c r="N10" i="18"/>
  <c r="L10" i="18"/>
  <c r="J10" i="18"/>
  <c r="C7" i="18"/>
  <c r="CI88" i="17"/>
  <c r="CF55" i="17"/>
  <c r="CE20" i="17"/>
  <c r="CE21" i="17"/>
  <c r="CH11" i="17"/>
  <c r="CF74" i="17"/>
  <c r="CF75" i="17"/>
  <c r="CF76" i="17"/>
  <c r="CF77" i="17"/>
  <c r="CF78" i="17"/>
  <c r="CF79" i="17"/>
  <c r="CF80" i="17"/>
  <c r="CF81" i="17"/>
  <c r="CF82" i="17"/>
  <c r="CF83" i="17"/>
  <c r="CF84" i="17"/>
  <c r="CF85" i="17"/>
  <c r="CF86" i="17"/>
  <c r="CF87" i="17"/>
  <c r="CF88" i="17"/>
  <c r="BZ88" i="17"/>
  <c r="BW55" i="17"/>
  <c r="BW56" i="17"/>
  <c r="BW57" i="17"/>
  <c r="BV20" i="17"/>
  <c r="BY20" i="17"/>
  <c r="BY11" i="17"/>
  <c r="BW74" i="17"/>
  <c r="BW75" i="17"/>
  <c r="BW76" i="17"/>
  <c r="BW77" i="17"/>
  <c r="BW78" i="17"/>
  <c r="BW79" i="17"/>
  <c r="BW80" i="17"/>
  <c r="BW81" i="17"/>
  <c r="BW82" i="17"/>
  <c r="BW83" i="17"/>
  <c r="BW84" i="17"/>
  <c r="BW85" i="17"/>
  <c r="BW86" i="17"/>
  <c r="BW87" i="17"/>
  <c r="BW88" i="17"/>
  <c r="BQ88" i="17"/>
  <c r="BN55" i="17"/>
  <c r="BM20" i="17"/>
  <c r="BP11" i="17"/>
  <c r="BN74" i="17"/>
  <c r="BN75" i="17"/>
  <c r="BN76" i="17"/>
  <c r="BN77" i="17"/>
  <c r="BN78" i="17"/>
  <c r="BN79" i="17"/>
  <c r="BN80" i="17"/>
  <c r="BN81" i="17"/>
  <c r="BN82" i="17"/>
  <c r="BN83" i="17"/>
  <c r="BN84" i="17"/>
  <c r="BN85" i="17"/>
  <c r="BN86" i="17"/>
  <c r="BN87" i="17"/>
  <c r="BN88" i="17"/>
  <c r="BH88" i="17"/>
  <c r="BE55" i="17"/>
  <c r="BE56" i="17"/>
  <c r="BD20" i="17"/>
  <c r="BG11" i="17"/>
  <c r="BE74" i="17"/>
  <c r="BE75" i="17"/>
  <c r="BE76" i="17"/>
  <c r="BE77" i="17"/>
  <c r="BE78" i="17"/>
  <c r="BE79" i="17"/>
  <c r="BE80" i="17"/>
  <c r="BE81" i="17"/>
  <c r="BE82" i="17"/>
  <c r="BE83" i="17"/>
  <c r="BE84" i="17"/>
  <c r="BE85" i="17"/>
  <c r="BE86" i="17"/>
  <c r="BE87" i="17"/>
  <c r="BE88" i="17"/>
  <c r="AY88" i="17"/>
  <c r="AV55" i="17"/>
  <c r="AV56" i="17"/>
  <c r="AU20" i="17"/>
  <c r="AU21" i="17"/>
  <c r="AX11" i="17"/>
  <c r="AV74" i="17"/>
  <c r="AV75" i="17"/>
  <c r="AV76" i="17"/>
  <c r="AV77" i="17"/>
  <c r="AV78" i="17"/>
  <c r="AV79" i="17"/>
  <c r="AV80" i="17"/>
  <c r="AV81" i="17"/>
  <c r="AV82" i="17"/>
  <c r="AV83" i="17"/>
  <c r="AV84" i="17"/>
  <c r="AV85" i="17"/>
  <c r="AV86" i="17"/>
  <c r="AV87" i="17"/>
  <c r="AV88" i="17"/>
  <c r="AP88" i="17"/>
  <c r="AM55" i="17"/>
  <c r="AM56" i="17"/>
  <c r="AL20" i="17"/>
  <c r="AO11" i="17"/>
  <c r="AM74" i="17"/>
  <c r="AM75" i="17"/>
  <c r="AM76" i="17"/>
  <c r="AM77" i="17"/>
  <c r="AM78" i="17"/>
  <c r="AM79" i="17"/>
  <c r="AM80" i="17"/>
  <c r="AM81" i="17"/>
  <c r="AM82" i="17"/>
  <c r="AM83" i="17"/>
  <c r="AM84" i="17"/>
  <c r="AM85" i="17"/>
  <c r="AM86" i="17"/>
  <c r="AM87" i="17"/>
  <c r="AM88" i="17"/>
  <c r="AG88" i="17"/>
  <c r="AD55" i="17"/>
  <c r="AF11" i="17"/>
  <c r="AD74" i="17"/>
  <c r="AD75" i="17"/>
  <c r="AD76" i="17"/>
  <c r="AD77" i="17"/>
  <c r="AD78" i="17"/>
  <c r="AD79" i="17"/>
  <c r="AD80" i="17"/>
  <c r="AD81" i="17"/>
  <c r="AD82" i="17"/>
  <c r="AD83" i="17"/>
  <c r="AD84" i="17"/>
  <c r="AD85" i="17"/>
  <c r="AD86" i="17"/>
  <c r="AD87" i="17"/>
  <c r="AD88" i="17"/>
  <c r="X88" i="17"/>
  <c r="U55" i="17"/>
  <c r="U56" i="17"/>
  <c r="U57" i="17"/>
  <c r="U58" i="17"/>
  <c r="T20" i="17"/>
  <c r="W11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O88" i="17"/>
  <c r="L55" i="17"/>
  <c r="L56" i="17"/>
  <c r="K20" i="17"/>
  <c r="N20" i="17"/>
  <c r="N11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F88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D24" i="16"/>
  <c r="F19" i="24"/>
  <c r="F90" i="24"/>
  <c r="F161" i="24"/>
  <c r="E24" i="16"/>
  <c r="G19" i="24"/>
  <c r="G90" i="24"/>
  <c r="G161" i="24"/>
  <c r="F24" i="16"/>
  <c r="H19" i="24"/>
  <c r="H90" i="24"/>
  <c r="H161" i="24"/>
  <c r="G24" i="16"/>
  <c r="I19" i="24"/>
  <c r="I90" i="24"/>
  <c r="I161" i="24"/>
  <c r="H24" i="16"/>
  <c r="J19" i="24"/>
  <c r="J90" i="24"/>
  <c r="J161" i="24"/>
  <c r="I24" i="16"/>
  <c r="K19" i="24"/>
  <c r="K90" i="24"/>
  <c r="K161" i="24"/>
  <c r="J24" i="16"/>
  <c r="L19" i="24"/>
  <c r="L90" i="24"/>
  <c r="L161" i="24"/>
  <c r="K24" i="16"/>
  <c r="L24" i="16"/>
  <c r="C24" i="16"/>
  <c r="E19" i="24"/>
  <c r="E90" i="24"/>
  <c r="E161" i="24"/>
  <c r="C18" i="16"/>
  <c r="E14" i="24"/>
  <c r="E85" i="24"/>
  <c r="E156" i="24"/>
  <c r="C4" i="16"/>
  <c r="I39" i="15"/>
  <c r="J39" i="15"/>
  <c r="K39" i="15"/>
  <c r="L39" i="15"/>
  <c r="M39" i="15"/>
  <c r="N39" i="15"/>
  <c r="O39" i="15"/>
  <c r="P39" i="15"/>
  <c r="Q39" i="15"/>
  <c r="H39" i="15"/>
  <c r="G39" i="15"/>
  <c r="I38" i="15"/>
  <c r="J38" i="15"/>
  <c r="K38" i="15"/>
  <c r="L38" i="15"/>
  <c r="M38" i="15"/>
  <c r="N38" i="15"/>
  <c r="O38" i="15"/>
  <c r="P38" i="15"/>
  <c r="Q38" i="15"/>
  <c r="H38" i="15"/>
  <c r="G38" i="15"/>
  <c r="G33" i="15"/>
  <c r="G31" i="15"/>
  <c r="G26" i="15"/>
  <c r="G24" i="15"/>
  <c r="I23" i="15"/>
  <c r="J23" i="15"/>
  <c r="K23" i="15"/>
  <c r="L23" i="15"/>
  <c r="M23" i="15"/>
  <c r="N23" i="15"/>
  <c r="O23" i="15"/>
  <c r="P23" i="15"/>
  <c r="Q23" i="15"/>
  <c r="H23" i="15"/>
  <c r="G23" i="15"/>
  <c r="I4" i="15"/>
  <c r="J4" i="15"/>
  <c r="K4" i="15"/>
  <c r="L4" i="15"/>
  <c r="D3" i="14"/>
  <c r="E3" i="14"/>
  <c r="F3" i="14"/>
  <c r="G3" i="14"/>
  <c r="H3" i="14"/>
  <c r="I3" i="14"/>
  <c r="J3" i="14"/>
  <c r="K3" i="14"/>
  <c r="L3" i="14"/>
  <c r="E93" i="4"/>
  <c r="D78" i="13"/>
  <c r="E80" i="4"/>
  <c r="E283" i="4"/>
  <c r="D69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24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6" i="13"/>
  <c r="D62" i="13"/>
  <c r="D63" i="13"/>
  <c r="D64" i="13"/>
  <c r="D65" i="13"/>
  <c r="D66" i="13"/>
  <c r="D67" i="13"/>
  <c r="D68" i="13"/>
  <c r="D70" i="13"/>
  <c r="D71" i="13"/>
  <c r="D72" i="13"/>
  <c r="D73" i="13"/>
  <c r="D74" i="13"/>
  <c r="D75" i="13"/>
  <c r="D76" i="13"/>
  <c r="D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61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24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6" i="13"/>
  <c r="X22" i="13"/>
  <c r="X59" i="13"/>
  <c r="X77" i="13"/>
  <c r="W22" i="13"/>
  <c r="W59" i="13"/>
  <c r="W77" i="13"/>
  <c r="V22" i="13"/>
  <c r="V59" i="13"/>
  <c r="V77" i="13"/>
  <c r="U22" i="13"/>
  <c r="U59" i="13"/>
  <c r="U77" i="13"/>
  <c r="T22" i="13"/>
  <c r="T59" i="13"/>
  <c r="T77" i="13"/>
  <c r="S22" i="13"/>
  <c r="S59" i="13"/>
  <c r="S77" i="13"/>
  <c r="R22" i="13"/>
  <c r="R59" i="13"/>
  <c r="R77" i="13"/>
  <c r="Q22" i="13"/>
  <c r="Q59" i="13"/>
  <c r="Q77" i="13"/>
  <c r="P22" i="13"/>
  <c r="P59" i="13"/>
  <c r="P77" i="13"/>
  <c r="O22" i="13"/>
  <c r="O59" i="13"/>
  <c r="O77" i="13"/>
  <c r="N22" i="13"/>
  <c r="N59" i="13"/>
  <c r="N77" i="13"/>
  <c r="M22" i="13"/>
  <c r="M59" i="13"/>
  <c r="M77" i="13"/>
  <c r="K22" i="13"/>
  <c r="K59" i="13"/>
  <c r="K77" i="13"/>
  <c r="I22" i="13"/>
  <c r="I59" i="13"/>
  <c r="I77" i="13"/>
  <c r="G22" i="13"/>
  <c r="G59" i="13"/>
  <c r="G77" i="13"/>
  <c r="E22" i="13"/>
  <c r="E59" i="13"/>
  <c r="E77" i="13"/>
  <c r="D3" i="12"/>
  <c r="E3" i="12"/>
  <c r="F3" i="12"/>
  <c r="G3" i="12"/>
  <c r="H3" i="12"/>
  <c r="I3" i="12"/>
  <c r="J3" i="12"/>
  <c r="K3" i="12"/>
  <c r="L3" i="12"/>
  <c r="M3" i="12"/>
  <c r="D3" i="10"/>
  <c r="E3" i="10"/>
  <c r="E11" i="10"/>
  <c r="D3" i="9"/>
  <c r="D11" i="9"/>
  <c r="E11" i="9"/>
  <c r="F11" i="9"/>
  <c r="G11" i="9"/>
  <c r="H11" i="9"/>
  <c r="I11" i="9"/>
  <c r="J11" i="9"/>
  <c r="K11" i="9"/>
  <c r="L11" i="9"/>
  <c r="M11" i="9"/>
  <c r="W4" i="7"/>
  <c r="V12" i="7"/>
  <c r="W26" i="7"/>
  <c r="E26" i="7"/>
  <c r="AG89" i="7"/>
  <c r="AD55" i="7"/>
  <c r="AF11" i="7"/>
  <c r="AC20" i="7"/>
  <c r="AC21" i="7"/>
  <c r="AD75" i="7"/>
  <c r="AE54" i="7"/>
  <c r="U32" i="7"/>
  <c r="U33" i="7"/>
  <c r="U34" i="7"/>
  <c r="U35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W27" i="7"/>
  <c r="C32" i="7"/>
  <c r="C33" i="7"/>
  <c r="C34" i="7"/>
  <c r="C35" i="7"/>
  <c r="C36" i="7"/>
  <c r="C37" i="7"/>
  <c r="C38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E27" i="7"/>
  <c r="X6" i="7"/>
  <c r="O6" i="7"/>
  <c r="F6" i="7"/>
  <c r="I79" i="5"/>
  <c r="J79" i="5"/>
  <c r="D64" i="5"/>
  <c r="D65" i="5"/>
  <c r="E79" i="5"/>
  <c r="I60" i="5"/>
  <c r="J60" i="5"/>
  <c r="E60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C3" i="6"/>
  <c r="D3" i="6"/>
  <c r="E3" i="6"/>
  <c r="F3" i="6"/>
  <c r="G3" i="6"/>
  <c r="H3" i="6"/>
  <c r="I3" i="6"/>
  <c r="J3" i="6"/>
  <c r="K3" i="6"/>
  <c r="L3" i="6"/>
  <c r="L19" i="6"/>
  <c r="K19" i="6"/>
  <c r="J19" i="6"/>
  <c r="I19" i="6"/>
  <c r="H19" i="6"/>
  <c r="G19" i="6"/>
  <c r="F19" i="6"/>
  <c r="E19" i="6"/>
  <c r="D19" i="6"/>
  <c r="C19" i="6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N83" i="5"/>
  <c r="M83" i="5"/>
  <c r="L83" i="5"/>
  <c r="K83" i="5"/>
  <c r="J83" i="5"/>
  <c r="I83" i="5"/>
  <c r="H83" i="5"/>
  <c r="G83" i="5"/>
  <c r="F83" i="5"/>
  <c r="E83" i="5"/>
  <c r="B79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E83" i="3"/>
  <c r="D83" i="3"/>
  <c r="C83" i="3"/>
  <c r="D81" i="3"/>
  <c r="C81" i="3"/>
  <c r="D80" i="3"/>
  <c r="C80" i="3"/>
  <c r="D79" i="3"/>
  <c r="E71" i="3"/>
  <c r="D71" i="3"/>
  <c r="C71" i="3"/>
  <c r="C72" i="3"/>
  <c r="C73" i="3"/>
  <c r="D4" i="2"/>
  <c r="H12" i="2"/>
  <c r="C39" i="1"/>
  <c r="M28" i="1"/>
  <c r="D23" i="1"/>
  <c r="E23" i="1"/>
  <c r="F23" i="1"/>
  <c r="G23" i="1"/>
  <c r="H23" i="1"/>
  <c r="I23" i="1"/>
  <c r="J23" i="1"/>
  <c r="K23" i="1"/>
  <c r="L23" i="1"/>
  <c r="M23" i="1"/>
  <c r="C19" i="1"/>
  <c r="E19" i="1"/>
  <c r="F19" i="1"/>
  <c r="G19" i="1"/>
  <c r="H19" i="1"/>
  <c r="I19" i="1"/>
  <c r="J19" i="1"/>
  <c r="K19" i="1"/>
  <c r="L19" i="1"/>
  <c r="F8" i="22"/>
  <c r="F28" i="20"/>
  <c r="G5" i="8"/>
  <c r="G6" i="8"/>
  <c r="H5" i="8"/>
  <c r="H6" i="8"/>
  <c r="I5" i="8"/>
  <c r="I6" i="8"/>
  <c r="J5" i="8"/>
  <c r="J6" i="8"/>
  <c r="K5" i="8"/>
  <c r="K6" i="8"/>
  <c r="L5" i="8"/>
  <c r="L6" i="8"/>
  <c r="M5" i="8"/>
  <c r="M6" i="8"/>
  <c r="D25" i="1"/>
  <c r="E25" i="1"/>
  <c r="F25" i="1"/>
  <c r="G25" i="1"/>
  <c r="H25" i="1"/>
  <c r="I25" i="1"/>
  <c r="J25" i="1"/>
  <c r="K25" i="1"/>
  <c r="L25" i="1"/>
  <c r="M25" i="1"/>
  <c r="AE18" i="17"/>
  <c r="AH18" i="17"/>
  <c r="F7" i="22"/>
  <c r="F27" i="20"/>
  <c r="M18" i="22"/>
  <c r="L24" i="22"/>
  <c r="C35" i="26"/>
  <c r="D72" i="3"/>
  <c r="O12" i="5"/>
  <c r="AE75" i="7"/>
  <c r="X18" i="17"/>
  <c r="V19" i="17"/>
  <c r="X19" i="17"/>
  <c r="X54" i="17"/>
  <c r="AG18" i="17"/>
  <c r="AE19" i="17"/>
  <c r="AG19" i="17"/>
  <c r="AG54" i="17"/>
  <c r="AX20" i="17"/>
  <c r="AY20" i="17"/>
  <c r="C8" i="22"/>
  <c r="C40" i="16"/>
  <c r="E33" i="24"/>
  <c r="E104" i="24"/>
  <c r="E175" i="24"/>
  <c r="C35" i="20"/>
  <c r="C30" i="6"/>
  <c r="W23" i="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J32" i="6"/>
  <c r="BF20" i="17"/>
  <c r="CH20" i="17"/>
  <c r="CI20" i="17"/>
  <c r="AP18" i="17"/>
  <c r="AN19" i="17"/>
  <c r="AP19" i="17"/>
  <c r="AP54" i="17"/>
  <c r="J6" i="22"/>
  <c r="M12" i="22"/>
  <c r="D6" i="27"/>
  <c r="E6" i="27"/>
  <c r="F6" i="27"/>
  <c r="F15" i="27"/>
  <c r="K32" i="6"/>
  <c r="D8" i="22"/>
  <c r="D28" i="20"/>
  <c r="D7" i="22"/>
  <c r="D9" i="22"/>
  <c r="D6" i="22"/>
  <c r="D27" i="20"/>
  <c r="G10" i="15"/>
  <c r="C75" i="3"/>
  <c r="F65" i="13"/>
  <c r="O20" i="17"/>
  <c r="M21" i="17"/>
  <c r="M18" i="17"/>
  <c r="BH19" i="17"/>
  <c r="BH54" i="17"/>
  <c r="CG21" i="17"/>
  <c r="G6" i="22"/>
  <c r="G43" i="15"/>
  <c r="G32" i="15"/>
  <c r="G34" i="15"/>
  <c r="W18" i="7"/>
  <c r="H40" i="15"/>
  <c r="K21" i="17"/>
  <c r="N21" i="17"/>
  <c r="J10" i="22"/>
  <c r="F18" i="17"/>
  <c r="V20" i="17"/>
  <c r="AN20" i="17"/>
  <c r="AW18" i="17"/>
  <c r="AY18" i="17"/>
  <c r="AW19" i="17"/>
  <c r="AY19" i="17"/>
  <c r="AY54" i="17"/>
  <c r="E22" i="18"/>
  <c r="J22" i="18"/>
  <c r="J35" i="20"/>
  <c r="J30" i="6"/>
  <c r="C30" i="9"/>
  <c r="E88" i="3"/>
  <c r="E72" i="3"/>
  <c r="I32" i="6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E89" i="7"/>
  <c r="E80" i="13"/>
  <c r="M80" i="13"/>
  <c r="Q80" i="13"/>
  <c r="U80" i="13"/>
  <c r="AC21" i="17"/>
  <c r="AF21" i="17"/>
  <c r="AG21" i="17"/>
  <c r="AG55" i="17"/>
  <c r="G32" i="20"/>
  <c r="G33" i="6"/>
  <c r="G27" i="23"/>
  <c r="G65" i="23"/>
  <c r="G103" i="23"/>
  <c r="G79" i="5"/>
  <c r="H79" i="5"/>
  <c r="D40" i="2"/>
  <c r="G12" i="2"/>
  <c r="G3" i="13"/>
  <c r="H14" i="13"/>
  <c r="E14" i="7"/>
  <c r="E34" i="3"/>
  <c r="F62" i="13"/>
  <c r="F52" i="13"/>
  <c r="E3" i="9"/>
  <c r="F3" i="9"/>
  <c r="M3" i="21"/>
  <c r="V3" i="21"/>
  <c r="AE3" i="21"/>
  <c r="F15" i="13"/>
  <c r="F28" i="13"/>
  <c r="H24" i="13"/>
  <c r="H65" i="13"/>
  <c r="H22" i="15"/>
  <c r="G22" i="15"/>
  <c r="G30" i="15"/>
  <c r="G37" i="15"/>
  <c r="H29" i="21"/>
  <c r="H30" i="21"/>
  <c r="H31" i="21"/>
  <c r="H32" i="21"/>
  <c r="H33" i="21"/>
  <c r="H34" i="21"/>
  <c r="H35" i="21"/>
  <c r="I22" i="15"/>
  <c r="I30" i="15"/>
  <c r="I37" i="15"/>
  <c r="F50" i="13"/>
  <c r="F24" i="13"/>
  <c r="F11" i="28"/>
  <c r="C111" i="23"/>
  <c r="C73" i="23"/>
  <c r="E3" i="28"/>
  <c r="D4" i="16"/>
  <c r="D13" i="16"/>
  <c r="F9" i="24"/>
  <c r="F80" i="24"/>
  <c r="F151" i="24"/>
  <c r="D32" i="16"/>
  <c r="F27" i="24"/>
  <c r="F98" i="24"/>
  <c r="F169" i="24"/>
  <c r="D43" i="16"/>
  <c r="F36" i="24"/>
  <c r="F107" i="24"/>
  <c r="F178" i="24"/>
  <c r="D15" i="16"/>
  <c r="E15" i="16"/>
  <c r="D30" i="16"/>
  <c r="F25" i="24"/>
  <c r="F96" i="24"/>
  <c r="F167" i="24"/>
  <c r="D9" i="16"/>
  <c r="F5" i="24"/>
  <c r="F76" i="24"/>
  <c r="F147" i="24"/>
  <c r="D17" i="16"/>
  <c r="D14" i="16"/>
  <c r="F10" i="24"/>
  <c r="F81" i="24"/>
  <c r="F152" i="24"/>
  <c r="D10" i="16"/>
  <c r="D54" i="16"/>
  <c r="B63" i="23"/>
  <c r="B101" i="23"/>
  <c r="F60" i="23"/>
  <c r="F98" i="23"/>
  <c r="F96" i="23"/>
  <c r="F45" i="23"/>
  <c r="F83" i="23"/>
  <c r="G53" i="23"/>
  <c r="G91" i="23"/>
  <c r="H63" i="23"/>
  <c r="H101" i="23"/>
  <c r="H49" i="23"/>
  <c r="H87" i="23"/>
  <c r="I54" i="23"/>
  <c r="I92" i="23"/>
  <c r="I43" i="23"/>
  <c r="I81" i="23"/>
  <c r="J57" i="23"/>
  <c r="J95" i="23"/>
  <c r="J93" i="23"/>
  <c r="J51" i="23"/>
  <c r="J89" i="23"/>
  <c r="K60" i="23"/>
  <c r="K98" i="23"/>
  <c r="K96" i="23"/>
  <c r="K52" i="23"/>
  <c r="K90" i="23"/>
  <c r="K45" i="23"/>
  <c r="K83" i="23"/>
  <c r="L63" i="23"/>
  <c r="L101" i="23"/>
  <c r="L53" i="23"/>
  <c r="L91" i="23"/>
  <c r="L49" i="23"/>
  <c r="L87" i="23"/>
  <c r="L42" i="23"/>
  <c r="L80" i="23"/>
  <c r="D51" i="23"/>
  <c r="D89" i="23"/>
  <c r="D47" i="23"/>
  <c r="D85" i="23"/>
  <c r="D43" i="23"/>
  <c r="D81" i="23"/>
  <c r="D62" i="23"/>
  <c r="D100" i="23"/>
  <c r="C54" i="23"/>
  <c r="C92" i="23"/>
  <c r="C50" i="23"/>
  <c r="C88" i="23"/>
  <c r="C46" i="23"/>
  <c r="C84" i="23"/>
  <c r="C42" i="23"/>
  <c r="C62" i="23"/>
  <c r="C100" i="23"/>
  <c r="B53" i="23"/>
  <c r="B91" i="23"/>
  <c r="B49" i="23"/>
  <c r="B87" i="23"/>
  <c r="B60" i="23"/>
  <c r="B98" i="23"/>
  <c r="B96" i="23"/>
  <c r="B68" i="23"/>
  <c r="D63" i="23"/>
  <c r="D101" i="23"/>
  <c r="C65" i="23"/>
  <c r="C103" i="23"/>
  <c r="E57" i="23"/>
  <c r="E95" i="23"/>
  <c r="E93" i="23"/>
  <c r="E51" i="23"/>
  <c r="E89" i="23"/>
  <c r="E44" i="23"/>
  <c r="E82" i="23"/>
  <c r="F57" i="23"/>
  <c r="F95" i="23"/>
  <c r="F93" i="23"/>
  <c r="F51" i="23"/>
  <c r="F89" i="23"/>
  <c r="F44" i="23"/>
  <c r="F82" i="23"/>
  <c r="G60" i="23"/>
  <c r="G98" i="23"/>
  <c r="G96" i="23"/>
  <c r="G52" i="23"/>
  <c r="G90" i="23"/>
  <c r="G45" i="23"/>
  <c r="G83" i="23"/>
  <c r="H60" i="23"/>
  <c r="H98" i="23"/>
  <c r="H96" i="23"/>
  <c r="H52" i="23"/>
  <c r="H90" i="23"/>
  <c r="H45" i="23"/>
  <c r="H83" i="23"/>
  <c r="I63" i="23"/>
  <c r="I101" i="23"/>
  <c r="I53" i="23"/>
  <c r="I91" i="23"/>
  <c r="I49" i="23"/>
  <c r="I87" i="23"/>
  <c r="I42" i="23"/>
  <c r="I80" i="23"/>
  <c r="J54" i="23"/>
  <c r="J92" i="23"/>
  <c r="J50" i="23"/>
  <c r="J88" i="23"/>
  <c r="J43" i="23"/>
  <c r="J81" i="23"/>
  <c r="K57" i="23"/>
  <c r="K95" i="23"/>
  <c r="K93" i="23"/>
  <c r="K51" i="23"/>
  <c r="K89" i="23"/>
  <c r="K44" i="23"/>
  <c r="K82" i="23"/>
  <c r="L60" i="23"/>
  <c r="L98" i="23"/>
  <c r="L96" i="23"/>
  <c r="L52" i="23"/>
  <c r="L90" i="23"/>
  <c r="L45" i="23"/>
  <c r="L83" i="23"/>
  <c r="D54" i="23"/>
  <c r="D92" i="23"/>
  <c r="D50" i="23"/>
  <c r="D88" i="23"/>
  <c r="D46" i="23"/>
  <c r="D84" i="23"/>
  <c r="D42" i="23"/>
  <c r="D66" i="23"/>
  <c r="D104" i="23"/>
  <c r="E35" i="28"/>
  <c r="C53" i="23"/>
  <c r="C91" i="23"/>
  <c r="C49" i="23"/>
  <c r="C87" i="23"/>
  <c r="C45" i="23"/>
  <c r="C83" i="23"/>
  <c r="C41" i="23"/>
  <c r="C66" i="23"/>
  <c r="C104" i="23"/>
  <c r="D35" i="28"/>
  <c r="B52" i="23"/>
  <c r="B90" i="23"/>
  <c r="B48" i="23"/>
  <c r="B86" i="23"/>
  <c r="B44" i="23"/>
  <c r="B82" i="23"/>
  <c r="B57" i="23"/>
  <c r="B95" i="23"/>
  <c r="B93" i="23"/>
  <c r="C63" i="23"/>
  <c r="C101" i="23"/>
  <c r="E65" i="23"/>
  <c r="E103" i="23"/>
  <c r="E54" i="23"/>
  <c r="E92" i="23"/>
  <c r="E50" i="23"/>
  <c r="E88" i="23"/>
  <c r="E43" i="23"/>
  <c r="E81" i="23"/>
  <c r="F54" i="23"/>
  <c r="F92" i="23"/>
  <c r="F50" i="23"/>
  <c r="F88" i="23"/>
  <c r="F43" i="23"/>
  <c r="F81" i="23"/>
  <c r="G57" i="23"/>
  <c r="G95" i="23"/>
  <c r="G93" i="23"/>
  <c r="G51" i="23"/>
  <c r="G89" i="23"/>
  <c r="G44" i="23"/>
  <c r="G82" i="23"/>
  <c r="H57" i="23"/>
  <c r="H95" i="23"/>
  <c r="H93" i="23"/>
  <c r="H51" i="23"/>
  <c r="H89" i="23"/>
  <c r="H44" i="23"/>
  <c r="H82" i="23"/>
  <c r="I60" i="23"/>
  <c r="I98" i="23"/>
  <c r="I96" i="23"/>
  <c r="I52" i="23"/>
  <c r="I90" i="23"/>
  <c r="I45" i="23"/>
  <c r="I83" i="23"/>
  <c r="J63" i="23"/>
  <c r="J101" i="23"/>
  <c r="J53" i="23"/>
  <c r="J91" i="23"/>
  <c r="J49" i="23"/>
  <c r="J87" i="23"/>
  <c r="J42" i="23"/>
  <c r="J80" i="23"/>
  <c r="K54" i="23"/>
  <c r="K92" i="23"/>
  <c r="K50" i="23"/>
  <c r="K88" i="23"/>
  <c r="K43" i="23"/>
  <c r="K81" i="23"/>
  <c r="L57" i="23"/>
  <c r="L95" i="23"/>
  <c r="L93" i="23"/>
  <c r="L51" i="23"/>
  <c r="L89" i="23"/>
  <c r="L44" i="23"/>
  <c r="L82" i="23"/>
  <c r="D53" i="23"/>
  <c r="D91" i="23"/>
  <c r="D49" i="23"/>
  <c r="D87" i="23"/>
  <c r="D45" i="23"/>
  <c r="D83" i="23"/>
  <c r="D60" i="23"/>
  <c r="D98" i="23"/>
  <c r="D96" i="23"/>
  <c r="D68" i="23"/>
  <c r="C52" i="23"/>
  <c r="C90" i="23"/>
  <c r="C48" i="23"/>
  <c r="C86" i="23"/>
  <c r="C44" i="23"/>
  <c r="C82" i="23"/>
  <c r="C60" i="23"/>
  <c r="C98" i="23"/>
  <c r="C96" i="23"/>
  <c r="C68" i="23"/>
  <c r="B51" i="23"/>
  <c r="B89" i="23"/>
  <c r="B47" i="23"/>
  <c r="B85" i="23"/>
  <c r="B43" i="23"/>
  <c r="B81" i="23"/>
  <c r="B62" i="23"/>
  <c r="B100" i="23"/>
  <c r="D65" i="23"/>
  <c r="D103" i="23"/>
  <c r="E60" i="23"/>
  <c r="E98" i="23"/>
  <c r="E96" i="23"/>
  <c r="E52" i="23"/>
  <c r="E90" i="23"/>
  <c r="E45" i="23"/>
  <c r="E83" i="23"/>
  <c r="F52" i="23"/>
  <c r="F90" i="23"/>
  <c r="G63" i="23"/>
  <c r="G101" i="23"/>
  <c r="G49" i="23"/>
  <c r="G87" i="23"/>
  <c r="H53" i="23"/>
  <c r="H91" i="23"/>
  <c r="I65" i="23"/>
  <c r="I103" i="23"/>
  <c r="I50" i="23"/>
  <c r="I88" i="23"/>
  <c r="J44" i="23"/>
  <c r="J82" i="23"/>
  <c r="B45" i="23"/>
  <c r="B83" i="23"/>
  <c r="E40" i="23"/>
  <c r="E78" i="23"/>
  <c r="B65" i="23"/>
  <c r="B103" i="23"/>
  <c r="E63" i="23"/>
  <c r="E101" i="23"/>
  <c r="E53" i="23"/>
  <c r="E91" i="23"/>
  <c r="E49" i="23"/>
  <c r="E87" i="23"/>
  <c r="F63" i="23"/>
  <c r="F101" i="23"/>
  <c r="F53" i="23"/>
  <c r="F91" i="23"/>
  <c r="F49" i="23"/>
  <c r="F87" i="23"/>
  <c r="G54" i="23"/>
  <c r="G92" i="23"/>
  <c r="G50" i="23"/>
  <c r="G88" i="23"/>
  <c r="G43" i="23"/>
  <c r="G81" i="23"/>
  <c r="H54" i="23"/>
  <c r="H92" i="23"/>
  <c r="H50" i="23"/>
  <c r="H88" i="23"/>
  <c r="H43" i="23"/>
  <c r="H81" i="23"/>
  <c r="I57" i="23"/>
  <c r="I95" i="23"/>
  <c r="I93" i="23"/>
  <c r="I51" i="23"/>
  <c r="I89" i="23"/>
  <c r="I44" i="23"/>
  <c r="I82" i="23"/>
  <c r="J60" i="23"/>
  <c r="J98" i="23"/>
  <c r="J96" i="23"/>
  <c r="J52" i="23"/>
  <c r="J90" i="23"/>
  <c r="J45" i="23"/>
  <c r="J83" i="23"/>
  <c r="K63" i="23"/>
  <c r="K101" i="23"/>
  <c r="K53" i="23"/>
  <c r="K91" i="23"/>
  <c r="K49" i="23"/>
  <c r="K87" i="23"/>
  <c r="K42" i="23"/>
  <c r="K80" i="23"/>
  <c r="L54" i="23"/>
  <c r="L92" i="23"/>
  <c r="L50" i="23"/>
  <c r="L88" i="23"/>
  <c r="L43" i="23"/>
  <c r="L81" i="23"/>
  <c r="D52" i="23"/>
  <c r="D90" i="23"/>
  <c r="D48" i="23"/>
  <c r="D86" i="23"/>
  <c r="D44" i="23"/>
  <c r="D82" i="23"/>
  <c r="D57" i="23"/>
  <c r="D95" i="23"/>
  <c r="D93" i="23"/>
  <c r="C51" i="23"/>
  <c r="C89" i="23"/>
  <c r="C47" i="23"/>
  <c r="C85" i="23"/>
  <c r="C43" i="23"/>
  <c r="C81" i="23"/>
  <c r="C57" i="23"/>
  <c r="C95" i="23"/>
  <c r="C93" i="23"/>
  <c r="B54" i="23"/>
  <c r="B92" i="23"/>
  <c r="B50" i="23"/>
  <c r="B88" i="23"/>
  <c r="B46" i="23"/>
  <c r="B84" i="23"/>
  <c r="B42" i="23"/>
  <c r="B66" i="23"/>
  <c r="B104" i="23"/>
  <c r="C35" i="28"/>
  <c r="U36" i="7"/>
  <c r="AF21" i="7"/>
  <c r="AC22" i="7"/>
  <c r="U59" i="17"/>
  <c r="E48" i="17"/>
  <c r="B49" i="17"/>
  <c r="E49" i="17"/>
  <c r="K22" i="17"/>
  <c r="K14" i="22"/>
  <c r="K10" i="22"/>
  <c r="M18" i="18"/>
  <c r="K30" i="20"/>
  <c r="C10" i="22"/>
  <c r="I14" i="22"/>
  <c r="I10" i="22"/>
  <c r="K18" i="18"/>
  <c r="I30" i="20"/>
  <c r="K10" i="18"/>
  <c r="E38" i="7"/>
  <c r="W22" i="7"/>
  <c r="D21" i="9"/>
  <c r="E21" i="9"/>
  <c r="F21" i="9"/>
  <c r="G21" i="9"/>
  <c r="H21" i="9"/>
  <c r="I21" i="9"/>
  <c r="J21" i="9"/>
  <c r="K21" i="9"/>
  <c r="L21" i="9"/>
  <c r="M21" i="9"/>
  <c r="L57" i="17"/>
  <c r="AV57" i="17"/>
  <c r="C15" i="18"/>
  <c r="BG20" i="17"/>
  <c r="BD21" i="17"/>
  <c r="C88" i="3"/>
  <c r="C89" i="3"/>
  <c r="B3" i="23"/>
  <c r="B34" i="23"/>
  <c r="AD56" i="7"/>
  <c r="E22" i="7"/>
  <c r="M12" i="7"/>
  <c r="W25" i="7"/>
  <c r="W21" i="7"/>
  <c r="W14" i="7"/>
  <c r="D29" i="9"/>
  <c r="C29" i="9"/>
  <c r="AD56" i="17"/>
  <c r="AO20" i="17"/>
  <c r="AL21" i="17"/>
  <c r="F20" i="17"/>
  <c r="BE57" i="17"/>
  <c r="G14" i="22"/>
  <c r="I18" i="18"/>
  <c r="G30" i="20"/>
  <c r="W17" i="7"/>
  <c r="D19" i="1"/>
  <c r="AF20" i="7"/>
  <c r="E18" i="7"/>
  <c r="W24" i="7"/>
  <c r="W20" i="7"/>
  <c r="W35" i="7"/>
  <c r="W13" i="7"/>
  <c r="E29" i="9"/>
  <c r="D18" i="16"/>
  <c r="AC22" i="17"/>
  <c r="AX21" i="17"/>
  <c r="AU22" i="17"/>
  <c r="BP20" i="17"/>
  <c r="BQ20" i="17"/>
  <c r="BM21" i="17"/>
  <c r="E24" i="24"/>
  <c r="E95" i="24"/>
  <c r="E166" i="24"/>
  <c r="D29" i="16"/>
  <c r="AF18" i="7"/>
  <c r="AF19" i="7"/>
  <c r="AE18" i="7"/>
  <c r="L25" i="26"/>
  <c r="L35" i="20"/>
  <c r="L30" i="6"/>
  <c r="AM57" i="17"/>
  <c r="BW58" i="17"/>
  <c r="CH21" i="17"/>
  <c r="CE22" i="17"/>
  <c r="CF56" i="17"/>
  <c r="AE21" i="17"/>
  <c r="W20" i="17"/>
  <c r="T21" i="17"/>
  <c r="BN56" i="17"/>
  <c r="AW21" i="17"/>
  <c r="BF21" i="17"/>
  <c r="BX20" i="17"/>
  <c r="BX18" i="17"/>
  <c r="BZ18" i="17"/>
  <c r="BX19" i="17"/>
  <c r="BZ19" i="17"/>
  <c r="BZ54" i="17"/>
  <c r="D10" i="22"/>
  <c r="E26" i="24"/>
  <c r="E97" i="24"/>
  <c r="E168" i="24"/>
  <c r="D31" i="16"/>
  <c r="C23" i="20"/>
  <c r="D4" i="20"/>
  <c r="D23" i="20"/>
  <c r="BV21" i="17"/>
  <c r="J18" i="18"/>
  <c r="H30" i="20"/>
  <c r="H14" i="22"/>
  <c r="H10" i="22"/>
  <c r="N18" i="18"/>
  <c r="L30" i="20"/>
  <c r="L14" i="22"/>
  <c r="L10" i="22"/>
  <c r="F19" i="17"/>
  <c r="F54" i="17"/>
  <c r="O18" i="17"/>
  <c r="M19" i="17"/>
  <c r="O19" i="17"/>
  <c r="O54" i="17"/>
  <c r="E10" i="22"/>
  <c r="E27" i="17"/>
  <c r="H32" i="6"/>
  <c r="L32" i="6"/>
  <c r="CI18" i="17"/>
  <c r="CG19" i="17"/>
  <c r="CI19" i="17"/>
  <c r="CI54" i="17"/>
  <c r="AE12" i="21"/>
  <c r="E7" i="7"/>
  <c r="L18" i="18"/>
  <c r="J30" i="20"/>
  <c r="G10" i="22"/>
  <c r="G15" i="15"/>
  <c r="G16" i="15"/>
  <c r="H25" i="26"/>
  <c r="J27" i="23"/>
  <c r="H35" i="20"/>
  <c r="H30" i="6"/>
  <c r="I32" i="20"/>
  <c r="I33" i="6"/>
  <c r="I9" i="22"/>
  <c r="K22" i="18"/>
  <c r="E32" i="20"/>
  <c r="E33" i="6"/>
  <c r="E9" i="22"/>
  <c r="G22" i="18"/>
  <c r="K6" i="22"/>
  <c r="K24" i="22"/>
  <c r="M11" i="22"/>
  <c r="F2" i="24"/>
  <c r="D2" i="24"/>
  <c r="D22" i="16"/>
  <c r="H32" i="20"/>
  <c r="H33" i="6"/>
  <c r="L9" i="22"/>
  <c r="L6" i="22"/>
  <c r="N22" i="18"/>
  <c r="D32" i="20"/>
  <c r="D33" i="6"/>
  <c r="I6" i="22"/>
  <c r="F10" i="22"/>
  <c r="H32" i="13"/>
  <c r="I3" i="13"/>
  <c r="J67" i="13"/>
  <c r="H50" i="13"/>
  <c r="H12" i="13"/>
  <c r="H63" i="13"/>
  <c r="I22" i="18"/>
  <c r="C9" i="22"/>
  <c r="E23" i="24"/>
  <c r="E94" i="24"/>
  <c r="E165" i="24"/>
  <c r="D28" i="16"/>
  <c r="F23" i="24"/>
  <c r="F94" i="24"/>
  <c r="F165" i="24"/>
  <c r="K32" i="20"/>
  <c r="K33" i="6"/>
  <c r="M22" i="18"/>
  <c r="H22" i="18"/>
  <c r="D27" i="16"/>
  <c r="F22" i="24"/>
  <c r="F93" i="24"/>
  <c r="F164" i="24"/>
  <c r="E22" i="24"/>
  <c r="E93" i="24"/>
  <c r="E164" i="24"/>
  <c r="J32" i="20"/>
  <c r="J33" i="6"/>
  <c r="D18" i="29"/>
  <c r="G25" i="26"/>
  <c r="G35" i="20"/>
  <c r="G30" i="6"/>
  <c r="C35" i="6"/>
  <c r="C26" i="16"/>
  <c r="H19" i="13"/>
  <c r="H7" i="13"/>
  <c r="F57" i="13"/>
  <c r="F53" i="13"/>
  <c r="F49" i="13"/>
  <c r="F45" i="13"/>
  <c r="F41" i="13"/>
  <c r="F37" i="13"/>
  <c r="F33" i="13"/>
  <c r="F29" i="13"/>
  <c r="F25" i="13"/>
  <c r="F74" i="13"/>
  <c r="F70" i="13"/>
  <c r="H66" i="13"/>
  <c r="H62" i="13"/>
  <c r="E34" i="2"/>
  <c r="E346" i="4"/>
  <c r="J6" i="29"/>
  <c r="I18" i="29"/>
  <c r="J22" i="15"/>
  <c r="J30" i="15"/>
  <c r="J37" i="15"/>
  <c r="H18" i="13"/>
  <c r="H10" i="13"/>
  <c r="F6" i="13"/>
  <c r="H52" i="13"/>
  <c r="F48" i="13"/>
  <c r="H40" i="13"/>
  <c r="H36" i="13"/>
  <c r="F32" i="13"/>
  <c r="AE55" i="7"/>
  <c r="K35" i="20"/>
  <c r="K30" i="6"/>
  <c r="F15" i="28"/>
  <c r="F30" i="28"/>
  <c r="F42" i="28"/>
  <c r="F56" i="28"/>
  <c r="F64" i="28"/>
  <c r="F71" i="28"/>
  <c r="F89" i="28"/>
  <c r="F95" i="28"/>
  <c r="F100" i="28"/>
  <c r="AE85" i="7"/>
  <c r="L27" i="23"/>
  <c r="E18" i="29"/>
  <c r="H20" i="13"/>
  <c r="H8" i="13"/>
  <c r="H73" i="13"/>
  <c r="H61" i="13"/>
  <c r="H44" i="13"/>
  <c r="C92" i="13"/>
  <c r="D92" i="13"/>
  <c r="E92" i="13"/>
  <c r="F92" i="13"/>
  <c r="F44" i="13"/>
  <c r="F73" i="13"/>
  <c r="H55" i="13"/>
  <c r="H51" i="13"/>
  <c r="H47" i="13"/>
  <c r="H43" i="13"/>
  <c r="H39" i="13"/>
  <c r="H35" i="13"/>
  <c r="H31" i="13"/>
  <c r="D35" i="20"/>
  <c r="D30" i="6"/>
  <c r="D15" i="27"/>
  <c r="F27" i="23"/>
  <c r="C18" i="29"/>
  <c r="H16" i="13"/>
  <c r="H6" i="13"/>
  <c r="H69" i="13"/>
  <c r="H56" i="13"/>
  <c r="F56" i="13"/>
  <c r="F40" i="13"/>
  <c r="F54" i="13"/>
  <c r="H46" i="13"/>
  <c r="F42" i="13"/>
  <c r="F38" i="13"/>
  <c r="H30" i="13"/>
  <c r="F26" i="13"/>
  <c r="H28" i="13"/>
  <c r="F36" i="13"/>
  <c r="O37" i="5"/>
  <c r="O33" i="5"/>
  <c r="H57" i="13"/>
  <c r="H25" i="13"/>
  <c r="N45" i="5"/>
  <c r="L31" i="5"/>
  <c r="K31" i="5"/>
  <c r="O8" i="5"/>
  <c r="O31" i="5"/>
  <c r="O20" i="5"/>
  <c r="O16" i="5"/>
  <c r="O41" i="5"/>
  <c r="L27" i="5"/>
  <c r="M27" i="5"/>
  <c r="N27" i="5"/>
  <c r="O27" i="5"/>
  <c r="O51" i="5"/>
  <c r="O17" i="5"/>
  <c r="O9" i="5"/>
  <c r="N78" i="5"/>
  <c r="O39" i="5"/>
  <c r="O21" i="5"/>
  <c r="O13" i="5"/>
  <c r="H70" i="13"/>
  <c r="H49" i="13"/>
  <c r="H41" i="13"/>
  <c r="H33" i="13"/>
  <c r="F18" i="13"/>
  <c r="H53" i="13"/>
  <c r="F66" i="13"/>
  <c r="N43" i="5"/>
  <c r="H74" i="13"/>
  <c r="H45" i="13"/>
  <c r="H37" i="13"/>
  <c r="H29" i="13"/>
  <c r="C38" i="16"/>
  <c r="F6" i="22"/>
  <c r="C6" i="18"/>
  <c r="O56" i="5"/>
  <c r="M59" i="5"/>
  <c r="C5" i="18"/>
  <c r="H4" i="18"/>
  <c r="C7" i="22"/>
  <c r="C6" i="22"/>
  <c r="M49" i="5"/>
  <c r="L41" i="5"/>
  <c r="N37" i="5"/>
  <c r="M41" i="5"/>
  <c r="N72" i="5"/>
  <c r="N33" i="5"/>
  <c r="M33" i="5"/>
  <c r="O52" i="5"/>
  <c r="E7" i="22"/>
  <c r="L6" i="5"/>
  <c r="O14" i="5"/>
  <c r="L43" i="5"/>
  <c r="E8" i="22"/>
  <c r="M8" i="22"/>
  <c r="O44" i="5"/>
  <c r="O36" i="5"/>
  <c r="M74" i="5"/>
  <c r="M40" i="5"/>
  <c r="E34" i="17"/>
  <c r="E42" i="17"/>
  <c r="E28" i="17"/>
  <c r="E38" i="17"/>
  <c r="E30" i="17"/>
  <c r="E44" i="17"/>
  <c r="E26" i="17"/>
  <c r="E36" i="17"/>
  <c r="E46" i="17"/>
  <c r="E40" i="17"/>
  <c r="E32" i="17"/>
  <c r="E24" i="17"/>
  <c r="E47" i="17"/>
  <c r="E45" i="17"/>
  <c r="E43" i="17"/>
  <c r="E41" i="17"/>
  <c r="E37" i="17"/>
  <c r="E33" i="17"/>
  <c r="E29" i="17"/>
  <c r="E25" i="17"/>
  <c r="F21" i="17"/>
  <c r="F55" i="17"/>
  <c r="E23" i="17"/>
  <c r="E39" i="17"/>
  <c r="E35" i="17"/>
  <c r="E62" i="17"/>
  <c r="F80" i="17"/>
  <c r="E31" i="17"/>
  <c r="F40" i="2"/>
  <c r="C12" i="10"/>
  <c r="I12" i="2"/>
  <c r="G25" i="15"/>
  <c r="G27" i="15"/>
  <c r="E89" i="3"/>
  <c r="E26" i="28"/>
  <c r="D3" i="23"/>
  <c r="E25" i="28"/>
  <c r="O59" i="5"/>
  <c r="O47" i="5"/>
  <c r="O40" i="5"/>
  <c r="N59" i="5"/>
  <c r="M43" i="5"/>
  <c r="L33" i="5"/>
  <c r="K41" i="5"/>
  <c r="O43" i="5"/>
  <c r="L47" i="5"/>
  <c r="K87" i="13"/>
  <c r="M4" i="15"/>
  <c r="L22" i="15"/>
  <c r="L30" i="15"/>
  <c r="L37" i="15"/>
  <c r="B37" i="21"/>
  <c r="B31" i="21"/>
  <c r="B32" i="21"/>
  <c r="B33" i="21"/>
  <c r="B34" i="21"/>
  <c r="F29" i="9"/>
  <c r="G3" i="9"/>
  <c r="E4" i="2"/>
  <c r="F4" i="2"/>
  <c r="F348" i="4"/>
  <c r="D11" i="10"/>
  <c r="C11" i="10"/>
  <c r="F3" i="10"/>
  <c r="K22" i="15"/>
  <c r="K30" i="15"/>
  <c r="K37" i="15"/>
  <c r="D2" i="23"/>
  <c r="F2" i="23"/>
  <c r="G6" i="27"/>
  <c r="D73" i="17"/>
  <c r="N4" i="17"/>
  <c r="F25" i="26"/>
  <c r="H27" i="23"/>
  <c r="AE74" i="7"/>
  <c r="AE82" i="7"/>
  <c r="AE88" i="7"/>
  <c r="AE76" i="7"/>
  <c r="F1" i="19"/>
  <c r="I25" i="26"/>
  <c r="K27" i="23"/>
  <c r="H3" i="28"/>
  <c r="G15" i="28"/>
  <c r="G30" i="28"/>
  <c r="G42" i="28"/>
  <c r="G56" i="28"/>
  <c r="G64" i="28"/>
  <c r="G71" i="28"/>
  <c r="G89" i="28"/>
  <c r="G95" i="28"/>
  <c r="G100" i="28"/>
  <c r="I82" i="13"/>
  <c r="G89" i="13"/>
  <c r="J33" i="13"/>
  <c r="F82" i="13"/>
  <c r="E89" i="13"/>
  <c r="H21" i="13"/>
  <c r="H17" i="13"/>
  <c r="H13" i="13"/>
  <c r="H9" i="13"/>
  <c r="F20" i="13"/>
  <c r="F16" i="13"/>
  <c r="F12" i="13"/>
  <c r="F69" i="13"/>
  <c r="F61" i="13"/>
  <c r="M68" i="5"/>
  <c r="O76" i="5"/>
  <c r="O68" i="5"/>
  <c r="L68" i="5"/>
  <c r="N71" i="5"/>
  <c r="L59" i="5"/>
  <c r="L40" i="5"/>
  <c r="O49" i="5"/>
  <c r="O53" i="5"/>
  <c r="N49" i="5"/>
  <c r="N35" i="5"/>
  <c r="M56" i="5"/>
  <c r="L49" i="5"/>
  <c r="K57" i="5"/>
  <c r="H38" i="13"/>
  <c r="F46" i="13"/>
  <c r="O57" i="5"/>
  <c r="L28" i="5"/>
  <c r="M28" i="5"/>
  <c r="N28" i="5"/>
  <c r="O28" i="5"/>
  <c r="N57" i="5"/>
  <c r="L57" i="5"/>
  <c r="H54" i="13"/>
  <c r="F30" i="13"/>
  <c r="N53" i="5"/>
  <c r="L56" i="5"/>
  <c r="K47" i="5"/>
  <c r="H34" i="13"/>
  <c r="F34" i="13"/>
  <c r="F10" i="13"/>
  <c r="N13" i="17"/>
  <c r="P19" i="17"/>
  <c r="W13" i="17"/>
  <c r="CH13" i="17"/>
  <c r="CJ21" i="17"/>
  <c r="CK21" i="17"/>
  <c r="AF13" i="7"/>
  <c r="E13" i="17"/>
  <c r="AO13" i="17"/>
  <c r="AX13" i="17"/>
  <c r="AZ19" i="17"/>
  <c r="BP13" i="17"/>
  <c r="BR20" i="17"/>
  <c r="BG13" i="17"/>
  <c r="D12" i="21"/>
  <c r="F18" i="29"/>
  <c r="H18" i="29"/>
  <c r="G18" i="29"/>
  <c r="AI18" i="17"/>
  <c r="AJ18" i="17"/>
  <c r="AH19" i="17"/>
  <c r="CA49" i="17"/>
  <c r="CA20" i="17"/>
  <c r="AH49" i="17"/>
  <c r="P20" i="17"/>
  <c r="AH21" i="17"/>
  <c r="AH20" i="17"/>
  <c r="M12" i="21"/>
  <c r="V12" i="21"/>
  <c r="CJ18" i="17"/>
  <c r="M14" i="5"/>
  <c r="F11" i="13"/>
  <c r="O18" i="5"/>
  <c r="O6" i="5"/>
  <c r="F19" i="13"/>
  <c r="O10" i="5"/>
  <c r="L12" i="5"/>
  <c r="H11" i="13"/>
  <c r="M12" i="5"/>
  <c r="L20" i="5"/>
  <c r="L8" i="5"/>
  <c r="H15" i="13"/>
  <c r="M20" i="5"/>
  <c r="M8" i="5"/>
  <c r="L16" i="5"/>
  <c r="F7" i="13"/>
  <c r="M16" i="5"/>
  <c r="M6" i="5"/>
  <c r="L14" i="5"/>
  <c r="M87" i="13"/>
  <c r="T87" i="13"/>
  <c r="R87" i="13"/>
  <c r="I80" i="13"/>
  <c r="O80" i="13"/>
  <c r="S80" i="13"/>
  <c r="G80" i="13"/>
  <c r="K80" i="13"/>
  <c r="W80" i="13"/>
  <c r="P87" i="13"/>
  <c r="Q87" i="13"/>
  <c r="U87" i="13"/>
  <c r="X87" i="13"/>
  <c r="S87" i="13"/>
  <c r="O87" i="13"/>
  <c r="O66" i="5"/>
  <c r="N70" i="5"/>
  <c r="N76" i="5"/>
  <c r="O74" i="5"/>
  <c r="M76" i="5"/>
  <c r="L76" i="5"/>
  <c r="K74" i="5"/>
  <c r="H67" i="13"/>
  <c r="O70" i="5"/>
  <c r="N74" i="5"/>
  <c r="N67" i="5"/>
  <c r="M70" i="5"/>
  <c r="H76" i="13"/>
  <c r="H71" i="13"/>
  <c r="O78" i="5"/>
  <c r="D77" i="13"/>
  <c r="L70" i="5"/>
  <c r="K78" i="5"/>
  <c r="H75" i="13"/>
  <c r="O72" i="5"/>
  <c r="N66" i="5"/>
  <c r="M66" i="5"/>
  <c r="L66" i="5"/>
  <c r="N75" i="5"/>
  <c r="M72" i="5"/>
  <c r="L72" i="5"/>
  <c r="N68" i="5"/>
  <c r="M78" i="5"/>
  <c r="H68" i="13"/>
  <c r="H64" i="13"/>
  <c r="M48" i="5"/>
  <c r="M32" i="5"/>
  <c r="L48" i="5"/>
  <c r="L32" i="5"/>
  <c r="O48" i="5"/>
  <c r="N51" i="5"/>
  <c r="N29" i="5"/>
  <c r="V87" i="13"/>
  <c r="M55" i="5"/>
  <c r="M44" i="5"/>
  <c r="M39" i="5"/>
  <c r="L52" i="5"/>
  <c r="L36" i="5"/>
  <c r="N87" i="13"/>
  <c r="H58" i="13"/>
  <c r="H42" i="13"/>
  <c r="H26" i="13"/>
  <c r="O55" i="5"/>
  <c r="O32" i="5"/>
  <c r="O35" i="5"/>
  <c r="M51" i="5"/>
  <c r="M35" i="5"/>
  <c r="L51" i="5"/>
  <c r="L35" i="5"/>
  <c r="K55" i="5"/>
  <c r="K39" i="5"/>
  <c r="J30" i="13"/>
  <c r="M53" i="5"/>
  <c r="M37" i="5"/>
  <c r="L45" i="5"/>
  <c r="L29" i="5"/>
  <c r="I98" i="5"/>
  <c r="G22" i="26"/>
  <c r="F55" i="13"/>
  <c r="F51" i="13"/>
  <c r="F47" i="13"/>
  <c r="F43" i="13"/>
  <c r="F39" i="13"/>
  <c r="F35" i="13"/>
  <c r="F31" i="13"/>
  <c r="F27" i="13"/>
  <c r="E98" i="5"/>
  <c r="C22" i="26"/>
  <c r="O45" i="5"/>
  <c r="M29" i="5"/>
  <c r="O29" i="5"/>
  <c r="W87" i="13"/>
  <c r="M52" i="5"/>
  <c r="M47" i="5"/>
  <c r="M36" i="5"/>
  <c r="M31" i="5"/>
  <c r="L55" i="5"/>
  <c r="L44" i="5"/>
  <c r="L39" i="5"/>
  <c r="J98" i="5"/>
  <c r="H22" i="26"/>
  <c r="I87" i="13"/>
  <c r="F58" i="13"/>
  <c r="M45" i="5"/>
  <c r="L53" i="5"/>
  <c r="L37" i="5"/>
  <c r="G87" i="13"/>
  <c r="E87" i="13"/>
  <c r="N11" i="5"/>
  <c r="C83" i="13"/>
  <c r="N7" i="5"/>
  <c r="F21" i="13"/>
  <c r="F17" i="13"/>
  <c r="F13" i="13"/>
  <c r="F9" i="13"/>
  <c r="N19" i="5"/>
  <c r="F8" i="13"/>
  <c r="D22" i="5"/>
  <c r="D22" i="13"/>
  <c r="N15" i="5"/>
  <c r="M18" i="5"/>
  <c r="M10" i="5"/>
  <c r="L18" i="5"/>
  <c r="L10" i="5"/>
  <c r="O77" i="5"/>
  <c r="O73" i="5"/>
  <c r="O69" i="5"/>
  <c r="L65" i="5"/>
  <c r="M65" i="5"/>
  <c r="N65" i="5"/>
  <c r="O65" i="5"/>
  <c r="M77" i="5"/>
  <c r="M73" i="5"/>
  <c r="M69" i="5"/>
  <c r="L77" i="5"/>
  <c r="L73" i="5"/>
  <c r="L69" i="5"/>
  <c r="F76" i="13"/>
  <c r="F72" i="13"/>
  <c r="F68" i="13"/>
  <c r="F64" i="13"/>
  <c r="N77" i="5"/>
  <c r="N73" i="5"/>
  <c r="N69" i="5"/>
  <c r="M64" i="5"/>
  <c r="L64" i="5"/>
  <c r="F75" i="13"/>
  <c r="F71" i="13"/>
  <c r="F67" i="13"/>
  <c r="F63" i="13"/>
  <c r="H72" i="13"/>
  <c r="O75" i="5"/>
  <c r="O71" i="5"/>
  <c r="O67" i="5"/>
  <c r="M75" i="5"/>
  <c r="M71" i="5"/>
  <c r="M67" i="5"/>
  <c r="L75" i="5"/>
  <c r="L71" i="5"/>
  <c r="L67" i="5"/>
  <c r="N58" i="5"/>
  <c r="N54" i="5"/>
  <c r="N50" i="5"/>
  <c r="N46" i="5"/>
  <c r="N42" i="5"/>
  <c r="N38" i="5"/>
  <c r="N34" i="5"/>
  <c r="N30" i="5"/>
  <c r="J31" i="13"/>
  <c r="E103" i="5"/>
  <c r="O58" i="5"/>
  <c r="O54" i="5"/>
  <c r="O50" i="5"/>
  <c r="O46" i="5"/>
  <c r="O42" i="5"/>
  <c r="O38" i="5"/>
  <c r="O34" i="5"/>
  <c r="O30" i="5"/>
  <c r="M58" i="5"/>
  <c r="M54" i="5"/>
  <c r="M50" i="5"/>
  <c r="M46" i="5"/>
  <c r="M42" i="5"/>
  <c r="M38" i="5"/>
  <c r="M34" i="5"/>
  <c r="M30" i="5"/>
  <c r="L58" i="5"/>
  <c r="L54" i="5"/>
  <c r="L50" i="5"/>
  <c r="L46" i="5"/>
  <c r="L42" i="5"/>
  <c r="L38" i="5"/>
  <c r="L34" i="5"/>
  <c r="L30" i="5"/>
  <c r="H27" i="13"/>
  <c r="D60" i="5"/>
  <c r="D59" i="13"/>
  <c r="N56" i="5"/>
  <c r="N52" i="5"/>
  <c r="N48" i="5"/>
  <c r="N44" i="5"/>
  <c r="N40" i="5"/>
  <c r="N36" i="5"/>
  <c r="N32" i="5"/>
  <c r="N64" i="5"/>
  <c r="O100" i="5"/>
  <c r="E285" i="4"/>
  <c r="C6" i="31"/>
  <c r="N18" i="5"/>
  <c r="N14" i="5"/>
  <c r="N10" i="5"/>
  <c r="N6" i="5"/>
  <c r="M19" i="5"/>
  <c r="M15" i="5"/>
  <c r="M11" i="5"/>
  <c r="M7" i="5"/>
  <c r="L19" i="5"/>
  <c r="L15" i="5"/>
  <c r="L11" i="5"/>
  <c r="L7" i="5"/>
  <c r="K20" i="5"/>
  <c r="K16" i="5"/>
  <c r="K12" i="5"/>
  <c r="K8" i="5"/>
  <c r="O19" i="5"/>
  <c r="O15" i="5"/>
  <c r="O11" i="5"/>
  <c r="O7" i="5"/>
  <c r="N21" i="5"/>
  <c r="N17" i="5"/>
  <c r="N13" i="5"/>
  <c r="N9" i="5"/>
  <c r="M21" i="5"/>
  <c r="M17" i="5"/>
  <c r="M13" i="5"/>
  <c r="M9" i="5"/>
  <c r="L21" i="5"/>
  <c r="L17" i="5"/>
  <c r="L13" i="5"/>
  <c r="L9" i="5"/>
  <c r="O86" i="5"/>
  <c r="D93" i="5"/>
  <c r="E25" i="7"/>
  <c r="E21" i="7"/>
  <c r="E17" i="7"/>
  <c r="E13" i="7"/>
  <c r="E31" i="7"/>
  <c r="E24" i="7"/>
  <c r="E37" i="7"/>
  <c r="E20" i="7"/>
  <c r="E16" i="7"/>
  <c r="E33" i="7"/>
  <c r="E23" i="7"/>
  <c r="E19" i="7"/>
  <c r="E15" i="7"/>
  <c r="E32" i="7"/>
  <c r="W16" i="7"/>
  <c r="W33" i="7"/>
  <c r="W12" i="7"/>
  <c r="W31" i="7"/>
  <c r="W19" i="7"/>
  <c r="W34" i="7"/>
  <c r="W15" i="7"/>
  <c r="E73" i="3"/>
  <c r="E76" i="3"/>
  <c r="O84" i="5"/>
  <c r="D83" i="5"/>
  <c r="C36" i="26"/>
  <c r="D73" i="3"/>
  <c r="D34" i="3"/>
  <c r="C34" i="23"/>
  <c r="C36" i="23"/>
  <c r="D91" i="3"/>
  <c r="D34" i="2"/>
  <c r="A8" i="19"/>
  <c r="A22" i="19"/>
  <c r="A48" i="19"/>
  <c r="A62" i="19"/>
  <c r="A76" i="19"/>
  <c r="A21" i="19"/>
  <c r="A47" i="19"/>
  <c r="A61" i="19"/>
  <c r="A75" i="19"/>
  <c r="AZ20" i="17"/>
  <c r="E35" i="7"/>
  <c r="J47" i="13"/>
  <c r="J13" i="13"/>
  <c r="J58" i="13"/>
  <c r="Y19" i="17"/>
  <c r="Z19" i="17"/>
  <c r="AA19" i="17"/>
  <c r="J54" i="13"/>
  <c r="AE83" i="7"/>
  <c r="AE78" i="7"/>
  <c r="E58" i="17"/>
  <c r="F76" i="17"/>
  <c r="AE81" i="7"/>
  <c r="AW22" i="17"/>
  <c r="AZ22" i="17"/>
  <c r="BO21" i="17"/>
  <c r="BR21" i="17"/>
  <c r="BS21" i="17"/>
  <c r="BT21" i="17"/>
  <c r="CG22" i="17"/>
  <c r="C4" i="31"/>
  <c r="C8" i="31"/>
  <c r="D40" i="16"/>
  <c r="E40" i="16"/>
  <c r="AZ49" i="17"/>
  <c r="J24" i="13"/>
  <c r="AE80" i="7"/>
  <c r="AE84" i="7"/>
  <c r="AE77" i="7"/>
  <c r="J72" i="13"/>
  <c r="E15" i="27"/>
  <c r="H48" i="13"/>
  <c r="J16" i="13"/>
  <c r="J75" i="13"/>
  <c r="CJ49" i="17"/>
  <c r="CJ20" i="17"/>
  <c r="CK20" i="17"/>
  <c r="AZ18" i="17"/>
  <c r="BA18" i="17"/>
  <c r="BB18" i="17"/>
  <c r="J65" i="13"/>
  <c r="AE87" i="7"/>
  <c r="AE79" i="7"/>
  <c r="AE86" i="7"/>
  <c r="E63" i="17"/>
  <c r="F81" i="17"/>
  <c r="J28" i="13"/>
  <c r="M9" i="22"/>
  <c r="F33" i="24"/>
  <c r="F104" i="24"/>
  <c r="F175" i="24"/>
  <c r="E4" i="20"/>
  <c r="AH18" i="7"/>
  <c r="AG18" i="7"/>
  <c r="AE19" i="7"/>
  <c r="AH19" i="7"/>
  <c r="E27" i="16"/>
  <c r="G22" i="24"/>
  <c r="G93" i="24"/>
  <c r="G164" i="24"/>
  <c r="M22" i="17"/>
  <c r="N22" i="17"/>
  <c r="M23" i="17"/>
  <c r="O21" i="17"/>
  <c r="O55" i="17"/>
  <c r="D38" i="16"/>
  <c r="F31" i="24"/>
  <c r="F102" i="24"/>
  <c r="F173" i="24"/>
  <c r="E34" i="7"/>
  <c r="BR49" i="17"/>
  <c r="AE22" i="17"/>
  <c r="AH22" i="17"/>
  <c r="M14" i="22"/>
  <c r="M10" i="22"/>
  <c r="E36" i="7"/>
  <c r="C28" i="14"/>
  <c r="C29" i="14"/>
  <c r="C31" i="14"/>
  <c r="C13" i="20"/>
  <c r="C7" i="6"/>
  <c r="C25" i="28"/>
  <c r="E75" i="3"/>
  <c r="H30" i="15"/>
  <c r="H37" i="15"/>
  <c r="J35" i="13"/>
  <c r="J51" i="13"/>
  <c r="J20" i="13"/>
  <c r="J17" i="13"/>
  <c r="J46" i="13"/>
  <c r="J63" i="13"/>
  <c r="J19" i="13"/>
  <c r="J11" i="13"/>
  <c r="J18" i="13"/>
  <c r="J38" i="13"/>
  <c r="J34" i="13"/>
  <c r="J50" i="13"/>
  <c r="J6" i="13"/>
  <c r="J56" i="13"/>
  <c r="J25" i="13"/>
  <c r="J48" i="13"/>
  <c r="J44" i="13"/>
  <c r="J74" i="13"/>
  <c r="J39" i="13"/>
  <c r="J55" i="13"/>
  <c r="J8" i="13"/>
  <c r="J21" i="13"/>
  <c r="J26" i="13"/>
  <c r="J7" i="13"/>
  <c r="K3" i="13"/>
  <c r="L31" i="13"/>
  <c r="J49" i="13"/>
  <c r="J69" i="13"/>
  <c r="J40" i="13"/>
  <c r="J57" i="13"/>
  <c r="J14" i="13"/>
  <c r="J27" i="13"/>
  <c r="J43" i="13"/>
  <c r="J12" i="13"/>
  <c r="J9" i="13"/>
  <c r="J42" i="13"/>
  <c r="J71" i="13"/>
  <c r="J15" i="13"/>
  <c r="J70" i="13"/>
  <c r="J41" i="13"/>
  <c r="J62" i="13"/>
  <c r="J32" i="13"/>
  <c r="J73" i="13"/>
  <c r="J37" i="13"/>
  <c r="J45" i="13"/>
  <c r="J64" i="13"/>
  <c r="J29" i="13"/>
  <c r="J36" i="13"/>
  <c r="J76" i="13"/>
  <c r="G11" i="28"/>
  <c r="J66" i="13"/>
  <c r="J53" i="13"/>
  <c r="J68" i="13"/>
  <c r="C91" i="3"/>
  <c r="C26" i="28"/>
  <c r="B80" i="23"/>
  <c r="D80" i="23"/>
  <c r="C80" i="23"/>
  <c r="C72" i="23"/>
  <c r="C74" i="23"/>
  <c r="C106" i="23"/>
  <c r="E15" i="28"/>
  <c r="E30" i="28"/>
  <c r="E42" i="28"/>
  <c r="E56" i="28"/>
  <c r="E64" i="28"/>
  <c r="E71" i="28"/>
  <c r="E89" i="28"/>
  <c r="E95" i="28"/>
  <c r="E100" i="28"/>
  <c r="D3" i="28"/>
  <c r="E13" i="16"/>
  <c r="F11" i="24"/>
  <c r="F82" i="24"/>
  <c r="F153" i="24"/>
  <c r="E43" i="16"/>
  <c r="F43" i="16"/>
  <c r="E31" i="24"/>
  <c r="E102" i="24"/>
  <c r="E173" i="24"/>
  <c r="E14" i="16"/>
  <c r="G10" i="24"/>
  <c r="G81" i="24"/>
  <c r="G152" i="24"/>
  <c r="E9" i="16"/>
  <c r="F9" i="16"/>
  <c r="E32" i="16"/>
  <c r="E4" i="16"/>
  <c r="E30" i="16"/>
  <c r="F13" i="24"/>
  <c r="F84" i="24"/>
  <c r="F155" i="24"/>
  <c r="E17" i="16"/>
  <c r="F47" i="24"/>
  <c r="F118" i="24"/>
  <c r="F189" i="24"/>
  <c r="E54" i="16"/>
  <c r="F6" i="24"/>
  <c r="F77" i="24"/>
  <c r="F148" i="24"/>
  <c r="E10" i="16"/>
  <c r="G2" i="24"/>
  <c r="F73" i="24"/>
  <c r="F144" i="24"/>
  <c r="C2" i="24"/>
  <c r="D73" i="24"/>
  <c r="D144" i="24"/>
  <c r="H65" i="23"/>
  <c r="H103" i="23"/>
  <c r="L65" i="23"/>
  <c r="L103" i="23"/>
  <c r="K65" i="23"/>
  <c r="K103" i="23"/>
  <c r="F65" i="23"/>
  <c r="F103" i="23"/>
  <c r="D34" i="23"/>
  <c r="D41" i="23"/>
  <c r="D72" i="23"/>
  <c r="C79" i="23"/>
  <c r="D4" i="28"/>
  <c r="J65" i="23"/>
  <c r="J103" i="23"/>
  <c r="B41" i="23"/>
  <c r="B72" i="23"/>
  <c r="G2" i="23"/>
  <c r="F40" i="23"/>
  <c r="F78" i="23"/>
  <c r="C2" i="23"/>
  <c r="D40" i="23"/>
  <c r="D78" i="23"/>
  <c r="CJ22" i="17"/>
  <c r="CK22" i="17"/>
  <c r="CL22" i="17"/>
  <c r="D9" i="29"/>
  <c r="J9" i="29"/>
  <c r="G9" i="29"/>
  <c r="H9" i="29"/>
  <c r="E9" i="29"/>
  <c r="I9" i="29"/>
  <c r="K9" i="29"/>
  <c r="F9" i="29"/>
  <c r="C9" i="29"/>
  <c r="L9" i="29"/>
  <c r="BD22" i="17"/>
  <c r="BG21" i="17"/>
  <c r="BH21" i="17"/>
  <c r="BH55" i="17"/>
  <c r="L58" i="17"/>
  <c r="F17" i="24"/>
  <c r="F88" i="24"/>
  <c r="F159" i="24"/>
  <c r="E22" i="16"/>
  <c r="AX22" i="17"/>
  <c r="AY22" i="17"/>
  <c r="AU23" i="17"/>
  <c r="AO21" i="17"/>
  <c r="AL22" i="17"/>
  <c r="D35" i="23"/>
  <c r="G9" i="24"/>
  <c r="G80" i="24"/>
  <c r="G151" i="24"/>
  <c r="F13" i="16"/>
  <c r="W21" i="17"/>
  <c r="T22" i="17"/>
  <c r="CH22" i="17"/>
  <c r="CE23" i="17"/>
  <c r="BE58" i="17"/>
  <c r="AN21" i="17"/>
  <c r="AN22" i="17"/>
  <c r="AP20" i="17"/>
  <c r="BH20" i="17"/>
  <c r="AV58" i="17"/>
  <c r="BR19" i="17"/>
  <c r="Y49" i="17"/>
  <c r="Y20" i="17"/>
  <c r="Z20" i="17"/>
  <c r="E56" i="17"/>
  <c r="F74" i="17"/>
  <c r="E59" i="17"/>
  <c r="F77" i="17"/>
  <c r="E66" i="17"/>
  <c r="F84" i="17"/>
  <c r="BX21" i="17"/>
  <c r="BY21" i="17"/>
  <c r="BZ21" i="17"/>
  <c r="BZ55" i="17"/>
  <c r="BZ20" i="17"/>
  <c r="V21" i="17"/>
  <c r="X20" i="17"/>
  <c r="X21" i="17"/>
  <c r="X55" i="17"/>
  <c r="CF57" i="17"/>
  <c r="AM58" i="17"/>
  <c r="AY21" i="17"/>
  <c r="AY55" i="17"/>
  <c r="F24" i="24"/>
  <c r="F95" i="24"/>
  <c r="F166" i="24"/>
  <c r="E29" i="16"/>
  <c r="BP21" i="17"/>
  <c r="BQ21" i="17"/>
  <c r="BQ55" i="17"/>
  <c r="BM22" i="17"/>
  <c r="AF22" i="17"/>
  <c r="AE23" i="17"/>
  <c r="AC23" i="17"/>
  <c r="AD57" i="17"/>
  <c r="AD57" i="7"/>
  <c r="AE56" i="7"/>
  <c r="B35" i="23"/>
  <c r="K23" i="17"/>
  <c r="BV22" i="17"/>
  <c r="BF22" i="17"/>
  <c r="BI22" i="17"/>
  <c r="BJ22" i="17"/>
  <c r="BK22" i="17"/>
  <c r="O12" i="7"/>
  <c r="M13" i="7"/>
  <c r="E57" i="17"/>
  <c r="F75" i="17"/>
  <c r="G12" i="7"/>
  <c r="N7" i="7"/>
  <c r="W7" i="7"/>
  <c r="Y12" i="7"/>
  <c r="Z12" i="7"/>
  <c r="F26" i="24"/>
  <c r="F97" i="24"/>
  <c r="F168" i="24"/>
  <c r="E31" i="16"/>
  <c r="AW23" i="17"/>
  <c r="BN57" i="17"/>
  <c r="F23" i="17"/>
  <c r="F56" i="17"/>
  <c r="E75" i="17"/>
  <c r="F14" i="24"/>
  <c r="F85" i="24"/>
  <c r="F156" i="24"/>
  <c r="E18" i="16"/>
  <c r="E69" i="17"/>
  <c r="F87" i="17"/>
  <c r="W32" i="7"/>
  <c r="E28" i="16"/>
  <c r="G23" i="24"/>
  <c r="G94" i="24"/>
  <c r="G165" i="24"/>
  <c r="L39" i="13"/>
  <c r="CJ19" i="17"/>
  <c r="BR18" i="17"/>
  <c r="BS18" i="17"/>
  <c r="BT18" i="17"/>
  <c r="Y18" i="17"/>
  <c r="Z18" i="17"/>
  <c r="CL21" i="17"/>
  <c r="CA18" i="17"/>
  <c r="CA19" i="17"/>
  <c r="CB19" i="17"/>
  <c r="CC19" i="17"/>
  <c r="E60" i="17"/>
  <c r="F78" i="17"/>
  <c r="E54" i="17"/>
  <c r="E61" i="17"/>
  <c r="F79" i="17"/>
  <c r="E67" i="17"/>
  <c r="F85" i="17"/>
  <c r="E21" i="24"/>
  <c r="E92" i="24"/>
  <c r="E163" i="24"/>
  <c r="D36" i="20"/>
  <c r="D35" i="6"/>
  <c r="D26" i="16"/>
  <c r="J61" i="13"/>
  <c r="J52" i="13"/>
  <c r="J10" i="13"/>
  <c r="G11" i="24"/>
  <c r="G82" i="24"/>
  <c r="G153" i="24"/>
  <c r="F15" i="16"/>
  <c r="CI21" i="17"/>
  <c r="CI55" i="17"/>
  <c r="BW59" i="17"/>
  <c r="E55" i="17"/>
  <c r="O22" i="17"/>
  <c r="U60" i="17"/>
  <c r="AF22" i="7"/>
  <c r="AC23" i="7"/>
  <c r="W36" i="7"/>
  <c r="U37" i="7"/>
  <c r="L46" i="13"/>
  <c r="L19" i="13"/>
  <c r="BI49" i="17"/>
  <c r="BJ49" i="17"/>
  <c r="BK49" i="17"/>
  <c r="E91" i="3"/>
  <c r="F88" i="5"/>
  <c r="L72" i="13"/>
  <c r="L51" i="13"/>
  <c r="L15" i="13"/>
  <c r="P21" i="17"/>
  <c r="Q21" i="17"/>
  <c r="R21" i="17"/>
  <c r="L50" i="13"/>
  <c r="K6" i="29"/>
  <c r="J18" i="29"/>
  <c r="F60" i="5"/>
  <c r="C80" i="16"/>
  <c r="M7" i="22"/>
  <c r="M6" i="22"/>
  <c r="F79" i="5"/>
  <c r="H85" i="13"/>
  <c r="E6" i="22"/>
  <c r="E68" i="17"/>
  <c r="F86" i="17"/>
  <c r="G23" i="17"/>
  <c r="H23" i="17"/>
  <c r="I23" i="17"/>
  <c r="E64" i="17"/>
  <c r="F82" i="17"/>
  <c r="E65" i="17"/>
  <c r="F83" i="17"/>
  <c r="E74" i="17"/>
  <c r="D35" i="26"/>
  <c r="O83" i="5"/>
  <c r="J82" i="13"/>
  <c r="I89" i="13"/>
  <c r="K82" i="13"/>
  <c r="W4" i="17"/>
  <c r="M7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H3" i="9"/>
  <c r="G29" i="9"/>
  <c r="D18" i="9"/>
  <c r="D30" i="9"/>
  <c r="P18" i="17"/>
  <c r="G18" i="17"/>
  <c r="P22" i="17"/>
  <c r="Q22" i="17"/>
  <c r="H3" i="5"/>
  <c r="I3" i="28"/>
  <c r="H15" i="28"/>
  <c r="H30" i="28"/>
  <c r="H42" i="28"/>
  <c r="H56" i="28"/>
  <c r="H64" i="28"/>
  <c r="H71" i="28"/>
  <c r="H89" i="28"/>
  <c r="H95" i="28"/>
  <c r="H100" i="28"/>
  <c r="L71" i="13"/>
  <c r="D74" i="17"/>
  <c r="B44" i="21"/>
  <c r="B38" i="21"/>
  <c r="B39" i="21"/>
  <c r="B40" i="21"/>
  <c r="B41" i="21"/>
  <c r="P49" i="17"/>
  <c r="Q49" i="17"/>
  <c r="R49" i="17"/>
  <c r="L41" i="13"/>
  <c r="L49" i="13"/>
  <c r="L74" i="13"/>
  <c r="L16" i="13"/>
  <c r="L44" i="13"/>
  <c r="L52" i="13"/>
  <c r="L8" i="13"/>
  <c r="L18" i="13"/>
  <c r="L56" i="13"/>
  <c r="L73" i="13"/>
  <c r="L45" i="13"/>
  <c r="L62" i="13"/>
  <c r="L70" i="13"/>
  <c r="L10" i="13"/>
  <c r="L32" i="13"/>
  <c r="L24" i="13"/>
  <c r="L11" i="13"/>
  <c r="L75" i="13"/>
  <c r="G3" i="10"/>
  <c r="F11" i="10"/>
  <c r="F349" i="4"/>
  <c r="E23" i="20"/>
  <c r="F4" i="20"/>
  <c r="G92" i="13"/>
  <c r="G1" i="19"/>
  <c r="L34" i="13"/>
  <c r="L58" i="13"/>
  <c r="H6" i="27"/>
  <c r="G15" i="27"/>
  <c r="N4" i="15"/>
  <c r="M22" i="15"/>
  <c r="M30" i="15"/>
  <c r="M37" i="15"/>
  <c r="H84" i="13"/>
  <c r="BI21" i="17"/>
  <c r="BJ21" i="17"/>
  <c r="BK21" i="17"/>
  <c r="BI18" i="17"/>
  <c r="G19" i="17"/>
  <c r="H19" i="17"/>
  <c r="I19" i="17"/>
  <c r="BI19" i="17"/>
  <c r="BJ19" i="17"/>
  <c r="BK19" i="17"/>
  <c r="AZ21" i="17"/>
  <c r="BA21" i="17"/>
  <c r="BB21" i="17"/>
  <c r="Y21" i="17"/>
  <c r="G20" i="17"/>
  <c r="G49" i="17"/>
  <c r="H49" i="17"/>
  <c r="I49" i="17"/>
  <c r="BI20" i="17"/>
  <c r="BJ20" i="17"/>
  <c r="AQ22" i="17"/>
  <c r="AQ49" i="17"/>
  <c r="AQ19" i="17"/>
  <c r="AQ21" i="17"/>
  <c r="AQ20" i="17"/>
  <c r="AQ18" i="17"/>
  <c r="Q19" i="17"/>
  <c r="R19" i="17"/>
  <c r="E36" i="26"/>
  <c r="CB18" i="17"/>
  <c r="CB20" i="17"/>
  <c r="AI49" i="17"/>
  <c r="CB49" i="17"/>
  <c r="AI19" i="17"/>
  <c r="AJ19" i="17"/>
  <c r="BA22" i="17"/>
  <c r="BS19" i="17"/>
  <c r="BT19" i="17"/>
  <c r="Q18" i="17"/>
  <c r="CK18" i="17"/>
  <c r="CK19" i="17"/>
  <c r="CL19" i="17"/>
  <c r="BA19" i="17"/>
  <c r="BB19" i="17"/>
  <c r="BS20" i="17"/>
  <c r="AI22" i="17"/>
  <c r="AI21" i="17"/>
  <c r="AJ21" i="17"/>
  <c r="CK49" i="17"/>
  <c r="CL49" i="17"/>
  <c r="BA20" i="17"/>
  <c r="BA49" i="17"/>
  <c r="BB49" i="17"/>
  <c r="BS49" i="17"/>
  <c r="BT49" i="17"/>
  <c r="Z49" i="17"/>
  <c r="AI20" i="17"/>
  <c r="AJ20" i="17"/>
  <c r="Q20" i="17"/>
  <c r="H22" i="13"/>
  <c r="F22" i="13"/>
  <c r="H86" i="13"/>
  <c r="H101" i="5"/>
  <c r="H77" i="13"/>
  <c r="H89" i="13"/>
  <c r="H60" i="5"/>
  <c r="F59" i="13"/>
  <c r="G60" i="5"/>
  <c r="F89" i="13"/>
  <c r="F85" i="13"/>
  <c r="F84" i="13"/>
  <c r="O22" i="5"/>
  <c r="F77" i="13"/>
  <c r="F86" i="13"/>
  <c r="O64" i="5"/>
  <c r="H59" i="13"/>
  <c r="O105" i="5"/>
  <c r="L22" i="5"/>
  <c r="M22" i="5"/>
  <c r="N22" i="5"/>
  <c r="K22" i="5"/>
  <c r="C34" i="26"/>
  <c r="C33" i="26"/>
  <c r="C5" i="26"/>
  <c r="F12" i="7"/>
  <c r="D13" i="7"/>
  <c r="X12" i="7"/>
  <c r="V13" i="7"/>
  <c r="AI18" i="7"/>
  <c r="AJ18" i="7"/>
  <c r="AG19" i="7"/>
  <c r="F27" i="16"/>
  <c r="H22" i="24"/>
  <c r="H93" i="24"/>
  <c r="H164" i="24"/>
  <c r="D36" i="26"/>
  <c r="D75" i="3"/>
  <c r="D76" i="3"/>
  <c r="A9" i="19"/>
  <c r="A23" i="19"/>
  <c r="A49" i="19"/>
  <c r="A63" i="19"/>
  <c r="A77" i="19"/>
  <c r="E4" i="31"/>
  <c r="C11" i="31"/>
  <c r="F4" i="31"/>
  <c r="G22" i="17"/>
  <c r="H22" i="17"/>
  <c r="G5" i="24"/>
  <c r="G76" i="24"/>
  <c r="G147" i="24"/>
  <c r="BO22" i="17"/>
  <c r="BP22" i="17"/>
  <c r="BO23" i="17"/>
  <c r="E88" i="5"/>
  <c r="F40" i="16"/>
  <c r="G33" i="24"/>
  <c r="G104" i="24"/>
  <c r="G175" i="24"/>
  <c r="J77" i="13"/>
  <c r="J59" i="13"/>
  <c r="V22" i="17"/>
  <c r="W22" i="17"/>
  <c r="V23" i="17"/>
  <c r="G21" i="17"/>
  <c r="H21" i="17"/>
  <c r="G98" i="5"/>
  <c r="E22" i="26"/>
  <c r="C12" i="26"/>
  <c r="C5" i="14"/>
  <c r="C4" i="14"/>
  <c r="H25" i="15"/>
  <c r="H7" i="15"/>
  <c r="L53" i="13"/>
  <c r="L65" i="13"/>
  <c r="L37" i="13"/>
  <c r="L29" i="13"/>
  <c r="L40" i="13"/>
  <c r="L69" i="13"/>
  <c r="L36" i="13"/>
  <c r="L66" i="13"/>
  <c r="L33" i="13"/>
  <c r="L6" i="13"/>
  <c r="L35" i="13"/>
  <c r="L17" i="13"/>
  <c r="L63" i="13"/>
  <c r="L47" i="13"/>
  <c r="L9" i="13"/>
  <c r="L67" i="13"/>
  <c r="M3" i="13"/>
  <c r="O3" i="13"/>
  <c r="Q3" i="13"/>
  <c r="S3" i="13"/>
  <c r="U3" i="13"/>
  <c r="W3" i="13"/>
  <c r="L48" i="13"/>
  <c r="L20" i="13"/>
  <c r="L12" i="13"/>
  <c r="L25" i="13"/>
  <c r="L61" i="13"/>
  <c r="L28" i="13"/>
  <c r="L57" i="13"/>
  <c r="L26" i="13"/>
  <c r="L21" i="13"/>
  <c r="L68" i="13"/>
  <c r="J86" i="13"/>
  <c r="J89" i="13"/>
  <c r="J85" i="13"/>
  <c r="J22" i="13"/>
  <c r="L27" i="13"/>
  <c r="L43" i="13"/>
  <c r="L64" i="13"/>
  <c r="L7" i="13"/>
  <c r="L13" i="13"/>
  <c r="L54" i="13"/>
  <c r="L38" i="13"/>
  <c r="L42" i="13"/>
  <c r="L14" i="13"/>
  <c r="L30" i="13"/>
  <c r="L55" i="13"/>
  <c r="L76" i="13"/>
  <c r="H11" i="28"/>
  <c r="D36" i="23"/>
  <c r="D39" i="28"/>
  <c r="D23" i="28"/>
  <c r="D12" i="28"/>
  <c r="D65" i="28"/>
  <c r="D46" i="28"/>
  <c r="D16" i="28"/>
  <c r="C99" i="23"/>
  <c r="C102" i="23"/>
  <c r="C105" i="23"/>
  <c r="C107" i="23"/>
  <c r="H26" i="28"/>
  <c r="L26" i="28"/>
  <c r="I26" i="28"/>
  <c r="M26" i="28"/>
  <c r="J26" i="28"/>
  <c r="F26" i="28"/>
  <c r="G26" i="28"/>
  <c r="K26" i="28"/>
  <c r="I25" i="28"/>
  <c r="M25" i="28"/>
  <c r="J25" i="28"/>
  <c r="F25" i="28"/>
  <c r="G25" i="28"/>
  <c r="K25" i="28"/>
  <c r="H25" i="28"/>
  <c r="L25" i="28"/>
  <c r="B111" i="23"/>
  <c r="B73" i="23"/>
  <c r="B74" i="23"/>
  <c r="B106" i="23"/>
  <c r="C110" i="23"/>
  <c r="D5" i="28"/>
  <c r="D73" i="23"/>
  <c r="D74" i="23"/>
  <c r="D106" i="23"/>
  <c r="D111" i="23"/>
  <c r="C3" i="28"/>
  <c r="C15" i="28"/>
  <c r="C30" i="28"/>
  <c r="C42" i="28"/>
  <c r="C56" i="28"/>
  <c r="C64" i="28"/>
  <c r="C71" i="28"/>
  <c r="C89" i="28"/>
  <c r="C95" i="28"/>
  <c r="C100" i="28"/>
  <c r="D15" i="28"/>
  <c r="D30" i="28"/>
  <c r="D42" i="28"/>
  <c r="D56" i="28"/>
  <c r="D64" i="28"/>
  <c r="D71" i="28"/>
  <c r="D89" i="28"/>
  <c r="D95" i="28"/>
  <c r="D100" i="28"/>
  <c r="G36" i="24"/>
  <c r="G107" i="24"/>
  <c r="G178" i="24"/>
  <c r="F4" i="16"/>
  <c r="F14" i="16"/>
  <c r="G14" i="16"/>
  <c r="G27" i="24"/>
  <c r="G98" i="24"/>
  <c r="G169" i="24"/>
  <c r="F32" i="16"/>
  <c r="E38" i="16"/>
  <c r="F28" i="16"/>
  <c r="H23" i="24"/>
  <c r="H94" i="24"/>
  <c r="H165" i="24"/>
  <c r="F30" i="16"/>
  <c r="G25" i="24"/>
  <c r="G96" i="24"/>
  <c r="G167" i="24"/>
  <c r="G6" i="24"/>
  <c r="G77" i="24"/>
  <c r="G148" i="24"/>
  <c r="F10" i="16"/>
  <c r="G13" i="24"/>
  <c r="G84" i="24"/>
  <c r="G155" i="24"/>
  <c r="F17" i="16"/>
  <c r="G47" i="24"/>
  <c r="G118" i="24"/>
  <c r="G189" i="24"/>
  <c r="F54" i="16"/>
  <c r="C82" i="16"/>
  <c r="C87" i="16"/>
  <c r="B2" i="24"/>
  <c r="B73" i="24"/>
  <c r="B144" i="24"/>
  <c r="C73" i="24"/>
  <c r="C144" i="24"/>
  <c r="H2" i="24"/>
  <c r="G73" i="24"/>
  <c r="G144" i="24"/>
  <c r="D79" i="23"/>
  <c r="B36" i="23"/>
  <c r="B79" i="23"/>
  <c r="B2" i="23"/>
  <c r="C78" i="23"/>
  <c r="C40" i="23"/>
  <c r="H2" i="23"/>
  <c r="G78" i="23"/>
  <c r="G40" i="23"/>
  <c r="P23" i="17"/>
  <c r="Q23" i="17"/>
  <c r="R23" i="17"/>
  <c r="F73" i="17"/>
  <c r="E73" i="17"/>
  <c r="AH23" i="17"/>
  <c r="G26" i="24"/>
  <c r="G97" i="24"/>
  <c r="G168" i="24"/>
  <c r="F31" i="16"/>
  <c r="T23" i="17"/>
  <c r="AP21" i="17"/>
  <c r="AP55" i="17"/>
  <c r="CH23" i="17"/>
  <c r="CE24" i="17"/>
  <c r="F22" i="17"/>
  <c r="G17" i="24"/>
  <c r="G88" i="24"/>
  <c r="G159" i="24"/>
  <c r="F22" i="16"/>
  <c r="L59" i="17"/>
  <c r="BD23" i="17"/>
  <c r="BG22" i="17"/>
  <c r="BF23" i="17"/>
  <c r="CI22" i="17"/>
  <c r="AZ23" i="17"/>
  <c r="N23" i="17"/>
  <c r="O23" i="17"/>
  <c r="O56" i="17"/>
  <c r="K24" i="17"/>
  <c r="BM23" i="17"/>
  <c r="CF58" i="17"/>
  <c r="BX22" i="17"/>
  <c r="CA21" i="17"/>
  <c r="J84" i="13"/>
  <c r="BJ18" i="17"/>
  <c r="BK18" i="17"/>
  <c r="BW60" i="17"/>
  <c r="AG22" i="17"/>
  <c r="E26" i="16"/>
  <c r="F21" i="24"/>
  <c r="F92" i="24"/>
  <c r="F163" i="24"/>
  <c r="E36" i="20"/>
  <c r="E35" i="6"/>
  <c r="G14" i="24"/>
  <c r="G85" i="24"/>
  <c r="G156" i="24"/>
  <c r="F18" i="16"/>
  <c r="P13" i="7"/>
  <c r="Q13" i="7"/>
  <c r="R13" i="7"/>
  <c r="O13" i="7"/>
  <c r="BY22" i="17"/>
  <c r="BV23" i="17"/>
  <c r="AE57" i="7"/>
  <c r="AD58" i="7"/>
  <c r="Y22" i="17"/>
  <c r="BE59" i="17"/>
  <c r="AX23" i="17"/>
  <c r="AW24" i="17"/>
  <c r="AU24" i="17"/>
  <c r="CG23" i="17"/>
  <c r="W37" i="7"/>
  <c r="U38" i="7"/>
  <c r="W38" i="7"/>
  <c r="U61" i="17"/>
  <c r="H11" i="24"/>
  <c r="H82" i="24"/>
  <c r="H153" i="24"/>
  <c r="G15" i="16"/>
  <c r="AF23" i="7"/>
  <c r="AC24" i="7"/>
  <c r="H5" i="24"/>
  <c r="H76" i="24"/>
  <c r="H147" i="24"/>
  <c r="G9" i="16"/>
  <c r="BN58" i="17"/>
  <c r="P12" i="7"/>
  <c r="AD58" i="17"/>
  <c r="AF23" i="17"/>
  <c r="AE24" i="17"/>
  <c r="AC24" i="17"/>
  <c r="G24" i="24"/>
  <c r="G95" i="24"/>
  <c r="G166" i="24"/>
  <c r="F29" i="16"/>
  <c r="AM59" i="17"/>
  <c r="H36" i="24"/>
  <c r="H107" i="24"/>
  <c r="H178" i="24"/>
  <c r="G43" i="16"/>
  <c r="AV59" i="17"/>
  <c r="H9" i="24"/>
  <c r="H80" i="24"/>
  <c r="H151" i="24"/>
  <c r="G13" i="16"/>
  <c r="AO22" i="17"/>
  <c r="AP22" i="17"/>
  <c r="AL23" i="17"/>
  <c r="L6" i="29"/>
  <c r="L18" i="29"/>
  <c r="K18" i="29"/>
  <c r="D80" i="16"/>
  <c r="D28" i="14"/>
  <c r="G56" i="17"/>
  <c r="D24" i="17"/>
  <c r="G24" i="17"/>
  <c r="H24" i="17"/>
  <c r="B48" i="19" a="1"/>
  <c r="C48" i="19"/>
  <c r="G54" i="17"/>
  <c r="H18" i="17"/>
  <c r="H54" i="17"/>
  <c r="D25" i="17"/>
  <c r="F25" i="17"/>
  <c r="F57" i="17"/>
  <c r="E76" i="17"/>
  <c r="H56" i="17"/>
  <c r="E35" i="26"/>
  <c r="H92" i="13"/>
  <c r="G11" i="10"/>
  <c r="H3" i="10"/>
  <c r="B45" i="21"/>
  <c r="B46" i="21"/>
  <c r="B47" i="21"/>
  <c r="B48" i="21"/>
  <c r="I3" i="5"/>
  <c r="H81" i="5"/>
  <c r="H29" i="9"/>
  <c r="I3" i="9"/>
  <c r="M82" i="13"/>
  <c r="K89" i="13"/>
  <c r="L82" i="13"/>
  <c r="D75" i="17"/>
  <c r="M74" i="17"/>
  <c r="O4" i="15"/>
  <c r="N22" i="15"/>
  <c r="N30" i="15"/>
  <c r="N37" i="15"/>
  <c r="I6" i="27"/>
  <c r="H15" i="27"/>
  <c r="H1" i="19"/>
  <c r="F23" i="20"/>
  <c r="G4" i="20"/>
  <c r="J3" i="28"/>
  <c r="I15" i="28"/>
  <c r="I30" i="28"/>
  <c r="I42" i="28"/>
  <c r="I56" i="28"/>
  <c r="I64" i="28"/>
  <c r="I71" i="28"/>
  <c r="I89" i="28"/>
  <c r="I95" i="28"/>
  <c r="I100" i="28"/>
  <c r="AF4" i="17"/>
  <c r="V7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AR20" i="17"/>
  <c r="AR49" i="17"/>
  <c r="AS49" i="17"/>
  <c r="H20" i="17"/>
  <c r="I20" i="17"/>
  <c r="Z21" i="17"/>
  <c r="AA21" i="17"/>
  <c r="AR21" i="17"/>
  <c r="AS21" i="17"/>
  <c r="AR22" i="17"/>
  <c r="AS22" i="17"/>
  <c r="AR19" i="17"/>
  <c r="AA49" i="17"/>
  <c r="AA18" i="17"/>
  <c r="AR18" i="17"/>
  <c r="AS18" i="17"/>
  <c r="F36" i="26"/>
  <c r="AA20" i="17"/>
  <c r="CC20" i="17"/>
  <c r="CC18" i="17"/>
  <c r="BK20" i="17"/>
  <c r="CC49" i="17"/>
  <c r="AJ49" i="17"/>
  <c r="CL20" i="17"/>
  <c r="AJ22" i="17"/>
  <c r="R20" i="17"/>
  <c r="I22" i="17"/>
  <c r="CL18" i="17"/>
  <c r="R18" i="17"/>
  <c r="R22" i="17"/>
  <c r="BB22" i="17"/>
  <c r="BB20" i="17"/>
  <c r="BT20" i="17"/>
  <c r="H98" i="5"/>
  <c r="F22" i="26"/>
  <c r="H106" i="5"/>
  <c r="I106" i="5"/>
  <c r="J106" i="5"/>
  <c r="H87" i="13"/>
  <c r="F87" i="13"/>
  <c r="F98" i="5"/>
  <c r="D22" i="26"/>
  <c r="G13" i="7"/>
  <c r="G31" i="7"/>
  <c r="F13" i="7"/>
  <c r="H12" i="7"/>
  <c r="X13" i="7"/>
  <c r="Y13" i="7"/>
  <c r="AA12" i="7"/>
  <c r="AI19" i="7"/>
  <c r="AE20" i="7"/>
  <c r="AG54" i="7"/>
  <c r="G27" i="16"/>
  <c r="I22" i="24"/>
  <c r="I93" i="24"/>
  <c r="I164" i="24"/>
  <c r="E93" i="5"/>
  <c r="G9" i="12"/>
  <c r="A24" i="19"/>
  <c r="A50" i="19"/>
  <c r="A64" i="19"/>
  <c r="A78" i="19"/>
  <c r="A10" i="19"/>
  <c r="F24" i="17"/>
  <c r="D48" i="19"/>
  <c r="L48" i="19"/>
  <c r="J48" i="19"/>
  <c r="BR22" i="17"/>
  <c r="X22" i="17"/>
  <c r="H10" i="24"/>
  <c r="H81" i="24"/>
  <c r="H152" i="24"/>
  <c r="I18" i="17"/>
  <c r="I21" i="17"/>
  <c r="G55" i="17"/>
  <c r="I48" i="19"/>
  <c r="B93" i="19" a="1"/>
  <c r="E93" i="19"/>
  <c r="E10" i="23"/>
  <c r="E48" i="23"/>
  <c r="E86" i="23"/>
  <c r="G40" i="16"/>
  <c r="H33" i="24"/>
  <c r="H104" i="24"/>
  <c r="H175" i="24"/>
  <c r="D8" i="10"/>
  <c r="E28" i="14"/>
  <c r="E29" i="14"/>
  <c r="I11" i="28"/>
  <c r="J11" i="28"/>
  <c r="Q48" i="19"/>
  <c r="P48" i="19"/>
  <c r="G48" i="19"/>
  <c r="B48" i="19"/>
  <c r="N48" i="19"/>
  <c r="E3" i="23"/>
  <c r="E41" i="23"/>
  <c r="E79" i="23"/>
  <c r="F4" i="28"/>
  <c r="C11" i="26"/>
  <c r="D9" i="10"/>
  <c r="H12" i="15"/>
  <c r="C23" i="16"/>
  <c r="E18" i="24"/>
  <c r="E89" i="24"/>
  <c r="E160" i="24"/>
  <c r="D12" i="26"/>
  <c r="L85" i="13"/>
  <c r="J87" i="13"/>
  <c r="L22" i="13"/>
  <c r="L77" i="13"/>
  <c r="L59" i="13"/>
  <c r="L84" i="13"/>
  <c r="L86" i="13"/>
  <c r="C112" i="23"/>
  <c r="D103" i="28"/>
  <c r="E4" i="28"/>
  <c r="E16" i="28"/>
  <c r="D99" i="23"/>
  <c r="C41" i="24"/>
  <c r="C68" i="24"/>
  <c r="C67" i="24"/>
  <c r="C4" i="28"/>
  <c r="C16" i="28"/>
  <c r="B99" i="23"/>
  <c r="D110" i="23"/>
  <c r="E5" i="28"/>
  <c r="D21" i="28"/>
  <c r="C114" i="23"/>
  <c r="D7" i="28"/>
  <c r="B110" i="23"/>
  <c r="C5" i="28"/>
  <c r="D85" i="16"/>
  <c r="C42" i="16"/>
  <c r="C44" i="16"/>
  <c r="G28" i="16"/>
  <c r="I23" i="24"/>
  <c r="I94" i="24"/>
  <c r="I165" i="24"/>
  <c r="F38" i="16"/>
  <c r="G32" i="16"/>
  <c r="H27" i="24"/>
  <c r="H98" i="24"/>
  <c r="H169" i="24"/>
  <c r="G4" i="16"/>
  <c r="G30" i="16"/>
  <c r="H25" i="24"/>
  <c r="H96" i="24"/>
  <c r="H167" i="24"/>
  <c r="G54" i="16"/>
  <c r="H47" i="24"/>
  <c r="H118" i="24"/>
  <c r="H189" i="24"/>
  <c r="G10" i="16"/>
  <c r="H6" i="24"/>
  <c r="H77" i="24"/>
  <c r="H148" i="24"/>
  <c r="H13" i="24"/>
  <c r="H84" i="24"/>
  <c r="H155" i="24"/>
  <c r="G17" i="16"/>
  <c r="D82" i="16"/>
  <c r="I2" i="24"/>
  <c r="H73" i="24"/>
  <c r="H144" i="24"/>
  <c r="I2" i="23"/>
  <c r="H40" i="23"/>
  <c r="H78" i="23"/>
  <c r="B40" i="23"/>
  <c r="B78" i="23"/>
  <c r="AF24" i="17"/>
  <c r="AG24" i="17"/>
  <c r="AH24" i="17"/>
  <c r="G93" i="19"/>
  <c r="AZ24" i="17"/>
  <c r="BI23" i="17"/>
  <c r="H24" i="24"/>
  <c r="H95" i="24"/>
  <c r="H166" i="24"/>
  <c r="G29" i="16"/>
  <c r="AC25" i="17"/>
  <c r="CG24" i="17"/>
  <c r="CJ23" i="17"/>
  <c r="BE60" i="17"/>
  <c r="AD59" i="7"/>
  <c r="AE58" i="7"/>
  <c r="BX23" i="17"/>
  <c r="BZ22" i="17"/>
  <c r="CA22" i="17"/>
  <c r="BA23" i="17"/>
  <c r="CH24" i="17"/>
  <c r="CE25" i="17"/>
  <c r="I10" i="24"/>
  <c r="I81" i="24"/>
  <c r="I152" i="24"/>
  <c r="H14" i="16"/>
  <c r="M24" i="17"/>
  <c r="F48" i="19"/>
  <c r="M48" i="19"/>
  <c r="E48" i="19"/>
  <c r="AO23" i="17"/>
  <c r="AP23" i="17"/>
  <c r="AP56" i="17"/>
  <c r="AL24" i="17"/>
  <c r="I9" i="24"/>
  <c r="I80" i="24"/>
  <c r="I151" i="24"/>
  <c r="H13" i="16"/>
  <c r="AM60" i="17"/>
  <c r="P31" i="7"/>
  <c r="Q12" i="7"/>
  <c r="Q31" i="7"/>
  <c r="Y23" i="17"/>
  <c r="M14" i="7"/>
  <c r="O31" i="7"/>
  <c r="H14" i="24"/>
  <c r="H85" i="24"/>
  <c r="H156" i="24"/>
  <c r="G18" i="16"/>
  <c r="G21" i="24"/>
  <c r="G92" i="24"/>
  <c r="G163" i="24"/>
  <c r="F36" i="20"/>
  <c r="F35" i="6"/>
  <c r="F26" i="16"/>
  <c r="CF59" i="17"/>
  <c r="N24" i="17"/>
  <c r="K25" i="17"/>
  <c r="BR23" i="17"/>
  <c r="AV60" i="17"/>
  <c r="AD59" i="17"/>
  <c r="BN59" i="17"/>
  <c r="AX24" i="17"/>
  <c r="AW25" i="17"/>
  <c r="AU25" i="17"/>
  <c r="G31" i="24"/>
  <c r="G102" i="24"/>
  <c r="G173" i="24"/>
  <c r="E80" i="16"/>
  <c r="BP23" i="17"/>
  <c r="BQ23" i="17"/>
  <c r="BQ56" i="17"/>
  <c r="BM24" i="17"/>
  <c r="BG23" i="17"/>
  <c r="BD24" i="17"/>
  <c r="H17" i="24"/>
  <c r="H88" i="24"/>
  <c r="H159" i="24"/>
  <c r="G22" i="16"/>
  <c r="H26" i="24"/>
  <c r="H97" i="24"/>
  <c r="H168" i="24"/>
  <c r="G31" i="16"/>
  <c r="AG23" i="17"/>
  <c r="AG56" i="17"/>
  <c r="CI23" i="17"/>
  <c r="CI56" i="17"/>
  <c r="I36" i="24"/>
  <c r="I107" i="24"/>
  <c r="I178" i="24"/>
  <c r="H43" i="16"/>
  <c r="I5" i="24"/>
  <c r="I76" i="24"/>
  <c r="I147" i="24"/>
  <c r="H9" i="16"/>
  <c r="AF24" i="7"/>
  <c r="AC25" i="7"/>
  <c r="I11" i="24"/>
  <c r="I82" i="24"/>
  <c r="I153" i="24"/>
  <c r="H15" i="16"/>
  <c r="U62" i="17"/>
  <c r="AY23" i="17"/>
  <c r="AY56" i="17"/>
  <c r="Z22" i="17"/>
  <c r="AA22" i="17"/>
  <c r="BY23" i="17"/>
  <c r="BZ23" i="17"/>
  <c r="BZ56" i="17"/>
  <c r="BV24" i="17"/>
  <c r="BW61" i="17"/>
  <c r="CB21" i="17"/>
  <c r="CC21" i="17"/>
  <c r="BQ22" i="17"/>
  <c r="L60" i="17"/>
  <c r="W23" i="17"/>
  <c r="X23" i="17"/>
  <c r="X56" i="17"/>
  <c r="T24" i="17"/>
  <c r="AN23" i="17"/>
  <c r="BH22" i="17"/>
  <c r="AI23" i="17"/>
  <c r="F350" i="4"/>
  <c r="I24" i="17"/>
  <c r="C14" i="20"/>
  <c r="C9" i="14"/>
  <c r="H48" i="19"/>
  <c r="O48" i="19"/>
  <c r="K48" i="19"/>
  <c r="D26" i="17"/>
  <c r="G26" i="17"/>
  <c r="H26" i="17"/>
  <c r="I26" i="17"/>
  <c r="G25" i="17"/>
  <c r="F35" i="26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I1" i="19"/>
  <c r="D34" i="26"/>
  <c r="D33" i="26"/>
  <c r="D5" i="26"/>
  <c r="I29" i="9"/>
  <c r="J3" i="9"/>
  <c r="I81" i="5"/>
  <c r="J3" i="5"/>
  <c r="AE73" i="17"/>
  <c r="AO4" i="17"/>
  <c r="AE54" i="17"/>
  <c r="AE55" i="17"/>
  <c r="AE56" i="17"/>
  <c r="AE57" i="17"/>
  <c r="AE58" i="17"/>
  <c r="AE59" i="17"/>
  <c r="AE60" i="17"/>
  <c r="AE61" i="17"/>
  <c r="AE62" i="17"/>
  <c r="AE63" i="17"/>
  <c r="AE64" i="17"/>
  <c r="AE65" i="17"/>
  <c r="AE66" i="17"/>
  <c r="AE67" i="17"/>
  <c r="AE68" i="17"/>
  <c r="AE69" i="17"/>
  <c r="G23" i="20"/>
  <c r="H4" i="20"/>
  <c r="O22" i="15"/>
  <c r="O30" i="15"/>
  <c r="O37" i="15"/>
  <c r="P4" i="15"/>
  <c r="L89" i="13"/>
  <c r="I3" i="10"/>
  <c r="H11" i="10"/>
  <c r="I92" i="13"/>
  <c r="M75" i="17"/>
  <c r="D76" i="17"/>
  <c r="G88" i="5"/>
  <c r="AJ19" i="7"/>
  <c r="K3" i="28"/>
  <c r="J15" i="28"/>
  <c r="J30" i="28"/>
  <c r="J42" i="28"/>
  <c r="J56" i="28"/>
  <c r="J64" i="28"/>
  <c r="J71" i="28"/>
  <c r="J89" i="28"/>
  <c r="J95" i="28"/>
  <c r="J100" i="28"/>
  <c r="I15" i="27"/>
  <c r="J6" i="27"/>
  <c r="I25" i="15"/>
  <c r="D11" i="26"/>
  <c r="D5" i="14"/>
  <c r="D4" i="14"/>
  <c r="N82" i="13"/>
  <c r="M89" i="13"/>
  <c r="O82" i="13"/>
  <c r="H90" i="5"/>
  <c r="H95" i="5"/>
  <c r="H91" i="5"/>
  <c r="H89" i="5"/>
  <c r="AS20" i="17"/>
  <c r="AS19" i="17"/>
  <c r="H55" i="17"/>
  <c r="G36" i="26"/>
  <c r="G103" i="5"/>
  <c r="D29" i="14"/>
  <c r="E31" i="14"/>
  <c r="E13" i="20"/>
  <c r="E7" i="6"/>
  <c r="F103" i="5"/>
  <c r="H103" i="5"/>
  <c r="C6" i="26"/>
  <c r="C8" i="20"/>
  <c r="E4" i="23"/>
  <c r="D14" i="7"/>
  <c r="F31" i="7"/>
  <c r="I12" i="7"/>
  <c r="H13" i="7"/>
  <c r="H31" i="7"/>
  <c r="Z13" i="7"/>
  <c r="Z31" i="7"/>
  <c r="Y31" i="7"/>
  <c r="V14" i="7"/>
  <c r="X31" i="7"/>
  <c r="AH20" i="7"/>
  <c r="AG20" i="7"/>
  <c r="AE21" i="7"/>
  <c r="H27" i="16"/>
  <c r="J22" i="24"/>
  <c r="J93" i="24"/>
  <c r="J164" i="24"/>
  <c r="F93" i="5"/>
  <c r="E24" i="23"/>
  <c r="H9" i="12"/>
  <c r="A11" i="19"/>
  <c r="A25" i="19"/>
  <c r="A51" i="19"/>
  <c r="A65" i="19"/>
  <c r="A79" i="19"/>
  <c r="F93" i="19"/>
  <c r="C10" i="26"/>
  <c r="H41" i="15"/>
  <c r="H6" i="15"/>
  <c r="B93" i="19"/>
  <c r="C25" i="22"/>
  <c r="C93" i="19"/>
  <c r="D25" i="22"/>
  <c r="H93" i="19"/>
  <c r="I93" i="19"/>
  <c r="D93" i="19"/>
  <c r="BS22" i="17"/>
  <c r="BT22" i="17"/>
  <c r="H40" i="16"/>
  <c r="I33" i="24"/>
  <c r="I104" i="24"/>
  <c r="I175" i="24"/>
  <c r="E8" i="23"/>
  <c r="E46" i="23"/>
  <c r="E84" i="23"/>
  <c r="C112" i="24"/>
  <c r="C183" i="24"/>
  <c r="C186" i="24"/>
  <c r="H28" i="16"/>
  <c r="J23" i="24"/>
  <c r="J94" i="24"/>
  <c r="J165" i="24"/>
  <c r="F28" i="14"/>
  <c r="F29" i="14"/>
  <c r="F31" i="14"/>
  <c r="F13" i="20"/>
  <c r="F7" i="6"/>
  <c r="I24" i="15"/>
  <c r="BO24" i="17"/>
  <c r="BP24" i="17"/>
  <c r="BQ24" i="17"/>
  <c r="E9" i="23"/>
  <c r="E47" i="23"/>
  <c r="E85" i="23"/>
  <c r="C21" i="26"/>
  <c r="C7" i="29"/>
  <c r="C7" i="27"/>
  <c r="F10" i="23"/>
  <c r="F48" i="23"/>
  <c r="F86" i="23"/>
  <c r="H26" i="15"/>
  <c r="H27" i="15"/>
  <c r="C7" i="20"/>
  <c r="C5" i="6"/>
  <c r="C61" i="16"/>
  <c r="E53" i="24"/>
  <c r="E124" i="24"/>
  <c r="E195" i="24"/>
  <c r="H33" i="15"/>
  <c r="I31" i="15"/>
  <c r="L87" i="13"/>
  <c r="K11" i="28"/>
  <c r="L11" i="28"/>
  <c r="M11" i="28"/>
  <c r="B9" i="19"/>
  <c r="C9" i="19"/>
  <c r="D102" i="23"/>
  <c r="D105" i="23"/>
  <c r="D107" i="23"/>
  <c r="D114" i="23"/>
  <c r="E7" i="28"/>
  <c r="E103" i="28"/>
  <c r="J25" i="15"/>
  <c r="J7" i="15"/>
  <c r="E23" i="16"/>
  <c r="G18" i="24"/>
  <c r="G89" i="24"/>
  <c r="G160" i="24"/>
  <c r="F12" i="28"/>
  <c r="F65" i="28"/>
  <c r="F39" i="28"/>
  <c r="E65" i="28"/>
  <c r="E23" i="28"/>
  <c r="E12" i="28"/>
  <c r="E39" i="28"/>
  <c r="E46" i="28"/>
  <c r="C103" i="28"/>
  <c r="B102" i="23"/>
  <c r="B105" i="23"/>
  <c r="B107" i="23"/>
  <c r="B114" i="23"/>
  <c r="C7" i="28"/>
  <c r="C39" i="28"/>
  <c r="C65" i="28"/>
  <c r="C23" i="28"/>
  <c r="C12" i="28"/>
  <c r="C46" i="28"/>
  <c r="D41" i="24"/>
  <c r="D112" i="24"/>
  <c r="D139" i="24"/>
  <c r="D17" i="28"/>
  <c r="D112" i="23"/>
  <c r="E37" i="24"/>
  <c r="E108" i="24"/>
  <c r="E179" i="24"/>
  <c r="H32" i="16"/>
  <c r="I27" i="24"/>
  <c r="I98" i="24"/>
  <c r="I169" i="24"/>
  <c r="H4" i="16"/>
  <c r="G38" i="16"/>
  <c r="H30" i="16"/>
  <c r="I25" i="24"/>
  <c r="I96" i="24"/>
  <c r="I167" i="24"/>
  <c r="I47" i="24"/>
  <c r="I118" i="24"/>
  <c r="I189" i="24"/>
  <c r="H54" i="16"/>
  <c r="H10" i="16"/>
  <c r="I6" i="24"/>
  <c r="I77" i="24"/>
  <c r="I148" i="24"/>
  <c r="H17" i="16"/>
  <c r="I13" i="24"/>
  <c r="I84" i="24"/>
  <c r="I155" i="24"/>
  <c r="E35" i="24"/>
  <c r="E106" i="24"/>
  <c r="E177" i="24"/>
  <c r="C48" i="16"/>
  <c r="E82" i="16"/>
  <c r="B112" i="23"/>
  <c r="B41" i="24"/>
  <c r="J2" i="24"/>
  <c r="I73" i="24"/>
  <c r="I144" i="24"/>
  <c r="E62" i="23"/>
  <c r="E42" i="23"/>
  <c r="J2" i="23"/>
  <c r="I40" i="23"/>
  <c r="I78" i="23"/>
  <c r="AZ25" i="17"/>
  <c r="BA25" i="17"/>
  <c r="BB25" i="17"/>
  <c r="AF25" i="17"/>
  <c r="AG25" i="17"/>
  <c r="AG57" i="17"/>
  <c r="AJ23" i="17"/>
  <c r="BW62" i="17"/>
  <c r="J11" i="24"/>
  <c r="J82" i="24"/>
  <c r="J153" i="24"/>
  <c r="I15" i="16"/>
  <c r="BM25" i="17"/>
  <c r="H31" i="24"/>
  <c r="H102" i="24"/>
  <c r="H173" i="24"/>
  <c r="F80" i="16"/>
  <c r="H21" i="24"/>
  <c r="H92" i="24"/>
  <c r="H163" i="24"/>
  <c r="G36" i="20"/>
  <c r="G35" i="6"/>
  <c r="G36" i="6"/>
  <c r="G26" i="16"/>
  <c r="V24" i="17"/>
  <c r="J10" i="24"/>
  <c r="J81" i="24"/>
  <c r="J152" i="24"/>
  <c r="I14" i="16"/>
  <c r="BB23" i="17"/>
  <c r="BX24" i="17"/>
  <c r="CA23" i="17"/>
  <c r="AD60" i="7"/>
  <c r="AE59" i="7"/>
  <c r="CK23" i="17"/>
  <c r="I24" i="24"/>
  <c r="I95" i="24"/>
  <c r="I166" i="24"/>
  <c r="H29" i="16"/>
  <c r="BF24" i="17"/>
  <c r="BA24" i="17"/>
  <c r="BB24" i="17"/>
  <c r="G25" i="22"/>
  <c r="H25" i="22"/>
  <c r="BY24" i="17"/>
  <c r="BV25" i="17"/>
  <c r="U63" i="17"/>
  <c r="J5" i="24"/>
  <c r="J76" i="24"/>
  <c r="J147" i="24"/>
  <c r="I9" i="16"/>
  <c r="I26" i="24"/>
  <c r="I97" i="24"/>
  <c r="I168" i="24"/>
  <c r="H31" i="16"/>
  <c r="BN60" i="17"/>
  <c r="AD60" i="17"/>
  <c r="BH23" i="17"/>
  <c r="BH56" i="17"/>
  <c r="CF60" i="17"/>
  <c r="AO24" i="17"/>
  <c r="AL25" i="17"/>
  <c r="BE61" i="17"/>
  <c r="CG25" i="17"/>
  <c r="CI24" i="17"/>
  <c r="CJ24" i="17"/>
  <c r="AY24" i="17"/>
  <c r="AE25" i="17"/>
  <c r="B24" i="19"/>
  <c r="AN24" i="17"/>
  <c r="AQ23" i="17"/>
  <c r="I17" i="24"/>
  <c r="I88" i="24"/>
  <c r="I159" i="24"/>
  <c r="H22" i="16"/>
  <c r="AX25" i="17"/>
  <c r="AW26" i="17"/>
  <c r="AU26" i="17"/>
  <c r="K26" i="17"/>
  <c r="N25" i="17"/>
  <c r="O25" i="17"/>
  <c r="O57" i="17"/>
  <c r="O15" i="7"/>
  <c r="P14" i="7"/>
  <c r="O14" i="7"/>
  <c r="M15" i="7"/>
  <c r="P15" i="7"/>
  <c r="Q15" i="7"/>
  <c r="R15" i="7"/>
  <c r="J9" i="24"/>
  <c r="J80" i="24"/>
  <c r="J151" i="24"/>
  <c r="I13" i="16"/>
  <c r="CH25" i="17"/>
  <c r="CI25" i="17"/>
  <c r="CI57" i="17"/>
  <c r="CE26" i="17"/>
  <c r="CB22" i="17"/>
  <c r="AC26" i="17"/>
  <c r="AY25" i="17"/>
  <c r="AY57" i="17"/>
  <c r="I25" i="22"/>
  <c r="J25" i="22"/>
  <c r="W24" i="17"/>
  <c r="T25" i="17"/>
  <c r="L61" i="17"/>
  <c r="AF25" i="7"/>
  <c r="AC26" i="7"/>
  <c r="J36" i="24"/>
  <c r="J107" i="24"/>
  <c r="J178" i="24"/>
  <c r="I43" i="16"/>
  <c r="BG24" i="17"/>
  <c r="BD25" i="17"/>
  <c r="AV61" i="17"/>
  <c r="BS23" i="17"/>
  <c r="I14" i="24"/>
  <c r="I85" i="24"/>
  <c r="I156" i="24"/>
  <c r="H18" i="16"/>
  <c r="Z23" i="17"/>
  <c r="R12" i="7"/>
  <c r="AM61" i="17"/>
  <c r="M25" i="17"/>
  <c r="O24" i="17"/>
  <c r="P24" i="17"/>
  <c r="BJ23" i="17"/>
  <c r="E25" i="22"/>
  <c r="F25" i="22"/>
  <c r="AI24" i="17"/>
  <c r="AJ24" i="17"/>
  <c r="F351" i="4"/>
  <c r="E5" i="14"/>
  <c r="E4" i="14"/>
  <c r="F9" i="23"/>
  <c r="D14" i="20"/>
  <c r="D9" i="14"/>
  <c r="F27" i="17"/>
  <c r="F58" i="17"/>
  <c r="E77" i="17"/>
  <c r="F26" i="17"/>
  <c r="D27" i="17"/>
  <c r="H25" i="17"/>
  <c r="G57" i="17"/>
  <c r="G5" i="12"/>
  <c r="G35" i="26"/>
  <c r="H321" i="4"/>
  <c r="N89" i="13"/>
  <c r="K6" i="27"/>
  <c r="J15" i="27"/>
  <c r="E34" i="26"/>
  <c r="E33" i="26"/>
  <c r="E5" i="26"/>
  <c r="M76" i="17"/>
  <c r="J92" i="13"/>
  <c r="AN73" i="17"/>
  <c r="AX4" i="17"/>
  <c r="AN54" i="17"/>
  <c r="AN55" i="17"/>
  <c r="AN56" i="17"/>
  <c r="AN57" i="17"/>
  <c r="AN58" i="17"/>
  <c r="AN59" i="17"/>
  <c r="AN60" i="17"/>
  <c r="AN61" i="17"/>
  <c r="AN62" i="17"/>
  <c r="AN63" i="17"/>
  <c r="AN64" i="17"/>
  <c r="AN65" i="17"/>
  <c r="AN66" i="17"/>
  <c r="AN67" i="17"/>
  <c r="AN68" i="17"/>
  <c r="AN69" i="17"/>
  <c r="H314" i="4"/>
  <c r="J81" i="5"/>
  <c r="K3" i="5"/>
  <c r="F3" i="23"/>
  <c r="E8" i="10"/>
  <c r="E9" i="10"/>
  <c r="J1" i="19"/>
  <c r="C24" i="19"/>
  <c r="I11" i="10"/>
  <c r="J3" i="10"/>
  <c r="I13" i="7"/>
  <c r="H293" i="4"/>
  <c r="Q82" i="13"/>
  <c r="O89" i="13"/>
  <c r="P82" i="13"/>
  <c r="P89" i="13"/>
  <c r="D77" i="17"/>
  <c r="Q4" i="15"/>
  <c r="Q22" i="15"/>
  <c r="Q30" i="15"/>
  <c r="Q37" i="15"/>
  <c r="P22" i="15"/>
  <c r="P30" i="15"/>
  <c r="P37" i="15"/>
  <c r="H23" i="20"/>
  <c r="I4" i="20"/>
  <c r="AE74" i="17"/>
  <c r="AE75" i="17"/>
  <c r="AE76" i="17"/>
  <c r="AE77" i="17"/>
  <c r="AE78" i="17"/>
  <c r="AE79" i="17"/>
  <c r="AE80" i="17"/>
  <c r="AE81" i="17"/>
  <c r="AE82" i="17"/>
  <c r="AE83" i="17"/>
  <c r="AE84" i="17"/>
  <c r="AE85" i="17"/>
  <c r="AE86" i="17"/>
  <c r="AE87" i="17"/>
  <c r="AE88" i="17"/>
  <c r="I89" i="5"/>
  <c r="I90" i="5"/>
  <c r="I95" i="5"/>
  <c r="I91" i="5"/>
  <c r="H88" i="5"/>
  <c r="I7" i="15"/>
  <c r="D23" i="16"/>
  <c r="F18" i="24"/>
  <c r="F89" i="24"/>
  <c r="F160" i="24"/>
  <c r="I12" i="15"/>
  <c r="L3" i="28"/>
  <c r="K15" i="28"/>
  <c r="K30" i="28"/>
  <c r="K42" i="28"/>
  <c r="K56" i="28"/>
  <c r="K64" i="28"/>
  <c r="K71" i="28"/>
  <c r="K89" i="28"/>
  <c r="K95" i="28"/>
  <c r="K100" i="28"/>
  <c r="J29" i="9"/>
  <c r="K3" i="9"/>
  <c r="G18" i="9"/>
  <c r="G30" i="9"/>
  <c r="G4" i="10"/>
  <c r="H36" i="26"/>
  <c r="F24" i="23"/>
  <c r="D31" i="14"/>
  <c r="D13" i="20"/>
  <c r="D7" i="6"/>
  <c r="G10" i="23"/>
  <c r="E12" i="26"/>
  <c r="I103" i="5"/>
  <c r="H96" i="5"/>
  <c r="F14" i="7"/>
  <c r="D15" i="7"/>
  <c r="G15" i="7"/>
  <c r="G14" i="7"/>
  <c r="F15" i="7"/>
  <c r="X14" i="7"/>
  <c r="V15" i="7"/>
  <c r="Y15" i="7"/>
  <c r="Y14" i="7"/>
  <c r="X15" i="7"/>
  <c r="AA13" i="7"/>
  <c r="AI20" i="7"/>
  <c r="AH21" i="7"/>
  <c r="AG21" i="7"/>
  <c r="I28" i="16"/>
  <c r="K23" i="24"/>
  <c r="K94" i="24"/>
  <c r="K165" i="24"/>
  <c r="I27" i="16"/>
  <c r="K22" i="24"/>
  <c r="K93" i="24"/>
  <c r="K164" i="24"/>
  <c r="H94" i="5"/>
  <c r="G93" i="5"/>
  <c r="I9" i="12"/>
  <c r="A12" i="19"/>
  <c r="A26" i="19"/>
  <c r="A52" i="19"/>
  <c r="A66" i="19"/>
  <c r="A80" i="19"/>
  <c r="I41" i="15"/>
  <c r="I6" i="15"/>
  <c r="D21" i="16"/>
  <c r="F16" i="24"/>
  <c r="F87" i="24"/>
  <c r="F158" i="24"/>
  <c r="F8" i="23"/>
  <c r="C139" i="24"/>
  <c r="C25" i="19"/>
  <c r="BR24" i="17"/>
  <c r="BS24" i="17"/>
  <c r="BT24" i="17"/>
  <c r="D10" i="19"/>
  <c r="BO25" i="17"/>
  <c r="I40" i="16"/>
  <c r="J33" i="24"/>
  <c r="J104" i="24"/>
  <c r="J175" i="24"/>
  <c r="J12" i="15"/>
  <c r="J33" i="15"/>
  <c r="K31" i="15"/>
  <c r="D10" i="26"/>
  <c r="C24" i="26"/>
  <c r="J41" i="15"/>
  <c r="J6" i="15"/>
  <c r="E21" i="16"/>
  <c r="G16" i="24"/>
  <c r="G87" i="24"/>
  <c r="G158" i="24"/>
  <c r="F12" i="11"/>
  <c r="H10" i="23"/>
  <c r="H48" i="23"/>
  <c r="H86" i="23"/>
  <c r="H42" i="15"/>
  <c r="C21" i="16"/>
  <c r="E16" i="24"/>
  <c r="E87" i="24"/>
  <c r="E158" i="24"/>
  <c r="H10" i="15"/>
  <c r="G28" i="14"/>
  <c r="G29" i="14"/>
  <c r="C9" i="20"/>
  <c r="E21" i="28"/>
  <c r="C21" i="28"/>
  <c r="D183" i="24"/>
  <c r="D186" i="24"/>
  <c r="E18" i="28"/>
  <c r="D68" i="24"/>
  <c r="D67" i="24"/>
  <c r="D34" i="28"/>
  <c r="C207" i="24"/>
  <c r="D8" i="28"/>
  <c r="D10" i="28"/>
  <c r="D33" i="28"/>
  <c r="D18" i="28"/>
  <c r="E17" i="28"/>
  <c r="F16" i="28"/>
  <c r="F46" i="28"/>
  <c r="C17" i="28"/>
  <c r="I4" i="16"/>
  <c r="H38" i="16"/>
  <c r="J27" i="24"/>
  <c r="J98" i="24"/>
  <c r="J169" i="24"/>
  <c r="I32" i="16"/>
  <c r="J25" i="24"/>
  <c r="J96" i="24"/>
  <c r="J167" i="24"/>
  <c r="I30" i="16"/>
  <c r="J13" i="24"/>
  <c r="J84" i="24"/>
  <c r="J155" i="24"/>
  <c r="I17" i="16"/>
  <c r="J6" i="24"/>
  <c r="J77" i="24"/>
  <c r="J148" i="24"/>
  <c r="I10" i="16"/>
  <c r="J47" i="24"/>
  <c r="J118" i="24"/>
  <c r="J189" i="24"/>
  <c r="I54" i="16"/>
  <c r="F82" i="16"/>
  <c r="E100" i="23"/>
  <c r="C138" i="24"/>
  <c r="C170" i="24"/>
  <c r="D138" i="24"/>
  <c r="D170" i="24"/>
  <c r="B112" i="24"/>
  <c r="B68" i="24"/>
  <c r="B67" i="24"/>
  <c r="K2" i="24"/>
  <c r="J73" i="24"/>
  <c r="J144" i="24"/>
  <c r="F46" i="23"/>
  <c r="F84" i="23"/>
  <c r="G48" i="23"/>
  <c r="G86" i="23"/>
  <c r="F62" i="23"/>
  <c r="F41" i="23"/>
  <c r="F47" i="23"/>
  <c r="F85" i="23"/>
  <c r="E80" i="23"/>
  <c r="E99" i="23"/>
  <c r="K2" i="23"/>
  <c r="J78" i="23"/>
  <c r="J40" i="23"/>
  <c r="AZ26" i="17"/>
  <c r="BT23" i="17"/>
  <c r="AF26" i="17"/>
  <c r="AC27" i="17"/>
  <c r="CH26" i="17"/>
  <c r="CE27" i="17"/>
  <c r="AE26" i="17"/>
  <c r="AH25" i="17"/>
  <c r="M25" i="22"/>
  <c r="CF61" i="17"/>
  <c r="BN61" i="17"/>
  <c r="J24" i="24"/>
  <c r="J95" i="24"/>
  <c r="J166" i="24"/>
  <c r="I29" i="16"/>
  <c r="BX25" i="17"/>
  <c r="BZ24" i="17"/>
  <c r="CA24" i="17"/>
  <c r="BR25" i="17"/>
  <c r="B25" i="19"/>
  <c r="AM62" i="17"/>
  <c r="J14" i="24"/>
  <c r="J85" i="24"/>
  <c r="J156" i="24"/>
  <c r="I18" i="16"/>
  <c r="K27" i="17"/>
  <c r="N26" i="17"/>
  <c r="J17" i="24"/>
  <c r="J88" i="24"/>
  <c r="J159" i="24"/>
  <c r="I22" i="16"/>
  <c r="AR23" i="17"/>
  <c r="CG26" i="17"/>
  <c r="CJ25" i="17"/>
  <c r="CK25" i="17"/>
  <c r="CL25" i="17"/>
  <c r="AE60" i="7"/>
  <c r="AD61" i="7"/>
  <c r="V25" i="17"/>
  <c r="X24" i="17"/>
  <c r="Y24" i="17"/>
  <c r="K11" i="24"/>
  <c r="K82" i="24"/>
  <c r="K153" i="24"/>
  <c r="J15" i="16"/>
  <c r="BW63" i="17"/>
  <c r="Q24" i="17"/>
  <c r="R24" i="17"/>
  <c r="AF26" i="7"/>
  <c r="AC27" i="7"/>
  <c r="AV62" i="17"/>
  <c r="K36" i="24"/>
  <c r="K107" i="24"/>
  <c r="K178" i="24"/>
  <c r="J43" i="16"/>
  <c r="W25" i="17"/>
  <c r="X25" i="17"/>
  <c r="X57" i="17"/>
  <c r="T26" i="17"/>
  <c r="K9" i="24"/>
  <c r="K80" i="24"/>
  <c r="K151" i="24"/>
  <c r="J13" i="16"/>
  <c r="Q14" i="7"/>
  <c r="Q32" i="7"/>
  <c r="P32" i="7"/>
  <c r="AU27" i="17"/>
  <c r="AX26" i="17"/>
  <c r="AW27" i="17"/>
  <c r="AP24" i="17"/>
  <c r="AN25" i="17"/>
  <c r="AQ24" i="17"/>
  <c r="CK24" i="17"/>
  <c r="CL24" i="17"/>
  <c r="J26" i="24"/>
  <c r="J97" i="24"/>
  <c r="J168" i="24"/>
  <c r="I31" i="16"/>
  <c r="K5" i="24"/>
  <c r="K76" i="24"/>
  <c r="K147" i="24"/>
  <c r="J9" i="16"/>
  <c r="U64" i="17"/>
  <c r="CL23" i="17"/>
  <c r="I21" i="24"/>
  <c r="I92" i="24"/>
  <c r="I163" i="24"/>
  <c r="H26" i="16"/>
  <c r="H36" i="20"/>
  <c r="H35" i="6"/>
  <c r="H36" i="6"/>
  <c r="BP25" i="17"/>
  <c r="BM26" i="17"/>
  <c r="BK23" i="17"/>
  <c r="M26" i="17"/>
  <c r="P25" i="17"/>
  <c r="Q25" i="17"/>
  <c r="R25" i="17"/>
  <c r="AA23" i="17"/>
  <c r="BG25" i="17"/>
  <c r="BH25" i="17"/>
  <c r="BH57" i="17"/>
  <c r="BD26" i="17"/>
  <c r="L62" i="17"/>
  <c r="CC22" i="17"/>
  <c r="M16" i="7"/>
  <c r="O32" i="7"/>
  <c r="BE62" i="17"/>
  <c r="AO25" i="17"/>
  <c r="AL26" i="17"/>
  <c r="AD61" i="17"/>
  <c r="BY25" i="17"/>
  <c r="BZ25" i="17"/>
  <c r="BZ57" i="17"/>
  <c r="BV26" i="17"/>
  <c r="BF25" i="17"/>
  <c r="BH24" i="17"/>
  <c r="BI24" i="17"/>
  <c r="CB23" i="17"/>
  <c r="CC23" i="17"/>
  <c r="K10" i="24"/>
  <c r="K81" i="24"/>
  <c r="K152" i="24"/>
  <c r="J14" i="16"/>
  <c r="I31" i="24"/>
  <c r="I102" i="24"/>
  <c r="I173" i="24"/>
  <c r="G80" i="16"/>
  <c r="D25" i="19"/>
  <c r="D28" i="17"/>
  <c r="G28" i="17"/>
  <c r="G27" i="17"/>
  <c r="I25" i="17"/>
  <c r="H57" i="17"/>
  <c r="H5" i="12"/>
  <c r="H35" i="26"/>
  <c r="I88" i="5"/>
  <c r="F5" i="14"/>
  <c r="F4" i="14"/>
  <c r="K25" i="15"/>
  <c r="I26" i="15"/>
  <c r="I27" i="15"/>
  <c r="D7" i="20"/>
  <c r="J24" i="15"/>
  <c r="K92" i="13"/>
  <c r="K29" i="9"/>
  <c r="L3" i="9"/>
  <c r="B10" i="19"/>
  <c r="C10" i="19"/>
  <c r="D78" i="17"/>
  <c r="R82" i="13"/>
  <c r="Q89" i="13"/>
  <c r="S82" i="13"/>
  <c r="E14" i="20"/>
  <c r="E9" i="14"/>
  <c r="H18" i="9"/>
  <c r="H30" i="9"/>
  <c r="K3" i="10"/>
  <c r="J11" i="10"/>
  <c r="AN74" i="17"/>
  <c r="I10" i="15"/>
  <c r="M3" i="28"/>
  <c r="L15" i="28"/>
  <c r="L30" i="28"/>
  <c r="L42" i="28"/>
  <c r="L56" i="28"/>
  <c r="L64" i="28"/>
  <c r="L71" i="28"/>
  <c r="L89" i="28"/>
  <c r="L95" i="28"/>
  <c r="L100" i="28"/>
  <c r="K1" i="19"/>
  <c r="K81" i="5"/>
  <c r="L3" i="5"/>
  <c r="K25" i="5"/>
  <c r="K63" i="5"/>
  <c r="F34" i="26"/>
  <c r="F33" i="26"/>
  <c r="F5" i="26"/>
  <c r="H300" i="4"/>
  <c r="I33" i="15"/>
  <c r="J31" i="15"/>
  <c r="D61" i="16"/>
  <c r="F53" i="24"/>
  <c r="F124" i="24"/>
  <c r="F195" i="24"/>
  <c r="I23" i="20"/>
  <c r="J4" i="20"/>
  <c r="E8" i="20"/>
  <c r="E6" i="26"/>
  <c r="G4" i="23"/>
  <c r="J89" i="5"/>
  <c r="J90" i="5"/>
  <c r="J95" i="5"/>
  <c r="J91" i="5"/>
  <c r="BG4" i="17"/>
  <c r="AW73" i="17"/>
  <c r="AW54" i="17"/>
  <c r="AW55" i="17"/>
  <c r="AW56" i="17"/>
  <c r="AW57" i="17"/>
  <c r="AW58" i="17"/>
  <c r="AW59" i="17"/>
  <c r="AW60" i="17"/>
  <c r="AW61" i="17"/>
  <c r="AW62" i="17"/>
  <c r="AW63" i="17"/>
  <c r="AW64" i="17"/>
  <c r="AW65" i="17"/>
  <c r="AW66" i="17"/>
  <c r="AW67" i="17"/>
  <c r="AW68" i="17"/>
  <c r="AW69" i="17"/>
  <c r="M77" i="17"/>
  <c r="F8" i="10"/>
  <c r="F9" i="10"/>
  <c r="G3" i="23"/>
  <c r="K15" i="27"/>
  <c r="L6" i="27"/>
  <c r="L15" i="27"/>
  <c r="J26" i="15"/>
  <c r="K24" i="15"/>
  <c r="G24" i="23"/>
  <c r="H28" i="14"/>
  <c r="H29" i="14"/>
  <c r="J103" i="5"/>
  <c r="H111" i="5"/>
  <c r="I96" i="5"/>
  <c r="G32" i="7"/>
  <c r="H14" i="7"/>
  <c r="H15" i="7"/>
  <c r="I15" i="7"/>
  <c r="D16" i="7"/>
  <c r="F32" i="7"/>
  <c r="Z15" i="7"/>
  <c r="AA15" i="7"/>
  <c r="Y32" i="7"/>
  <c r="Z14" i="7"/>
  <c r="V16" i="7"/>
  <c r="X32" i="7"/>
  <c r="AI21" i="7"/>
  <c r="AG55" i="7"/>
  <c r="AE22" i="7"/>
  <c r="AJ20" i="7"/>
  <c r="J28" i="16"/>
  <c r="L23" i="24"/>
  <c r="L94" i="24"/>
  <c r="L165" i="24"/>
  <c r="J27" i="16"/>
  <c r="L22" i="24"/>
  <c r="L93" i="24"/>
  <c r="L164" i="24"/>
  <c r="I94" i="5"/>
  <c r="H93" i="5"/>
  <c r="J9" i="12"/>
  <c r="A13" i="19"/>
  <c r="A27" i="19"/>
  <c r="A53" i="19"/>
  <c r="A67" i="19"/>
  <c r="A81" i="19"/>
  <c r="E61" i="16"/>
  <c r="G53" i="24"/>
  <c r="G124" i="24"/>
  <c r="G195" i="24"/>
  <c r="I42" i="15"/>
  <c r="J40" i="15"/>
  <c r="J40" i="16"/>
  <c r="K33" i="24"/>
  <c r="K104" i="24"/>
  <c r="K175" i="24"/>
  <c r="H31" i="14"/>
  <c r="H13" i="20"/>
  <c r="H7" i="6"/>
  <c r="R14" i="7"/>
  <c r="J42" i="15"/>
  <c r="K40" i="15"/>
  <c r="J10" i="15"/>
  <c r="G12" i="11"/>
  <c r="G12" i="26"/>
  <c r="G11" i="12"/>
  <c r="G31" i="14"/>
  <c r="G13" i="20"/>
  <c r="G7" i="6"/>
  <c r="F12" i="26"/>
  <c r="I40" i="15"/>
  <c r="H43" i="15"/>
  <c r="E10" i="26"/>
  <c r="G8" i="23"/>
  <c r="G46" i="23"/>
  <c r="G84" i="23"/>
  <c r="E34" i="28"/>
  <c r="E8" i="28"/>
  <c r="E10" i="28"/>
  <c r="E33" i="28"/>
  <c r="D207" i="24"/>
  <c r="E20" i="28"/>
  <c r="F103" i="28"/>
  <c r="E102" i="23"/>
  <c r="D171" i="24"/>
  <c r="D157" i="24"/>
  <c r="E36" i="28"/>
  <c r="D32" i="28"/>
  <c r="D20" i="28"/>
  <c r="C157" i="24"/>
  <c r="D36" i="28"/>
  <c r="C171" i="24"/>
  <c r="I38" i="16"/>
  <c r="K27" i="24"/>
  <c r="K98" i="24"/>
  <c r="K169" i="24"/>
  <c r="J32" i="16"/>
  <c r="J4" i="16"/>
  <c r="K25" i="24"/>
  <c r="K96" i="24"/>
  <c r="K167" i="24"/>
  <c r="J30" i="16"/>
  <c r="J27" i="15"/>
  <c r="E7" i="20"/>
  <c r="E5" i="6"/>
  <c r="K6" i="24"/>
  <c r="K77" i="24"/>
  <c r="K148" i="24"/>
  <c r="J10" i="16"/>
  <c r="J54" i="16"/>
  <c r="K47" i="24"/>
  <c r="K118" i="24"/>
  <c r="K189" i="24"/>
  <c r="K13" i="24"/>
  <c r="K84" i="24"/>
  <c r="K155" i="24"/>
  <c r="J17" i="16"/>
  <c r="G82" i="16"/>
  <c r="F100" i="23"/>
  <c r="B183" i="24"/>
  <c r="B186" i="24"/>
  <c r="B139" i="24"/>
  <c r="L2" i="24"/>
  <c r="L73" i="24"/>
  <c r="L144" i="24"/>
  <c r="K73" i="24"/>
  <c r="K144" i="24"/>
  <c r="G41" i="23"/>
  <c r="G62" i="23"/>
  <c r="G42" i="23"/>
  <c r="G80" i="23"/>
  <c r="F79" i="23"/>
  <c r="G4" i="28"/>
  <c r="L2" i="23"/>
  <c r="K78" i="23"/>
  <c r="K40" i="23"/>
  <c r="L10" i="24"/>
  <c r="L81" i="24"/>
  <c r="L152" i="24"/>
  <c r="K14" i="16"/>
  <c r="L14" i="16"/>
  <c r="K26" i="24"/>
  <c r="K97" i="24"/>
  <c r="K168" i="24"/>
  <c r="J31" i="16"/>
  <c r="L36" i="24"/>
  <c r="L107" i="24"/>
  <c r="L178" i="24"/>
  <c r="K43" i="16"/>
  <c r="L43" i="16"/>
  <c r="AV63" i="17"/>
  <c r="L11" i="24"/>
  <c r="L82" i="24"/>
  <c r="L153" i="24"/>
  <c r="K15" i="16"/>
  <c r="L15" i="16"/>
  <c r="AF27" i="17"/>
  <c r="AC28" i="17"/>
  <c r="L63" i="17"/>
  <c r="BG26" i="17"/>
  <c r="BD27" i="17"/>
  <c r="BQ25" i="17"/>
  <c r="BQ57" i="17"/>
  <c r="AN26" i="17"/>
  <c r="AQ25" i="17"/>
  <c r="AR25" i="17"/>
  <c r="AS25" i="17"/>
  <c r="BW64" i="17"/>
  <c r="V26" i="17"/>
  <c r="Y25" i="17"/>
  <c r="K17" i="24"/>
  <c r="K88" i="24"/>
  <c r="K159" i="24"/>
  <c r="J22" i="16"/>
  <c r="BY26" i="17"/>
  <c r="BV27" i="17"/>
  <c r="AD62" i="17"/>
  <c r="AR24" i="17"/>
  <c r="AS24" i="17"/>
  <c r="N27" i="17"/>
  <c r="K28" i="17"/>
  <c r="CF62" i="17"/>
  <c r="AE27" i="17"/>
  <c r="AG26" i="17"/>
  <c r="AG27" i="17"/>
  <c r="AG58" i="17"/>
  <c r="AH26" i="17"/>
  <c r="AZ27" i="17"/>
  <c r="BJ24" i="17"/>
  <c r="BK24" i="17"/>
  <c r="J31" i="24"/>
  <c r="J102" i="24"/>
  <c r="J173" i="24"/>
  <c r="H80" i="16"/>
  <c r="O17" i="7"/>
  <c r="P16" i="7"/>
  <c r="O16" i="7"/>
  <c r="M17" i="7"/>
  <c r="P17" i="7"/>
  <c r="M27" i="17"/>
  <c r="O27" i="17"/>
  <c r="O58" i="17"/>
  <c r="O26" i="17"/>
  <c r="P26" i="17"/>
  <c r="L5" i="24"/>
  <c r="L76" i="24"/>
  <c r="L147" i="24"/>
  <c r="K9" i="16"/>
  <c r="L9" i="16"/>
  <c r="AX27" i="17"/>
  <c r="AU28" i="17"/>
  <c r="L9" i="24"/>
  <c r="L80" i="24"/>
  <c r="L151" i="24"/>
  <c r="K13" i="16"/>
  <c r="L13" i="16"/>
  <c r="W26" i="17"/>
  <c r="T27" i="17"/>
  <c r="AF27" i="7"/>
  <c r="AC28" i="7"/>
  <c r="Z24" i="17"/>
  <c r="CG27" i="17"/>
  <c r="CI26" i="17"/>
  <c r="CJ26" i="17"/>
  <c r="AM63" i="17"/>
  <c r="BS25" i="17"/>
  <c r="BX26" i="17"/>
  <c r="CA25" i="17"/>
  <c r="CB25" i="17"/>
  <c r="CC25" i="17"/>
  <c r="BA26" i="17"/>
  <c r="BF26" i="17"/>
  <c r="BI25" i="17"/>
  <c r="AL27" i="17"/>
  <c r="AO26" i="17"/>
  <c r="BE63" i="17"/>
  <c r="BP26" i="17"/>
  <c r="BM27" i="17"/>
  <c r="K14" i="24"/>
  <c r="K85" i="24"/>
  <c r="K156" i="24"/>
  <c r="J18" i="16"/>
  <c r="CB24" i="17"/>
  <c r="CC24" i="17"/>
  <c r="K24" i="24"/>
  <c r="K95" i="24"/>
  <c r="K166" i="24"/>
  <c r="J29" i="16"/>
  <c r="J21" i="24"/>
  <c r="J92" i="24"/>
  <c r="J163" i="24"/>
  <c r="I36" i="20"/>
  <c r="I35" i="6"/>
  <c r="I36" i="6"/>
  <c r="I26" i="16"/>
  <c r="U65" i="17"/>
  <c r="AP25" i="17"/>
  <c r="AP57" i="17"/>
  <c r="AE61" i="7"/>
  <c r="AD62" i="7"/>
  <c r="AS23" i="17"/>
  <c r="BO26" i="17"/>
  <c r="BN62" i="17"/>
  <c r="AI25" i="17"/>
  <c r="CH27" i="17"/>
  <c r="CI27" i="17"/>
  <c r="CI58" i="17"/>
  <c r="CE28" i="17"/>
  <c r="AY26" i="17"/>
  <c r="AJ21" i="7"/>
  <c r="H28" i="17"/>
  <c r="I28" i="17"/>
  <c r="G58" i="17"/>
  <c r="H27" i="17"/>
  <c r="D29" i="17"/>
  <c r="F29" i="17"/>
  <c r="F59" i="17"/>
  <c r="E78" i="17"/>
  <c r="F28" i="17"/>
  <c r="I5" i="12"/>
  <c r="I35" i="26"/>
  <c r="J88" i="5"/>
  <c r="U82" i="13"/>
  <c r="T82" i="13"/>
  <c r="S89" i="13"/>
  <c r="D79" i="17"/>
  <c r="L92" i="13"/>
  <c r="Z32" i="7"/>
  <c r="J23" i="20"/>
  <c r="J46" i="20"/>
  <c r="K4" i="20"/>
  <c r="K60" i="5"/>
  <c r="F4" i="23"/>
  <c r="D6" i="26"/>
  <c r="D21" i="26"/>
  <c r="D8" i="20"/>
  <c r="D9" i="20"/>
  <c r="E11" i="26"/>
  <c r="E21" i="26"/>
  <c r="E7" i="29"/>
  <c r="E7" i="27"/>
  <c r="G9" i="23"/>
  <c r="F14" i="20"/>
  <c r="F9" i="14"/>
  <c r="BF73" i="17"/>
  <c r="BF54" i="17"/>
  <c r="BF55" i="17"/>
  <c r="BF56" i="17"/>
  <c r="BF57" i="17"/>
  <c r="BF58" i="17"/>
  <c r="BF59" i="17"/>
  <c r="BF60" i="17"/>
  <c r="BF61" i="17"/>
  <c r="BF62" i="17"/>
  <c r="BF63" i="17"/>
  <c r="BF64" i="17"/>
  <c r="BF65" i="17"/>
  <c r="BF66" i="17"/>
  <c r="BF67" i="17"/>
  <c r="BF68" i="17"/>
  <c r="BF69" i="17"/>
  <c r="BP4" i="17"/>
  <c r="M15" i="28"/>
  <c r="M30" i="28"/>
  <c r="M42" i="28"/>
  <c r="M56" i="28"/>
  <c r="M64" i="28"/>
  <c r="M71" i="28"/>
  <c r="M89" i="28"/>
  <c r="M95" i="28"/>
  <c r="M100" i="28"/>
  <c r="N3" i="28"/>
  <c r="D5" i="6"/>
  <c r="L81" i="5"/>
  <c r="M3" i="5"/>
  <c r="L25" i="5"/>
  <c r="L63" i="5"/>
  <c r="G5" i="14"/>
  <c r="G4" i="14"/>
  <c r="L25" i="15"/>
  <c r="H4" i="10"/>
  <c r="H6" i="10"/>
  <c r="R89" i="13"/>
  <c r="I18" i="9"/>
  <c r="I30" i="9"/>
  <c r="H307" i="4"/>
  <c r="H3" i="23"/>
  <c r="G8" i="10"/>
  <c r="G9" i="10"/>
  <c r="K101" i="5"/>
  <c r="K79" i="5"/>
  <c r="M78" i="17"/>
  <c r="AW74" i="17"/>
  <c r="K90" i="5"/>
  <c r="K95" i="5"/>
  <c r="K91" i="5"/>
  <c r="K89" i="5"/>
  <c r="L1" i="19"/>
  <c r="AN75" i="17"/>
  <c r="K11" i="10"/>
  <c r="L3" i="10"/>
  <c r="G34" i="26"/>
  <c r="G33" i="26"/>
  <c r="G5" i="26"/>
  <c r="H11" i="12"/>
  <c r="L29" i="9"/>
  <c r="M3" i="9"/>
  <c r="M29" i="9"/>
  <c r="K7" i="15"/>
  <c r="F23" i="16"/>
  <c r="H18" i="24"/>
  <c r="H89" i="24"/>
  <c r="H160" i="24"/>
  <c r="K12" i="15"/>
  <c r="H24" i="23"/>
  <c r="I28" i="14"/>
  <c r="I29" i="14"/>
  <c r="I31" i="14"/>
  <c r="I13" i="20"/>
  <c r="I7" i="6"/>
  <c r="H12" i="11"/>
  <c r="I111" i="5"/>
  <c r="J96" i="5"/>
  <c r="I36" i="26"/>
  <c r="H32" i="7"/>
  <c r="G16" i="7"/>
  <c r="F17" i="7"/>
  <c r="F16" i="7"/>
  <c r="D17" i="7"/>
  <c r="G17" i="7"/>
  <c r="I14" i="7"/>
  <c r="Y16" i="7"/>
  <c r="X17" i="7"/>
  <c r="X16" i="7"/>
  <c r="V17" i="7"/>
  <c r="Y17" i="7"/>
  <c r="AA14" i="7"/>
  <c r="AG22" i="7"/>
  <c r="AE23" i="7"/>
  <c r="AH22" i="7"/>
  <c r="K28" i="16"/>
  <c r="L28" i="16"/>
  <c r="K27" i="16"/>
  <c r="L27" i="16"/>
  <c r="J94" i="5"/>
  <c r="I93" i="5"/>
  <c r="K9" i="12"/>
  <c r="A28" i="19"/>
  <c r="A54" i="19"/>
  <c r="A68" i="19"/>
  <c r="A82" i="19"/>
  <c r="A14" i="19"/>
  <c r="I43" i="15"/>
  <c r="D8" i="14"/>
  <c r="K40" i="16"/>
  <c r="L40" i="16"/>
  <c r="L33" i="24"/>
  <c r="L104" i="24"/>
  <c r="L175" i="24"/>
  <c r="J43" i="15"/>
  <c r="E31" i="11"/>
  <c r="E31" i="26"/>
  <c r="I10" i="23"/>
  <c r="I48" i="23"/>
  <c r="I86" i="23"/>
  <c r="I32" i="15"/>
  <c r="I34" i="15"/>
  <c r="D12" i="20"/>
  <c r="D6" i="6"/>
  <c r="D31" i="11"/>
  <c r="D31" i="26"/>
  <c r="L41" i="15"/>
  <c r="L6" i="15"/>
  <c r="L42" i="15"/>
  <c r="M40" i="15"/>
  <c r="G10" i="26"/>
  <c r="C31" i="11"/>
  <c r="C31" i="26"/>
  <c r="H32" i="15"/>
  <c r="H34" i="15"/>
  <c r="C12" i="20"/>
  <c r="C6" i="6"/>
  <c r="C8" i="14"/>
  <c r="C7" i="31"/>
  <c r="C9" i="31"/>
  <c r="K41" i="15"/>
  <c r="K6" i="15"/>
  <c r="K10" i="15"/>
  <c r="E32" i="28"/>
  <c r="G65" i="28"/>
  <c r="G39" i="28"/>
  <c r="G12" i="28"/>
  <c r="G46" i="28"/>
  <c r="G16" i="28"/>
  <c r="D38" i="28"/>
  <c r="D37" i="28"/>
  <c r="D9" i="28"/>
  <c r="D24" i="28"/>
  <c r="D210" i="24"/>
  <c r="D209" i="24"/>
  <c r="E31" i="28"/>
  <c r="E37" i="28"/>
  <c r="E38" i="28"/>
  <c r="E9" i="28"/>
  <c r="E24" i="28"/>
  <c r="C10" i="28"/>
  <c r="C33" i="28"/>
  <c r="C34" i="28"/>
  <c r="C8" i="28"/>
  <c r="B207" i="24"/>
  <c r="C18" i="28"/>
  <c r="C210" i="24"/>
  <c r="C209" i="24"/>
  <c r="D31" i="28"/>
  <c r="E9" i="20"/>
  <c r="L27" i="24"/>
  <c r="L98" i="24"/>
  <c r="L169" i="24"/>
  <c r="K32" i="16"/>
  <c r="L32" i="16"/>
  <c r="K4" i="16"/>
  <c r="J38" i="16"/>
  <c r="K30" i="16"/>
  <c r="L30" i="16"/>
  <c r="L25" i="24"/>
  <c r="L96" i="24"/>
  <c r="L167" i="24"/>
  <c r="K54" i="16"/>
  <c r="L54" i="16"/>
  <c r="L47" i="24"/>
  <c r="L118" i="24"/>
  <c r="L189" i="24"/>
  <c r="K10" i="16"/>
  <c r="L10" i="16"/>
  <c r="L6" i="24"/>
  <c r="L77" i="24"/>
  <c r="L148" i="24"/>
  <c r="K17" i="16"/>
  <c r="L17" i="16"/>
  <c r="L13" i="24"/>
  <c r="L84" i="24"/>
  <c r="L155" i="24"/>
  <c r="H82" i="16"/>
  <c r="G100" i="23"/>
  <c r="B170" i="24"/>
  <c r="B138" i="24"/>
  <c r="F42" i="23"/>
  <c r="G79" i="23"/>
  <c r="H62" i="23"/>
  <c r="H41" i="23"/>
  <c r="G47" i="23"/>
  <c r="G85" i="23"/>
  <c r="L40" i="23"/>
  <c r="L78" i="23"/>
  <c r="AN27" i="17"/>
  <c r="AP26" i="17"/>
  <c r="AQ26" i="17"/>
  <c r="AV64" i="17"/>
  <c r="L26" i="24"/>
  <c r="L97" i="24"/>
  <c r="L168" i="24"/>
  <c r="K31" i="16"/>
  <c r="L31" i="16"/>
  <c r="CH28" i="17"/>
  <c r="CE29" i="17"/>
  <c r="BO27" i="17"/>
  <c r="BQ26" i="17"/>
  <c r="BR26" i="17"/>
  <c r="K21" i="24"/>
  <c r="K92" i="24"/>
  <c r="K163" i="24"/>
  <c r="J36" i="20"/>
  <c r="J35" i="6"/>
  <c r="J36" i="6"/>
  <c r="J26" i="16"/>
  <c r="L24" i="24"/>
  <c r="L95" i="24"/>
  <c r="L166" i="24"/>
  <c r="K29" i="16"/>
  <c r="L29" i="16"/>
  <c r="BP27" i="17"/>
  <c r="BQ27" i="17"/>
  <c r="BQ58" i="17"/>
  <c r="BM28" i="17"/>
  <c r="BJ25" i="17"/>
  <c r="BK25" i="17"/>
  <c r="BT25" i="17"/>
  <c r="M28" i="17"/>
  <c r="P27" i="17"/>
  <c r="Q27" i="17"/>
  <c r="R27" i="17"/>
  <c r="Q17" i="7"/>
  <c r="R17" i="7"/>
  <c r="BA27" i="17"/>
  <c r="BB27" i="17"/>
  <c r="CF63" i="17"/>
  <c r="AY27" i="17"/>
  <c r="AY58" i="17"/>
  <c r="V27" i="17"/>
  <c r="X26" i="17"/>
  <c r="Y26" i="17"/>
  <c r="L64" i="17"/>
  <c r="AJ25" i="17"/>
  <c r="AX28" i="17"/>
  <c r="AU29" i="17"/>
  <c r="Z25" i="17"/>
  <c r="AA25" i="17"/>
  <c r="BG27" i="17"/>
  <c r="BH27" i="17"/>
  <c r="BH58" i="17"/>
  <c r="BD28" i="17"/>
  <c r="BN63" i="17"/>
  <c r="U66" i="17"/>
  <c r="L14" i="24"/>
  <c r="L85" i="24"/>
  <c r="L156" i="24"/>
  <c r="K18" i="16"/>
  <c r="L18" i="16"/>
  <c r="BF27" i="17"/>
  <c r="BH26" i="17"/>
  <c r="BI26" i="17"/>
  <c r="CK26" i="17"/>
  <c r="W27" i="17"/>
  <c r="X27" i="17"/>
  <c r="X58" i="17"/>
  <c r="T28" i="17"/>
  <c r="Q26" i="17"/>
  <c r="R26" i="17"/>
  <c r="Q16" i="7"/>
  <c r="P33" i="7"/>
  <c r="K31" i="24"/>
  <c r="K102" i="24"/>
  <c r="K173" i="24"/>
  <c r="I80" i="16"/>
  <c r="AW28" i="17"/>
  <c r="AE28" i="17"/>
  <c r="AH27" i="17"/>
  <c r="AI27" i="17"/>
  <c r="AJ27" i="17"/>
  <c r="AD63" i="17"/>
  <c r="L17" i="24"/>
  <c r="L88" i="24"/>
  <c r="L159" i="24"/>
  <c r="K22" i="16"/>
  <c r="L22" i="16"/>
  <c r="AO27" i="17"/>
  <c r="AL28" i="17"/>
  <c r="AM64" i="17"/>
  <c r="CG28" i="17"/>
  <c r="CJ27" i="17"/>
  <c r="CK27" i="17"/>
  <c r="CL27" i="17"/>
  <c r="AA24" i="17"/>
  <c r="AD63" i="7"/>
  <c r="AE62" i="7"/>
  <c r="BE64" i="17"/>
  <c r="BB26" i="17"/>
  <c r="BX27" i="17"/>
  <c r="BZ26" i="17"/>
  <c r="CA26" i="17"/>
  <c r="AF28" i="7"/>
  <c r="AC29" i="7"/>
  <c r="M18" i="7"/>
  <c r="O33" i="7"/>
  <c r="AI26" i="17"/>
  <c r="N28" i="17"/>
  <c r="K29" i="17"/>
  <c r="BY27" i="17"/>
  <c r="BZ27" i="17"/>
  <c r="BZ58" i="17"/>
  <c r="BV28" i="17"/>
  <c r="BW65" i="17"/>
  <c r="AF28" i="17"/>
  <c r="AC29" i="17"/>
  <c r="D30" i="17"/>
  <c r="G30" i="17"/>
  <c r="G29" i="17"/>
  <c r="I27" i="17"/>
  <c r="H58" i="17"/>
  <c r="J5" i="12"/>
  <c r="J35" i="26"/>
  <c r="E24" i="26"/>
  <c r="J18" i="9"/>
  <c r="J30" i="9"/>
  <c r="M3" i="10"/>
  <c r="M11" i="10"/>
  <c r="L11" i="10"/>
  <c r="M79" i="17"/>
  <c r="M81" i="5"/>
  <c r="N3" i="5"/>
  <c r="M63" i="5"/>
  <c r="M25" i="5"/>
  <c r="D24" i="26"/>
  <c r="D7" i="29"/>
  <c r="K33" i="15"/>
  <c r="L31" i="15"/>
  <c r="F61" i="16"/>
  <c r="H53" i="24"/>
  <c r="H124" i="24"/>
  <c r="H195" i="24"/>
  <c r="H8" i="10"/>
  <c r="H9" i="10"/>
  <c r="I3" i="23"/>
  <c r="L7" i="15"/>
  <c r="G23" i="16"/>
  <c r="I18" i="24"/>
  <c r="I89" i="24"/>
  <c r="I160" i="24"/>
  <c r="L12" i="15"/>
  <c r="L90" i="5"/>
  <c r="L95" i="5"/>
  <c r="L91" i="5"/>
  <c r="L89" i="5"/>
  <c r="N15" i="28"/>
  <c r="N30" i="28"/>
  <c r="N42" i="28"/>
  <c r="N56" i="28"/>
  <c r="N64" i="28"/>
  <c r="N71" i="28"/>
  <c r="N89" i="28"/>
  <c r="N95" i="28"/>
  <c r="N100" i="28"/>
  <c r="O3" i="28"/>
  <c r="O15" i="28"/>
  <c r="O30" i="28"/>
  <c r="O42" i="28"/>
  <c r="O56" i="28"/>
  <c r="O64" i="28"/>
  <c r="O71" i="28"/>
  <c r="O89" i="28"/>
  <c r="O95" i="28"/>
  <c r="O100" i="28"/>
  <c r="BF74" i="17"/>
  <c r="J23" i="22"/>
  <c r="J43" i="6"/>
  <c r="AW75" i="17"/>
  <c r="K106" i="5"/>
  <c r="I11" i="12"/>
  <c r="H34" i="26"/>
  <c r="H33" i="26"/>
  <c r="H5" i="26"/>
  <c r="G9" i="14"/>
  <c r="G11" i="11"/>
  <c r="G14" i="20"/>
  <c r="K23" i="20"/>
  <c r="K46" i="20"/>
  <c r="L4" i="20"/>
  <c r="L23" i="20"/>
  <c r="L46" i="20"/>
  <c r="D80" i="17"/>
  <c r="L24" i="15"/>
  <c r="K26" i="15"/>
  <c r="K27" i="15"/>
  <c r="F7" i="20"/>
  <c r="F5" i="6"/>
  <c r="M1" i="19"/>
  <c r="L79" i="5"/>
  <c r="L101" i="5"/>
  <c r="H9" i="23"/>
  <c r="F11" i="26"/>
  <c r="D7" i="27"/>
  <c r="K98" i="5"/>
  <c r="I22" i="26"/>
  <c r="T89" i="13"/>
  <c r="AN76" i="17"/>
  <c r="K88" i="5"/>
  <c r="H5" i="14"/>
  <c r="H4" i="14"/>
  <c r="I4" i="10"/>
  <c r="I6" i="10"/>
  <c r="M25" i="15"/>
  <c r="L60" i="5"/>
  <c r="BY4" i="17"/>
  <c r="BO54" i="17"/>
  <c r="BO55" i="17"/>
  <c r="BO56" i="17"/>
  <c r="BO57" i="17"/>
  <c r="BO58" i="17"/>
  <c r="BO59" i="17"/>
  <c r="BO60" i="17"/>
  <c r="BO61" i="17"/>
  <c r="BO62" i="17"/>
  <c r="BO63" i="17"/>
  <c r="BO64" i="17"/>
  <c r="BO65" i="17"/>
  <c r="BO66" i="17"/>
  <c r="BO67" i="17"/>
  <c r="BO68" i="17"/>
  <c r="BO69" i="17"/>
  <c r="BO73" i="17"/>
  <c r="V82" i="13"/>
  <c r="U89" i="13"/>
  <c r="W82" i="13"/>
  <c r="I24" i="23"/>
  <c r="J28" i="14"/>
  <c r="H12" i="26"/>
  <c r="J10" i="23"/>
  <c r="I12" i="11"/>
  <c r="J111" i="5"/>
  <c r="K96" i="5"/>
  <c r="J36" i="26"/>
  <c r="D18" i="7"/>
  <c r="F33" i="7"/>
  <c r="H16" i="7"/>
  <c r="I16" i="7"/>
  <c r="G33" i="7"/>
  <c r="H17" i="7"/>
  <c r="I17" i="7"/>
  <c r="V18" i="7"/>
  <c r="X33" i="7"/>
  <c r="Z16" i="7"/>
  <c r="Y33" i="7"/>
  <c r="Z17" i="7"/>
  <c r="AA17" i="7"/>
  <c r="AI22" i="7"/>
  <c r="AJ22" i="7"/>
  <c r="AH23" i="7"/>
  <c r="AG23" i="7"/>
  <c r="J93" i="5"/>
  <c r="K94" i="5"/>
  <c r="L9" i="12"/>
  <c r="A15" i="19"/>
  <c r="A29" i="19"/>
  <c r="A55" i="19"/>
  <c r="A69" i="19"/>
  <c r="A83" i="19"/>
  <c r="E8" i="14"/>
  <c r="J32" i="15"/>
  <c r="J34" i="15"/>
  <c r="E12" i="20"/>
  <c r="E6" i="6"/>
  <c r="G21" i="16"/>
  <c r="I16" i="24"/>
  <c r="I87" i="24"/>
  <c r="I158" i="24"/>
  <c r="I8" i="23"/>
  <c r="I46" i="23"/>
  <c r="I84" i="23"/>
  <c r="G7" i="27"/>
  <c r="H10" i="26"/>
  <c r="M41" i="15"/>
  <c r="M6" i="15"/>
  <c r="F19" i="31"/>
  <c r="G19" i="31"/>
  <c r="O8" i="31"/>
  <c r="F20" i="31"/>
  <c r="G20" i="31"/>
  <c r="O9" i="31"/>
  <c r="F10" i="26"/>
  <c r="H8" i="23"/>
  <c r="H46" i="23"/>
  <c r="H84" i="23"/>
  <c r="F21" i="16"/>
  <c r="H16" i="24"/>
  <c r="H87" i="24"/>
  <c r="H158" i="24"/>
  <c r="K42" i="15"/>
  <c r="D15" i="31"/>
  <c r="F18" i="31"/>
  <c r="G18" i="31"/>
  <c r="O7" i="31"/>
  <c r="L98" i="5"/>
  <c r="J22" i="26"/>
  <c r="H4" i="28"/>
  <c r="G99" i="23"/>
  <c r="H16" i="28"/>
  <c r="C36" i="28"/>
  <c r="B171" i="24"/>
  <c r="B157" i="24"/>
  <c r="E22" i="28"/>
  <c r="E19" i="28"/>
  <c r="D22" i="28"/>
  <c r="D19" i="28"/>
  <c r="C20" i="28"/>
  <c r="C32" i="28"/>
  <c r="L4" i="16"/>
  <c r="K38" i="16"/>
  <c r="I82" i="16"/>
  <c r="H100" i="23"/>
  <c r="F80" i="23"/>
  <c r="F99" i="23"/>
  <c r="H47" i="23"/>
  <c r="H85" i="23"/>
  <c r="H79" i="23"/>
  <c r="I4" i="28"/>
  <c r="J48" i="23"/>
  <c r="J86" i="23"/>
  <c r="I62" i="23"/>
  <c r="I41" i="23"/>
  <c r="CL26" i="17"/>
  <c r="AR26" i="17"/>
  <c r="AW29" i="17"/>
  <c r="AY28" i="17"/>
  <c r="AZ28" i="17"/>
  <c r="BF28" i="17"/>
  <c r="BI27" i="17"/>
  <c r="U67" i="17"/>
  <c r="L65" i="17"/>
  <c r="BP28" i="17"/>
  <c r="BM29" i="17"/>
  <c r="BO28" i="17"/>
  <c r="BR27" i="17"/>
  <c r="BS27" i="17"/>
  <c r="BT27" i="17"/>
  <c r="AV65" i="17"/>
  <c r="W28" i="17"/>
  <c r="T29" i="17"/>
  <c r="AF29" i="17"/>
  <c r="AC30" i="17"/>
  <c r="O18" i="7"/>
  <c r="M19" i="7"/>
  <c r="P19" i="7"/>
  <c r="Q19" i="7"/>
  <c r="R19" i="7"/>
  <c r="O19" i="7"/>
  <c r="P18" i="7"/>
  <c r="BX28" i="17"/>
  <c r="CA27" i="17"/>
  <c r="BW66" i="17"/>
  <c r="BY28" i="17"/>
  <c r="BV29" i="17"/>
  <c r="N29" i="17"/>
  <c r="K30" i="17"/>
  <c r="L31" i="24"/>
  <c r="L102" i="24"/>
  <c r="L173" i="24"/>
  <c r="J80" i="16"/>
  <c r="R16" i="7"/>
  <c r="Q33" i="7"/>
  <c r="BJ26" i="17"/>
  <c r="BN64" i="17"/>
  <c r="BG28" i="17"/>
  <c r="BD29" i="17"/>
  <c r="Z26" i="17"/>
  <c r="AA26" i="17"/>
  <c r="L21" i="24"/>
  <c r="L92" i="24"/>
  <c r="L163" i="24"/>
  <c r="K36" i="20"/>
  <c r="K35" i="6"/>
  <c r="K36" i="6"/>
  <c r="K26" i="16"/>
  <c r="BS26" i="17"/>
  <c r="CH29" i="17"/>
  <c r="CI29" i="17"/>
  <c r="CI59" i="17"/>
  <c r="CE30" i="17"/>
  <c r="AN28" i="17"/>
  <c r="AQ27" i="17"/>
  <c r="AR27" i="17"/>
  <c r="AS27" i="17"/>
  <c r="AD64" i="7"/>
  <c r="AE63" i="7"/>
  <c r="CG29" i="17"/>
  <c r="CI28" i="17"/>
  <c r="CJ28" i="17"/>
  <c r="AD64" i="17"/>
  <c r="AE29" i="17"/>
  <c r="AG28" i="17"/>
  <c r="AG29" i="17"/>
  <c r="AG59" i="17"/>
  <c r="AH28" i="17"/>
  <c r="V28" i="17"/>
  <c r="Y27" i="17"/>
  <c r="M29" i="17"/>
  <c r="O29" i="17"/>
  <c r="O59" i="17"/>
  <c r="O28" i="17"/>
  <c r="P28" i="17"/>
  <c r="AJ26" i="17"/>
  <c r="AF29" i="7"/>
  <c r="AC30" i="7"/>
  <c r="CB26" i="17"/>
  <c r="CC26" i="17"/>
  <c r="BE65" i="17"/>
  <c r="AM65" i="17"/>
  <c r="AO28" i="17"/>
  <c r="AL29" i="17"/>
  <c r="AX29" i="17"/>
  <c r="AU30" i="17"/>
  <c r="CF64" i="17"/>
  <c r="AP27" i="17"/>
  <c r="AP58" i="17"/>
  <c r="Z33" i="7"/>
  <c r="H30" i="17"/>
  <c r="I30" i="17"/>
  <c r="H29" i="17"/>
  <c r="G59" i="17"/>
  <c r="F30" i="17"/>
  <c r="D31" i="17"/>
  <c r="F31" i="17"/>
  <c r="F60" i="17"/>
  <c r="E79" i="17"/>
  <c r="K5" i="12"/>
  <c r="L10" i="15"/>
  <c r="K35" i="26"/>
  <c r="L35" i="26"/>
  <c r="CH4" i="17"/>
  <c r="BX73" i="17"/>
  <c r="BX54" i="17"/>
  <c r="BX55" i="17"/>
  <c r="BX56" i="17"/>
  <c r="BX57" i="17"/>
  <c r="BX58" i="17"/>
  <c r="BX59" i="17"/>
  <c r="BX60" i="17"/>
  <c r="BX61" i="17"/>
  <c r="BX62" i="17"/>
  <c r="BX63" i="17"/>
  <c r="BX64" i="17"/>
  <c r="BX65" i="17"/>
  <c r="BX66" i="17"/>
  <c r="BX67" i="17"/>
  <c r="BX68" i="17"/>
  <c r="BX69" i="17"/>
  <c r="K23" i="22"/>
  <c r="K43" i="6"/>
  <c r="L106" i="5"/>
  <c r="AW76" i="17"/>
  <c r="BF75" i="17"/>
  <c r="L26" i="15"/>
  <c r="L27" i="15"/>
  <c r="G7" i="20"/>
  <c r="M24" i="15"/>
  <c r="V89" i="13"/>
  <c r="K18" i="9"/>
  <c r="K30" i="9"/>
  <c r="N81" i="5"/>
  <c r="O26" i="5"/>
  <c r="N25" i="5"/>
  <c r="N63" i="5"/>
  <c r="O63" i="5"/>
  <c r="O79" i="5"/>
  <c r="M80" i="17"/>
  <c r="M101" i="5"/>
  <c r="M79" i="5"/>
  <c r="I34" i="26"/>
  <c r="I33" i="26"/>
  <c r="I5" i="26"/>
  <c r="AA16" i="7"/>
  <c r="H33" i="7"/>
  <c r="BO74" i="17"/>
  <c r="AN77" i="17"/>
  <c r="K103" i="5"/>
  <c r="D81" i="17"/>
  <c r="M60" i="5"/>
  <c r="M90" i="5"/>
  <c r="M95" i="5"/>
  <c r="M91" i="5"/>
  <c r="M89" i="5"/>
  <c r="H9" i="14"/>
  <c r="H11" i="11"/>
  <c r="H14" i="20"/>
  <c r="X82" i="13"/>
  <c r="H97" i="13"/>
  <c r="W89" i="13"/>
  <c r="M12" i="15"/>
  <c r="M7" i="15"/>
  <c r="H23" i="16"/>
  <c r="J18" i="24"/>
  <c r="J89" i="24"/>
  <c r="J160" i="24"/>
  <c r="F22" i="31"/>
  <c r="F21" i="31"/>
  <c r="G21" i="31"/>
  <c r="O10" i="31"/>
  <c r="O12" i="31"/>
  <c r="N1" i="19"/>
  <c r="L23" i="22"/>
  <c r="L43" i="6"/>
  <c r="G11" i="26"/>
  <c r="G21" i="26"/>
  <c r="I9" i="23"/>
  <c r="J3" i="23"/>
  <c r="I8" i="10"/>
  <c r="I9" i="10"/>
  <c r="L88" i="5"/>
  <c r="L33" i="15"/>
  <c r="M31" i="15"/>
  <c r="G61" i="16"/>
  <c r="I53" i="24"/>
  <c r="I124" i="24"/>
  <c r="I195" i="24"/>
  <c r="J24" i="23"/>
  <c r="J12" i="11"/>
  <c r="L10" i="23"/>
  <c r="K10" i="23"/>
  <c r="I12" i="26"/>
  <c r="K28" i="14"/>
  <c r="K29" i="14"/>
  <c r="J29" i="14"/>
  <c r="J31" i="14"/>
  <c r="J13" i="20"/>
  <c r="J7" i="6"/>
  <c r="K111" i="5"/>
  <c r="L96" i="5"/>
  <c r="L36" i="26"/>
  <c r="K36" i="26"/>
  <c r="N25" i="15"/>
  <c r="I5" i="14"/>
  <c r="I4" i="14"/>
  <c r="J4" i="10"/>
  <c r="J6" i="10"/>
  <c r="F18" i="7"/>
  <c r="D19" i="7"/>
  <c r="G19" i="7"/>
  <c r="G18" i="7"/>
  <c r="F19" i="7"/>
  <c r="X18" i="7"/>
  <c r="V19" i="7"/>
  <c r="Y19" i="7"/>
  <c r="Y18" i="7"/>
  <c r="X19" i="7"/>
  <c r="AE24" i="7"/>
  <c r="AG56" i="7"/>
  <c r="AI23" i="7"/>
  <c r="AJ23" i="7"/>
  <c r="K93" i="5"/>
  <c r="L94" i="5"/>
  <c r="M9" i="12"/>
  <c r="A16" i="19"/>
  <c r="A31" i="19"/>
  <c r="A57" i="19"/>
  <c r="A71" i="19"/>
  <c r="A85" i="19"/>
  <c r="A30" i="19"/>
  <c r="A56" i="19"/>
  <c r="A70" i="19"/>
  <c r="A84" i="19"/>
  <c r="L97" i="13"/>
  <c r="I98" i="13"/>
  <c r="I23" i="6"/>
  <c r="J8" i="23"/>
  <c r="J46" i="23"/>
  <c r="J84" i="23"/>
  <c r="H7" i="27"/>
  <c r="L40" i="15"/>
  <c r="L43" i="15"/>
  <c r="G8" i="14"/>
  <c r="K43" i="15"/>
  <c r="J8" i="10"/>
  <c r="J11" i="12"/>
  <c r="G22" i="31"/>
  <c r="O11" i="31"/>
  <c r="O32" i="31"/>
  <c r="M5" i="12"/>
  <c r="K99" i="13"/>
  <c r="K3" i="23"/>
  <c r="K41" i="23"/>
  <c r="I39" i="28"/>
  <c r="I65" i="28"/>
  <c r="I12" i="28"/>
  <c r="I46" i="28"/>
  <c r="I16" i="28"/>
  <c r="H103" i="28"/>
  <c r="G102" i="23"/>
  <c r="H65" i="28"/>
  <c r="H39" i="28"/>
  <c r="H12" i="28"/>
  <c r="H46" i="28"/>
  <c r="C37" i="28"/>
  <c r="C38" i="28"/>
  <c r="C9" i="28"/>
  <c r="C24" i="28"/>
  <c r="B210" i="24"/>
  <c r="B209" i="24"/>
  <c r="C31" i="28"/>
  <c r="G103" i="28"/>
  <c r="F102" i="23"/>
  <c r="L38" i="16"/>
  <c r="L80" i="16"/>
  <c r="L82" i="16"/>
  <c r="J82" i="16"/>
  <c r="I100" i="23"/>
  <c r="K48" i="23"/>
  <c r="K86" i="23"/>
  <c r="J41" i="23"/>
  <c r="L48" i="23"/>
  <c r="L86" i="23"/>
  <c r="I47" i="23"/>
  <c r="I85" i="23"/>
  <c r="J62" i="23"/>
  <c r="I79" i="23"/>
  <c r="J4" i="28"/>
  <c r="BT26" i="17"/>
  <c r="AF30" i="17"/>
  <c r="AC31" i="17"/>
  <c r="U68" i="17"/>
  <c r="H96" i="13"/>
  <c r="H22" i="6"/>
  <c r="AU31" i="17"/>
  <c r="AX30" i="17"/>
  <c r="AO29" i="17"/>
  <c r="AL30" i="17"/>
  <c r="BE66" i="17"/>
  <c r="M30" i="17"/>
  <c r="P29" i="17"/>
  <c r="Q29" i="17"/>
  <c r="R29" i="17"/>
  <c r="CK28" i="17"/>
  <c r="CL28" i="17"/>
  <c r="AP29" i="17"/>
  <c r="AP59" i="17"/>
  <c r="AN29" i="17"/>
  <c r="AP28" i="17"/>
  <c r="AQ28" i="17"/>
  <c r="CH30" i="17"/>
  <c r="CE31" i="17"/>
  <c r="L26" i="16"/>
  <c r="L36" i="20"/>
  <c r="L35" i="6"/>
  <c r="L36" i="6"/>
  <c r="BG29" i="17"/>
  <c r="BH29" i="17"/>
  <c r="BH59" i="17"/>
  <c r="BD30" i="17"/>
  <c r="K80" i="16"/>
  <c r="K82" i="16"/>
  <c r="Q18" i="7"/>
  <c r="Q34" i="7"/>
  <c r="P34" i="7"/>
  <c r="W29" i="17"/>
  <c r="T30" i="17"/>
  <c r="BP29" i="17"/>
  <c r="BM30" i="17"/>
  <c r="AW30" i="17"/>
  <c r="AZ29" i="17"/>
  <c r="BA29" i="17"/>
  <c r="BB29" i="17"/>
  <c r="AS26" i="17"/>
  <c r="AI28" i="17"/>
  <c r="AJ28" i="17"/>
  <c r="Q28" i="17"/>
  <c r="R28" i="17"/>
  <c r="Z27" i="17"/>
  <c r="AE64" i="7"/>
  <c r="AD65" i="7"/>
  <c r="BK26" i="17"/>
  <c r="CB27" i="17"/>
  <c r="M20" i="7"/>
  <c r="O34" i="7"/>
  <c r="AV66" i="17"/>
  <c r="BQ29" i="17"/>
  <c r="BQ59" i="17"/>
  <c r="BO29" i="17"/>
  <c r="BQ28" i="17"/>
  <c r="BR28" i="17"/>
  <c r="L66" i="17"/>
  <c r="BJ27" i="17"/>
  <c r="BK27" i="17"/>
  <c r="AY29" i="17"/>
  <c r="AY59" i="17"/>
  <c r="AD65" i="17"/>
  <c r="CF65" i="17"/>
  <c r="AM66" i="17"/>
  <c r="AF30" i="7"/>
  <c r="AC31" i="7"/>
  <c r="X29" i="17"/>
  <c r="X59" i="17"/>
  <c r="V29" i="17"/>
  <c r="X28" i="17"/>
  <c r="Y28" i="17"/>
  <c r="AE30" i="17"/>
  <c r="AH29" i="17"/>
  <c r="AI29" i="17"/>
  <c r="AJ29" i="17"/>
  <c r="CG30" i="17"/>
  <c r="CJ29" i="17"/>
  <c r="CK29" i="17"/>
  <c r="CL29" i="17"/>
  <c r="BN65" i="17"/>
  <c r="N30" i="17"/>
  <c r="K31" i="17"/>
  <c r="BY29" i="17"/>
  <c r="BV30" i="17"/>
  <c r="BW67" i="17"/>
  <c r="BX29" i="17"/>
  <c r="BZ29" i="17"/>
  <c r="BZ59" i="17"/>
  <c r="BZ28" i="17"/>
  <c r="CA28" i="17"/>
  <c r="BF29" i="17"/>
  <c r="BH28" i="17"/>
  <c r="BI28" i="17"/>
  <c r="BA28" i="17"/>
  <c r="BB28" i="17"/>
  <c r="E96" i="13"/>
  <c r="E22" i="6"/>
  <c r="H93" i="13"/>
  <c r="H24" i="6"/>
  <c r="H98" i="13"/>
  <c r="H23" i="6"/>
  <c r="K93" i="13"/>
  <c r="K10" i="14"/>
  <c r="C98" i="13"/>
  <c r="C23" i="6"/>
  <c r="F93" i="13"/>
  <c r="F10" i="14"/>
  <c r="E98" i="13"/>
  <c r="E23" i="6"/>
  <c r="E93" i="13"/>
  <c r="E10" i="14"/>
  <c r="E7" i="14"/>
  <c r="E11" i="14"/>
  <c r="I29" i="17"/>
  <c r="H59" i="17"/>
  <c r="D32" i="17"/>
  <c r="G32" i="17"/>
  <c r="G31" i="17"/>
  <c r="L5" i="12"/>
  <c r="G24" i="26"/>
  <c r="G7" i="29"/>
  <c r="L32" i="15"/>
  <c r="L34" i="15"/>
  <c r="G12" i="20"/>
  <c r="G6" i="6"/>
  <c r="K4" i="10"/>
  <c r="K6" i="10"/>
  <c r="O25" i="15"/>
  <c r="O12" i="15"/>
  <c r="J5" i="14"/>
  <c r="J4" i="14"/>
  <c r="M106" i="5"/>
  <c r="BX74" i="17"/>
  <c r="BX75" i="17"/>
  <c r="BX76" i="17"/>
  <c r="BX77" i="17"/>
  <c r="BX78" i="17"/>
  <c r="BX79" i="17"/>
  <c r="BX80" i="17"/>
  <c r="BX81" i="17"/>
  <c r="BX82" i="17"/>
  <c r="BX83" i="17"/>
  <c r="BX84" i="17"/>
  <c r="BX85" i="17"/>
  <c r="BX86" i="17"/>
  <c r="BX87" i="17"/>
  <c r="BX88" i="17"/>
  <c r="H61" i="16"/>
  <c r="J53" i="24"/>
  <c r="J124" i="24"/>
  <c r="J195" i="24"/>
  <c r="M33" i="15"/>
  <c r="N31" i="15"/>
  <c r="M98" i="5"/>
  <c r="K22" i="26"/>
  <c r="L18" i="9"/>
  <c r="L30" i="9"/>
  <c r="J93" i="13"/>
  <c r="D98" i="13"/>
  <c r="D23" i="6"/>
  <c r="J98" i="13"/>
  <c r="J23" i="6"/>
  <c r="J96" i="13"/>
  <c r="C99" i="13"/>
  <c r="C16" i="16"/>
  <c r="E12" i="24"/>
  <c r="E83" i="24"/>
  <c r="E154" i="24"/>
  <c r="K98" i="13"/>
  <c r="K23" i="6"/>
  <c r="D99" i="13"/>
  <c r="K97" i="13"/>
  <c r="BF76" i="17"/>
  <c r="CG73" i="17"/>
  <c r="CG54" i="17"/>
  <c r="CG55" i="17"/>
  <c r="CG56" i="17"/>
  <c r="CG57" i="17"/>
  <c r="CG58" i="17"/>
  <c r="CG59" i="17"/>
  <c r="CG60" i="17"/>
  <c r="CG61" i="17"/>
  <c r="CG62" i="17"/>
  <c r="CG63" i="17"/>
  <c r="CG64" i="17"/>
  <c r="CG65" i="17"/>
  <c r="CG66" i="17"/>
  <c r="CG67" i="17"/>
  <c r="CG68" i="17"/>
  <c r="CG69" i="17"/>
  <c r="N24" i="15"/>
  <c r="M26" i="15"/>
  <c r="M27" i="15"/>
  <c r="H7" i="20"/>
  <c r="BO75" i="17"/>
  <c r="F6" i="26"/>
  <c r="F21" i="26"/>
  <c r="F8" i="20"/>
  <c r="F9" i="20"/>
  <c r="H4" i="23"/>
  <c r="N60" i="5"/>
  <c r="K24" i="23"/>
  <c r="O1" i="19"/>
  <c r="J9" i="23"/>
  <c r="H11" i="26"/>
  <c r="H21" i="26"/>
  <c r="M88" i="5"/>
  <c r="L96" i="13"/>
  <c r="AN78" i="17"/>
  <c r="M18" i="9"/>
  <c r="M30" i="9"/>
  <c r="L5" i="14"/>
  <c r="L4" i="14"/>
  <c r="M81" i="17"/>
  <c r="N91" i="5"/>
  <c r="O91" i="5"/>
  <c r="N89" i="5"/>
  <c r="N90" i="5"/>
  <c r="O90" i="5"/>
  <c r="I99" i="13"/>
  <c r="F97" i="13"/>
  <c r="K96" i="13"/>
  <c r="D97" i="13"/>
  <c r="I96" i="13"/>
  <c r="J97" i="13"/>
  <c r="AW77" i="17"/>
  <c r="G9" i="20"/>
  <c r="G5" i="6"/>
  <c r="O25" i="5"/>
  <c r="O60" i="5"/>
  <c r="F31" i="31"/>
  <c r="X89" i="13"/>
  <c r="L93" i="13"/>
  <c r="F99" i="13"/>
  <c r="G93" i="13"/>
  <c r="E99" i="13"/>
  <c r="G97" i="13"/>
  <c r="G98" i="13"/>
  <c r="G23" i="6"/>
  <c r="C93" i="13"/>
  <c r="C97" i="13"/>
  <c r="C12" i="16"/>
  <c r="E8" i="24"/>
  <c r="E79" i="24"/>
  <c r="E150" i="24"/>
  <c r="G96" i="13"/>
  <c r="J99" i="13"/>
  <c r="F98" i="13"/>
  <c r="F23" i="6"/>
  <c r="I97" i="13"/>
  <c r="L98" i="13"/>
  <c r="L23" i="6"/>
  <c r="I93" i="13"/>
  <c r="D82" i="17"/>
  <c r="L103" i="5"/>
  <c r="N79" i="5"/>
  <c r="N101" i="5"/>
  <c r="O101" i="5"/>
  <c r="J34" i="26"/>
  <c r="J33" i="26"/>
  <c r="J5" i="26"/>
  <c r="L99" i="13"/>
  <c r="F96" i="13"/>
  <c r="D96" i="13"/>
  <c r="C96" i="13"/>
  <c r="G99" i="13"/>
  <c r="E97" i="13"/>
  <c r="D93" i="13"/>
  <c r="H99" i="13"/>
  <c r="K12" i="11"/>
  <c r="K12" i="26"/>
  <c r="J12" i="26"/>
  <c r="K31" i="14"/>
  <c r="K13" i="20"/>
  <c r="K7" i="6"/>
  <c r="L28" i="14"/>
  <c r="L111" i="5"/>
  <c r="M96" i="5"/>
  <c r="J9" i="10"/>
  <c r="I11" i="11"/>
  <c r="I9" i="14"/>
  <c r="I14" i="20"/>
  <c r="N7" i="15"/>
  <c r="N12" i="15"/>
  <c r="H19" i="7"/>
  <c r="I19" i="7"/>
  <c r="D20" i="7"/>
  <c r="F34" i="7"/>
  <c r="G34" i="7"/>
  <c r="H18" i="7"/>
  <c r="H34" i="7"/>
  <c r="Z19" i="7"/>
  <c r="AA19" i="7"/>
  <c r="V20" i="7"/>
  <c r="X34" i="7"/>
  <c r="Y34" i="7"/>
  <c r="Z18" i="7"/>
  <c r="AA18" i="7"/>
  <c r="AG24" i="7"/>
  <c r="AE25" i="7"/>
  <c r="AH24" i="7"/>
  <c r="M94" i="5"/>
  <c r="L93" i="5"/>
  <c r="M42" i="15"/>
  <c r="H21" i="16"/>
  <c r="J16" i="24"/>
  <c r="J87" i="24"/>
  <c r="J158" i="24"/>
  <c r="M10" i="15"/>
  <c r="G31" i="11"/>
  <c r="G31" i="26"/>
  <c r="H10" i="14"/>
  <c r="L3" i="23"/>
  <c r="L41" i="23"/>
  <c r="K11" i="12"/>
  <c r="K32" i="15"/>
  <c r="K34" i="15"/>
  <c r="F12" i="20"/>
  <c r="F6" i="6"/>
  <c r="F31" i="11"/>
  <c r="F31" i="26"/>
  <c r="F8" i="14"/>
  <c r="F7" i="14"/>
  <c r="F11" i="14"/>
  <c r="F12" i="14"/>
  <c r="N41" i="15"/>
  <c r="N6" i="15"/>
  <c r="N10" i="15"/>
  <c r="C11" i="16"/>
  <c r="E7" i="24"/>
  <c r="E78" i="24"/>
  <c r="E149" i="24"/>
  <c r="F24" i="6"/>
  <c r="H10" i="27"/>
  <c r="J39" i="28"/>
  <c r="J65" i="28"/>
  <c r="J12" i="28"/>
  <c r="J16" i="28"/>
  <c r="J46" i="28"/>
  <c r="I99" i="23"/>
  <c r="I102" i="23"/>
  <c r="C22" i="28"/>
  <c r="C19" i="28"/>
  <c r="J100" i="23"/>
  <c r="H42" i="23"/>
  <c r="J79" i="23"/>
  <c r="K4" i="28"/>
  <c r="K79" i="23"/>
  <c r="L4" i="28"/>
  <c r="K62" i="23"/>
  <c r="J47" i="23"/>
  <c r="J85" i="23"/>
  <c r="BY30" i="17"/>
  <c r="BV31" i="17"/>
  <c r="AE31" i="17"/>
  <c r="AG30" i="17"/>
  <c r="AH30" i="17"/>
  <c r="CF66" i="17"/>
  <c r="AV67" i="17"/>
  <c r="AW31" i="17"/>
  <c r="AY30" i="17"/>
  <c r="AZ30" i="17"/>
  <c r="BG30" i="17"/>
  <c r="BD31" i="17"/>
  <c r="E13" i="29"/>
  <c r="E29" i="22"/>
  <c r="E28" i="22"/>
  <c r="CB28" i="17"/>
  <c r="CC28" i="17"/>
  <c r="N31" i="17"/>
  <c r="O31" i="17"/>
  <c r="O60" i="17"/>
  <c r="K32" i="17"/>
  <c r="Z28" i="17"/>
  <c r="AD66" i="17"/>
  <c r="BS28" i="17"/>
  <c r="BT28" i="17"/>
  <c r="W30" i="17"/>
  <c r="T31" i="17"/>
  <c r="CH31" i="17"/>
  <c r="CE32" i="17"/>
  <c r="AN30" i="17"/>
  <c r="AQ29" i="17"/>
  <c r="M31" i="17"/>
  <c r="O30" i="17"/>
  <c r="P30" i="17"/>
  <c r="U69" i="17"/>
  <c r="CA29" i="17"/>
  <c r="CB29" i="17"/>
  <c r="CC29" i="17"/>
  <c r="BX30" i="17"/>
  <c r="M4" i="10"/>
  <c r="M6" i="10"/>
  <c r="L11" i="11"/>
  <c r="L11" i="26"/>
  <c r="BF30" i="17"/>
  <c r="BI29" i="17"/>
  <c r="CI31" i="17"/>
  <c r="CI60" i="17"/>
  <c r="CG31" i="17"/>
  <c r="CI30" i="17"/>
  <c r="CJ30" i="17"/>
  <c r="AF31" i="7"/>
  <c r="AC32" i="7"/>
  <c r="AM67" i="17"/>
  <c r="O20" i="7"/>
  <c r="M21" i="7"/>
  <c r="P21" i="7"/>
  <c r="O21" i="7"/>
  <c r="P20" i="7"/>
  <c r="AA27" i="17"/>
  <c r="R18" i="7"/>
  <c r="AO30" i="17"/>
  <c r="AL31" i="17"/>
  <c r="AX31" i="17"/>
  <c r="AY31" i="17"/>
  <c r="AY60" i="17"/>
  <c r="AU32" i="17"/>
  <c r="H29" i="22"/>
  <c r="H28" i="22"/>
  <c r="BJ28" i="17"/>
  <c r="BK28" i="17"/>
  <c r="BW68" i="17"/>
  <c r="BN66" i="17"/>
  <c r="V30" i="17"/>
  <c r="Y29" i="17"/>
  <c r="L67" i="17"/>
  <c r="BO30" i="17"/>
  <c r="BR29" i="17"/>
  <c r="BS29" i="17"/>
  <c r="BT29" i="17"/>
  <c r="CC27" i="17"/>
  <c r="AE65" i="7"/>
  <c r="AD66" i="7"/>
  <c r="BP30" i="17"/>
  <c r="BM31" i="17"/>
  <c r="AR28" i="17"/>
  <c r="AS28" i="17"/>
  <c r="BE67" i="17"/>
  <c r="AF31" i="17"/>
  <c r="AG31" i="17"/>
  <c r="AG60" i="17"/>
  <c r="AC32" i="17"/>
  <c r="E24" i="6"/>
  <c r="E25" i="6"/>
  <c r="E26" i="6"/>
  <c r="B30" i="19"/>
  <c r="K24" i="6"/>
  <c r="B15" i="19"/>
  <c r="H100" i="13"/>
  <c r="H40" i="20"/>
  <c r="O7" i="15"/>
  <c r="J23" i="16"/>
  <c r="L18" i="24"/>
  <c r="L89" i="24"/>
  <c r="L160" i="24"/>
  <c r="H32" i="17"/>
  <c r="I32" i="17"/>
  <c r="G60" i="17"/>
  <c r="H31" i="17"/>
  <c r="F33" i="17"/>
  <c r="F61" i="17"/>
  <c r="E80" i="17"/>
  <c r="D33" i="17"/>
  <c r="F32" i="17"/>
  <c r="Z34" i="7"/>
  <c r="K8" i="10"/>
  <c r="K9" i="10"/>
  <c r="L4" i="10"/>
  <c r="L6" i="10"/>
  <c r="K14" i="20"/>
  <c r="P25" i="15"/>
  <c r="P12" i="15"/>
  <c r="H25" i="6"/>
  <c r="H26" i="6"/>
  <c r="N95" i="5"/>
  <c r="O110" i="5"/>
  <c r="L24" i="23"/>
  <c r="H24" i="26"/>
  <c r="H7" i="29"/>
  <c r="F100" i="13"/>
  <c r="F40" i="20"/>
  <c r="F29" i="22"/>
  <c r="F28" i="22"/>
  <c r="F22" i="6"/>
  <c r="F13" i="29"/>
  <c r="F10" i="27"/>
  <c r="I10" i="14"/>
  <c r="I24" i="6"/>
  <c r="E12" i="14"/>
  <c r="E13" i="14"/>
  <c r="E16" i="20"/>
  <c r="J9" i="14"/>
  <c r="J11" i="11"/>
  <c r="J14" i="20"/>
  <c r="Q25" i="15"/>
  <c r="Q7" i="15"/>
  <c r="L23" i="16"/>
  <c r="Q26" i="15"/>
  <c r="G22" i="6"/>
  <c r="G29" i="22"/>
  <c r="G28" i="22"/>
  <c r="G10" i="27"/>
  <c r="G13" i="29"/>
  <c r="G100" i="13"/>
  <c r="G40" i="20"/>
  <c r="L10" i="14"/>
  <c r="L24" i="6"/>
  <c r="L34" i="26"/>
  <c r="L33" i="26"/>
  <c r="L5" i="26"/>
  <c r="AN79" i="17"/>
  <c r="D11" i="16"/>
  <c r="F7" i="24"/>
  <c r="F78" i="24"/>
  <c r="F149" i="24"/>
  <c r="F7" i="27"/>
  <c r="BF77" i="17"/>
  <c r="D16" i="16"/>
  <c r="F12" i="24"/>
  <c r="F83" i="24"/>
  <c r="F154" i="24"/>
  <c r="E100" i="13"/>
  <c r="E40" i="20"/>
  <c r="I22" i="6"/>
  <c r="I100" i="13"/>
  <c r="I40" i="20"/>
  <c r="I29" i="22"/>
  <c r="I28" i="22"/>
  <c r="I13" i="29"/>
  <c r="I10" i="27"/>
  <c r="F7" i="29"/>
  <c r="F24" i="26"/>
  <c r="CG74" i="17"/>
  <c r="CG75" i="17"/>
  <c r="CG76" i="17"/>
  <c r="CG77" i="17"/>
  <c r="CG78" i="17"/>
  <c r="CG79" i="17"/>
  <c r="CG80" i="17"/>
  <c r="CG81" i="17"/>
  <c r="CG82" i="17"/>
  <c r="CG83" i="17"/>
  <c r="CG84" i="17"/>
  <c r="CG85" i="17"/>
  <c r="CG86" i="17"/>
  <c r="CG87" i="17"/>
  <c r="CG88" i="17"/>
  <c r="K34" i="26"/>
  <c r="K33" i="26"/>
  <c r="K5" i="26"/>
  <c r="C29" i="22"/>
  <c r="C10" i="27"/>
  <c r="C22" i="6"/>
  <c r="C13" i="29"/>
  <c r="C100" i="13"/>
  <c r="C40" i="20"/>
  <c r="C8" i="16"/>
  <c r="E4" i="24"/>
  <c r="E75" i="24"/>
  <c r="E146" i="24"/>
  <c r="E145" i="24"/>
  <c r="F23" i="28"/>
  <c r="D12" i="16"/>
  <c r="F8" i="24"/>
  <c r="F79" i="24"/>
  <c r="F150" i="24"/>
  <c r="AW78" i="17"/>
  <c r="K29" i="22"/>
  <c r="K28" i="22"/>
  <c r="K22" i="6"/>
  <c r="K10" i="27"/>
  <c r="K13" i="29"/>
  <c r="K100" i="13"/>
  <c r="K40" i="20"/>
  <c r="L22" i="6"/>
  <c r="L29" i="22"/>
  <c r="L28" i="22"/>
  <c r="L13" i="29"/>
  <c r="L100" i="13"/>
  <c r="L40" i="20"/>
  <c r="L10" i="27"/>
  <c r="P1" i="19"/>
  <c r="BO76" i="17"/>
  <c r="J22" i="6"/>
  <c r="J29" i="22"/>
  <c r="J28" i="22"/>
  <c r="J100" i="13"/>
  <c r="J40" i="20"/>
  <c r="J10" i="27"/>
  <c r="J13" i="29"/>
  <c r="N106" i="5"/>
  <c r="O106" i="5"/>
  <c r="H13" i="29"/>
  <c r="E10" i="27"/>
  <c r="D24" i="6"/>
  <c r="D10" i="14"/>
  <c r="D7" i="14"/>
  <c r="D11" i="14"/>
  <c r="D12" i="14"/>
  <c r="D100" i="13"/>
  <c r="D40" i="20"/>
  <c r="D22" i="6"/>
  <c r="D29" i="22"/>
  <c r="D28" i="22"/>
  <c r="D10" i="27"/>
  <c r="D13" i="29"/>
  <c r="M103" i="5"/>
  <c r="D83" i="17"/>
  <c r="C24" i="6"/>
  <c r="C10" i="14"/>
  <c r="C7" i="14"/>
  <c r="C11" i="14"/>
  <c r="C12" i="14"/>
  <c r="G10" i="14"/>
  <c r="G7" i="14"/>
  <c r="G11" i="14"/>
  <c r="G12" i="14"/>
  <c r="G13" i="14"/>
  <c r="G16" i="20"/>
  <c r="G24" i="6"/>
  <c r="N88" i="5"/>
  <c r="O89" i="5"/>
  <c r="O88" i="5"/>
  <c r="M82" i="17"/>
  <c r="N98" i="5"/>
  <c r="L22" i="26"/>
  <c r="O99" i="5"/>
  <c r="O98" i="5"/>
  <c r="H9" i="20"/>
  <c r="H5" i="6"/>
  <c r="J10" i="14"/>
  <c r="J24" i="6"/>
  <c r="K5" i="14"/>
  <c r="K4" i="14"/>
  <c r="L12" i="11"/>
  <c r="L12" i="26"/>
  <c r="L29" i="14"/>
  <c r="L31" i="14"/>
  <c r="L13" i="20"/>
  <c r="L7" i="6"/>
  <c r="M111" i="5"/>
  <c r="N96" i="5"/>
  <c r="I61" i="16"/>
  <c r="K53" i="24"/>
  <c r="K124" i="24"/>
  <c r="K195" i="24"/>
  <c r="N33" i="15"/>
  <c r="O31" i="15"/>
  <c r="I23" i="16"/>
  <c r="K18" i="24"/>
  <c r="K89" i="24"/>
  <c r="K160" i="24"/>
  <c r="K9" i="23"/>
  <c r="I11" i="26"/>
  <c r="J61" i="16"/>
  <c r="L53" i="24"/>
  <c r="L124" i="24"/>
  <c r="L195" i="24"/>
  <c r="O33" i="15"/>
  <c r="P31" i="15"/>
  <c r="F20" i="7"/>
  <c r="D21" i="7"/>
  <c r="G21" i="7"/>
  <c r="G20" i="7"/>
  <c r="F21" i="7"/>
  <c r="I18" i="7"/>
  <c r="Y20" i="7"/>
  <c r="X21" i="7"/>
  <c r="X20" i="7"/>
  <c r="V21" i="7"/>
  <c r="Y21" i="7"/>
  <c r="AG25" i="7"/>
  <c r="AH25" i="7"/>
  <c r="AI24" i="7"/>
  <c r="N94" i="5"/>
  <c r="M93" i="5"/>
  <c r="N40" i="15"/>
  <c r="M43" i="15"/>
  <c r="K25" i="6"/>
  <c r="K26" i="6"/>
  <c r="F13" i="14"/>
  <c r="F16" i="20"/>
  <c r="F20" i="14"/>
  <c r="F17" i="14"/>
  <c r="F18" i="14"/>
  <c r="F25" i="16"/>
  <c r="H20" i="24"/>
  <c r="H91" i="24"/>
  <c r="H162" i="24"/>
  <c r="K8" i="23"/>
  <c r="K46" i="23"/>
  <c r="K84" i="23"/>
  <c r="L16" i="28"/>
  <c r="I10" i="26"/>
  <c r="I21" i="26"/>
  <c r="I24" i="26"/>
  <c r="L8" i="10"/>
  <c r="L9" i="10"/>
  <c r="L11" i="12"/>
  <c r="M8" i="10"/>
  <c r="M9" i="10"/>
  <c r="M11" i="12"/>
  <c r="O41" i="15"/>
  <c r="O6" i="15"/>
  <c r="O10" i="15"/>
  <c r="I21" i="16"/>
  <c r="K16" i="24"/>
  <c r="K87" i="24"/>
  <c r="K158" i="24"/>
  <c r="N42" i="15"/>
  <c r="O40" i="15"/>
  <c r="F25" i="6"/>
  <c r="F26" i="6"/>
  <c r="K46" i="28"/>
  <c r="J99" i="23"/>
  <c r="J102" i="23"/>
  <c r="J103" i="28"/>
  <c r="O26" i="15"/>
  <c r="L39" i="28"/>
  <c r="L65" i="28"/>
  <c r="L12" i="28"/>
  <c r="K16" i="28"/>
  <c r="K39" i="28"/>
  <c r="K65" i="28"/>
  <c r="K12" i="28"/>
  <c r="Q12" i="15"/>
  <c r="Q33" i="15"/>
  <c r="P7" i="15"/>
  <c r="K23" i="16"/>
  <c r="Q24" i="15"/>
  <c r="Q27" i="15"/>
  <c r="L7" i="20"/>
  <c r="K100" i="23"/>
  <c r="H80" i="23"/>
  <c r="H99" i="23"/>
  <c r="K47" i="23"/>
  <c r="L62" i="23"/>
  <c r="L79" i="23"/>
  <c r="M4" i="28"/>
  <c r="AC33" i="17"/>
  <c r="AF32" i="17"/>
  <c r="AD67" i="7"/>
  <c r="AE66" i="7"/>
  <c r="Z29" i="17"/>
  <c r="AA29" i="17"/>
  <c r="BN67" i="17"/>
  <c r="BW69" i="17"/>
  <c r="M22" i="7"/>
  <c r="O35" i="7"/>
  <c r="AM68" i="17"/>
  <c r="BF31" i="17"/>
  <c r="BH30" i="17"/>
  <c r="BI30" i="17"/>
  <c r="Q30" i="17"/>
  <c r="CE33" i="17"/>
  <c r="CH32" i="17"/>
  <c r="AW32" i="17"/>
  <c r="AZ31" i="17"/>
  <c r="BA31" i="17"/>
  <c r="BB31" i="17"/>
  <c r="BP31" i="17"/>
  <c r="BM32" i="17"/>
  <c r="L68" i="17"/>
  <c r="V31" i="17"/>
  <c r="X30" i="17"/>
  <c r="Y30" i="17"/>
  <c r="AX32" i="17"/>
  <c r="AU33" i="17"/>
  <c r="Q21" i="7"/>
  <c r="R21" i="7"/>
  <c r="CK30" i="17"/>
  <c r="CL30" i="17"/>
  <c r="AR29" i="17"/>
  <c r="AS29" i="17"/>
  <c r="AD67" i="17"/>
  <c r="AA28" i="17"/>
  <c r="N32" i="17"/>
  <c r="K33" i="17"/>
  <c r="AE32" i="17"/>
  <c r="AH31" i="17"/>
  <c r="AI31" i="17"/>
  <c r="AJ31" i="17"/>
  <c r="BV32" i="17"/>
  <c r="BY31" i="17"/>
  <c r="BO31" i="17"/>
  <c r="BQ31" i="17"/>
  <c r="BQ60" i="17"/>
  <c r="BQ30" i="17"/>
  <c r="BR30" i="17"/>
  <c r="AO31" i="17"/>
  <c r="AL32" i="17"/>
  <c r="L9" i="14"/>
  <c r="L14" i="20"/>
  <c r="M32" i="17"/>
  <c r="P31" i="17"/>
  <c r="Q31" i="17"/>
  <c r="R31" i="17"/>
  <c r="AN31" i="17"/>
  <c r="AP31" i="17"/>
  <c r="AP60" i="17"/>
  <c r="AP30" i="17"/>
  <c r="AQ30" i="17"/>
  <c r="BA30" i="17"/>
  <c r="CF67" i="17"/>
  <c r="AI30" i="17"/>
  <c r="BE68" i="17"/>
  <c r="Q20" i="7"/>
  <c r="P35" i="7"/>
  <c r="AF32" i="7"/>
  <c r="AC33" i="7"/>
  <c r="CG32" i="17"/>
  <c r="CJ31" i="17"/>
  <c r="CK31" i="17"/>
  <c r="CL31" i="17"/>
  <c r="BJ29" i="17"/>
  <c r="BK29" i="17"/>
  <c r="BZ31" i="17"/>
  <c r="BZ60" i="17"/>
  <c r="BX31" i="17"/>
  <c r="BZ30" i="17"/>
  <c r="CA30" i="17"/>
  <c r="T32" i="17"/>
  <c r="W31" i="17"/>
  <c r="X31" i="17"/>
  <c r="X60" i="17"/>
  <c r="BG31" i="17"/>
  <c r="BH31" i="17"/>
  <c r="BH60" i="17"/>
  <c r="BD32" i="17"/>
  <c r="AV68" i="17"/>
  <c r="P24" i="15"/>
  <c r="O95" i="5"/>
  <c r="I31" i="19"/>
  <c r="K9" i="14"/>
  <c r="K11" i="11"/>
  <c r="K11" i="26"/>
  <c r="D34" i="17"/>
  <c r="G34" i="17"/>
  <c r="G33" i="17"/>
  <c r="I31" i="17"/>
  <c r="H60" i="17"/>
  <c r="G17" i="14"/>
  <c r="G18" i="14"/>
  <c r="H34" i="20"/>
  <c r="D25" i="6"/>
  <c r="D26" i="6"/>
  <c r="L25" i="6"/>
  <c r="L26" i="6"/>
  <c r="G20" i="14"/>
  <c r="Q1" i="19"/>
  <c r="C25" i="6"/>
  <c r="C26" i="6"/>
  <c r="G31" i="19"/>
  <c r="E31" i="19"/>
  <c r="D84" i="17"/>
  <c r="D13" i="14"/>
  <c r="D16" i="20"/>
  <c r="D20" i="14"/>
  <c r="D17" i="14"/>
  <c r="D18" i="14"/>
  <c r="AW79" i="17"/>
  <c r="D8" i="16"/>
  <c r="F4" i="24"/>
  <c r="F75" i="24"/>
  <c r="F146" i="24"/>
  <c r="F145" i="24"/>
  <c r="G23" i="28"/>
  <c r="C19" i="16"/>
  <c r="I16" i="19"/>
  <c r="G16" i="19"/>
  <c r="B31" i="19"/>
  <c r="E16" i="19"/>
  <c r="E11" i="16"/>
  <c r="G7" i="24"/>
  <c r="G78" i="24"/>
  <c r="G149" i="24"/>
  <c r="AN80" i="17"/>
  <c r="E20" i="14"/>
  <c r="E17" i="14"/>
  <c r="E18" i="14"/>
  <c r="J25" i="6"/>
  <c r="J26" i="6"/>
  <c r="D16" i="19"/>
  <c r="BF78" i="17"/>
  <c r="M83" i="17"/>
  <c r="BO77" i="17"/>
  <c r="E12" i="16"/>
  <c r="G8" i="24"/>
  <c r="G79" i="24"/>
  <c r="G150" i="24"/>
  <c r="C28" i="22"/>
  <c r="M29" i="22"/>
  <c r="M28" i="22"/>
  <c r="J16" i="19"/>
  <c r="H16" i="19"/>
  <c r="F31" i="19"/>
  <c r="D31" i="19"/>
  <c r="B16" i="19"/>
  <c r="L9" i="23"/>
  <c r="J11" i="26"/>
  <c r="I25" i="6"/>
  <c r="I26" i="6"/>
  <c r="C13" i="14"/>
  <c r="C16" i="20"/>
  <c r="C20" i="14"/>
  <c r="C17" i="14"/>
  <c r="C18" i="14"/>
  <c r="O104" i="5"/>
  <c r="O103" i="5"/>
  <c r="N103" i="5"/>
  <c r="J31" i="19"/>
  <c r="H31" i="19"/>
  <c r="F16" i="19"/>
  <c r="C31" i="19"/>
  <c r="C16" i="19"/>
  <c r="E16" i="16"/>
  <c r="G12" i="24"/>
  <c r="G83" i="24"/>
  <c r="G154" i="24"/>
  <c r="G25" i="6"/>
  <c r="G26" i="6"/>
  <c r="N111" i="5"/>
  <c r="O111" i="5"/>
  <c r="O96" i="5"/>
  <c r="P33" i="15"/>
  <c r="Q31" i="15"/>
  <c r="K61" i="16"/>
  <c r="O24" i="15"/>
  <c r="N26" i="15"/>
  <c r="N27" i="15"/>
  <c r="I7" i="20"/>
  <c r="I7" i="27"/>
  <c r="D22" i="7"/>
  <c r="F35" i="7"/>
  <c r="H20" i="7"/>
  <c r="G35" i="7"/>
  <c r="H21" i="7"/>
  <c r="I21" i="7"/>
  <c r="V22" i="7"/>
  <c r="X35" i="7"/>
  <c r="Z21" i="7"/>
  <c r="AA21" i="7"/>
  <c r="Z20" i="7"/>
  <c r="Y35" i="7"/>
  <c r="AJ24" i="7"/>
  <c r="AI25" i="7"/>
  <c r="AG57" i="7"/>
  <c r="AE26" i="7"/>
  <c r="N93" i="5"/>
  <c r="O94" i="5"/>
  <c r="H31" i="11"/>
  <c r="H31" i="26"/>
  <c r="H8" i="14"/>
  <c r="H7" i="14"/>
  <c r="H11" i="14"/>
  <c r="H12" i="14"/>
  <c r="M32" i="15"/>
  <c r="M34" i="15"/>
  <c r="H12" i="20"/>
  <c r="G34" i="20"/>
  <c r="L10" i="26"/>
  <c r="L21" i="26"/>
  <c r="L24" i="26"/>
  <c r="Q41" i="15"/>
  <c r="Q6" i="15"/>
  <c r="Q42" i="15"/>
  <c r="I7" i="29"/>
  <c r="L8" i="23"/>
  <c r="L46" i="23"/>
  <c r="L84" i="23"/>
  <c r="M16" i="28"/>
  <c r="J10" i="26"/>
  <c r="J21" i="26"/>
  <c r="K10" i="26"/>
  <c r="K21" i="26"/>
  <c r="P41" i="15"/>
  <c r="P6" i="15"/>
  <c r="N43" i="15"/>
  <c r="O42" i="15"/>
  <c r="J21" i="16"/>
  <c r="L16" i="24"/>
  <c r="L87" i="24"/>
  <c r="L158" i="24"/>
  <c r="K103" i="28"/>
  <c r="O27" i="15"/>
  <c r="J7" i="20"/>
  <c r="J9" i="20"/>
  <c r="I103" i="28"/>
  <c r="H102" i="23"/>
  <c r="G25" i="16"/>
  <c r="I20" i="24"/>
  <c r="I91" i="24"/>
  <c r="I162" i="24"/>
  <c r="M65" i="28"/>
  <c r="M39" i="28"/>
  <c r="M12" i="28"/>
  <c r="P26" i="15"/>
  <c r="P27" i="15"/>
  <c r="K7" i="20"/>
  <c r="K5" i="6"/>
  <c r="L61" i="16"/>
  <c r="O93" i="5"/>
  <c r="L100" i="23"/>
  <c r="L47" i="23"/>
  <c r="K85" i="23"/>
  <c r="W32" i="17"/>
  <c r="T33" i="17"/>
  <c r="CB30" i="17"/>
  <c r="CC30" i="17"/>
  <c r="AF33" i="7"/>
  <c r="AC34" i="7"/>
  <c r="BE69" i="17"/>
  <c r="AJ30" i="17"/>
  <c r="BB30" i="17"/>
  <c r="AO32" i="17"/>
  <c r="AL33" i="17"/>
  <c r="AD68" i="7"/>
  <c r="AE67" i="7"/>
  <c r="AN32" i="17"/>
  <c r="AQ31" i="17"/>
  <c r="AR31" i="17"/>
  <c r="AS31" i="17"/>
  <c r="BY32" i="17"/>
  <c r="BV33" i="17"/>
  <c r="AD68" i="17"/>
  <c r="AX33" i="17"/>
  <c r="AU34" i="17"/>
  <c r="Z30" i="17"/>
  <c r="AA30" i="17"/>
  <c r="BM33" i="17"/>
  <c r="BP32" i="17"/>
  <c r="CH33" i="17"/>
  <c r="CI33" i="17"/>
  <c r="CI61" i="17"/>
  <c r="CE34" i="17"/>
  <c r="BJ30" i="17"/>
  <c r="BK30" i="17"/>
  <c r="BX32" i="17"/>
  <c r="CA31" i="17"/>
  <c r="AR30" i="17"/>
  <c r="AS30" i="17"/>
  <c r="BO32" i="17"/>
  <c r="BR31" i="17"/>
  <c r="BN68" i="17"/>
  <c r="AV69" i="17"/>
  <c r="BG32" i="17"/>
  <c r="BD33" i="17"/>
  <c r="CG33" i="17"/>
  <c r="CI32" i="17"/>
  <c r="CJ32" i="17"/>
  <c r="R20" i="7"/>
  <c r="Q35" i="7"/>
  <c r="CF68" i="17"/>
  <c r="M33" i="17"/>
  <c r="O32" i="17"/>
  <c r="P32" i="17"/>
  <c r="BS30" i="17"/>
  <c r="BT30" i="17"/>
  <c r="AE33" i="17"/>
  <c r="AG32" i="17"/>
  <c r="AH32" i="17"/>
  <c r="N33" i="17"/>
  <c r="O33" i="17"/>
  <c r="O61" i="17"/>
  <c r="K34" i="17"/>
  <c r="V32" i="17"/>
  <c r="Y31" i="17"/>
  <c r="L69" i="17"/>
  <c r="AW33" i="17"/>
  <c r="AY33" i="17"/>
  <c r="AY61" i="17"/>
  <c r="AY32" i="17"/>
  <c r="AZ32" i="17"/>
  <c r="R30" i="17"/>
  <c r="BF32" i="17"/>
  <c r="BI31" i="17"/>
  <c r="BJ31" i="17"/>
  <c r="BK31" i="17"/>
  <c r="AM69" i="17"/>
  <c r="O22" i="7"/>
  <c r="M23" i="7"/>
  <c r="P23" i="7"/>
  <c r="Q23" i="7"/>
  <c r="R23" i="7"/>
  <c r="O23" i="7"/>
  <c r="P22" i="7"/>
  <c r="AF33" i="17"/>
  <c r="AC34" i="17"/>
  <c r="H34" i="17"/>
  <c r="I34" i="17"/>
  <c r="H33" i="17"/>
  <c r="G61" i="17"/>
  <c r="F35" i="17"/>
  <c r="F62" i="17"/>
  <c r="E81" i="17"/>
  <c r="F34" i="17"/>
  <c r="D35" i="17"/>
  <c r="Z35" i="7"/>
  <c r="C25" i="16"/>
  <c r="E20" i="24"/>
  <c r="E91" i="24"/>
  <c r="E162" i="24"/>
  <c r="D34" i="20"/>
  <c r="J7" i="27"/>
  <c r="F12" i="16"/>
  <c r="H8" i="24"/>
  <c r="H79" i="24"/>
  <c r="H150" i="24"/>
  <c r="BO78" i="17"/>
  <c r="E34" i="20"/>
  <c r="D25" i="16"/>
  <c r="F20" i="24"/>
  <c r="F91" i="24"/>
  <c r="F162" i="24"/>
  <c r="F16" i="16"/>
  <c r="H12" i="24"/>
  <c r="H83" i="24"/>
  <c r="H154" i="24"/>
  <c r="AN81" i="17"/>
  <c r="H35" i="7"/>
  <c r="BF79" i="17"/>
  <c r="E25" i="16"/>
  <c r="G20" i="24"/>
  <c r="G91" i="24"/>
  <c r="G162" i="24"/>
  <c r="F34" i="20"/>
  <c r="F11" i="16"/>
  <c r="H7" i="24"/>
  <c r="H78" i="24"/>
  <c r="H149" i="24"/>
  <c r="D19" i="16"/>
  <c r="E8" i="16"/>
  <c r="G4" i="24"/>
  <c r="G75" i="24"/>
  <c r="G146" i="24"/>
  <c r="G145" i="24"/>
  <c r="H23" i="28"/>
  <c r="D85" i="17"/>
  <c r="R1" i="19"/>
  <c r="S1" i="19"/>
  <c r="T1" i="19"/>
  <c r="U1" i="19"/>
  <c r="V1" i="19"/>
  <c r="W1" i="19"/>
  <c r="X1" i="19"/>
  <c r="Y1" i="19"/>
  <c r="Z1" i="19"/>
  <c r="Q21" i="19"/>
  <c r="M84" i="17"/>
  <c r="AW80" i="17"/>
  <c r="AJ25" i="7"/>
  <c r="O109" i="5"/>
  <c r="O108" i="5"/>
  <c r="L5" i="6"/>
  <c r="L9" i="20"/>
  <c r="I5" i="6"/>
  <c r="I9" i="20"/>
  <c r="I20" i="7"/>
  <c r="F22" i="7"/>
  <c r="D23" i="7"/>
  <c r="G23" i="7"/>
  <c r="G22" i="7"/>
  <c r="F23" i="7"/>
  <c r="AA20" i="7"/>
  <c r="X22" i="7"/>
  <c r="V23" i="7"/>
  <c r="Y23" i="7"/>
  <c r="Y22" i="7"/>
  <c r="X23" i="7"/>
  <c r="AG26" i="7"/>
  <c r="AE27" i="7"/>
  <c r="AH26" i="7"/>
  <c r="L7" i="27"/>
  <c r="H13" i="14"/>
  <c r="H16" i="20"/>
  <c r="H20" i="14"/>
  <c r="H17" i="14"/>
  <c r="H18" i="14"/>
  <c r="H6" i="6"/>
  <c r="L7" i="29"/>
  <c r="L21" i="16"/>
  <c r="Q10" i="15"/>
  <c r="K24" i="26"/>
  <c r="K7" i="29"/>
  <c r="J24" i="26"/>
  <c r="J7" i="29"/>
  <c r="I31" i="11"/>
  <c r="I31" i="26"/>
  <c r="N32" i="15"/>
  <c r="N34" i="15"/>
  <c r="I12" i="20"/>
  <c r="I6" i="6"/>
  <c r="I8" i="14"/>
  <c r="I7" i="14"/>
  <c r="I11" i="14"/>
  <c r="K7" i="27"/>
  <c r="O43" i="15"/>
  <c r="P40" i="15"/>
  <c r="P42" i="15"/>
  <c r="Q40" i="15"/>
  <c r="Q43" i="15"/>
  <c r="K21" i="16"/>
  <c r="P10" i="15"/>
  <c r="J5" i="6"/>
  <c r="K99" i="23"/>
  <c r="L46" i="28"/>
  <c r="K9" i="20"/>
  <c r="L85" i="23"/>
  <c r="M24" i="7"/>
  <c r="O36" i="7"/>
  <c r="AW34" i="17"/>
  <c r="AZ33" i="17"/>
  <c r="BA33" i="17"/>
  <c r="BB33" i="17"/>
  <c r="M34" i="17"/>
  <c r="P33" i="17"/>
  <c r="Q33" i="17"/>
  <c r="R33" i="17"/>
  <c r="CF69" i="17"/>
  <c r="CG34" i="17"/>
  <c r="CJ33" i="17"/>
  <c r="CK33" i="17"/>
  <c r="CL33" i="17"/>
  <c r="BO33" i="17"/>
  <c r="BQ32" i="17"/>
  <c r="BR32" i="17"/>
  <c r="CB31" i="17"/>
  <c r="BP33" i="17"/>
  <c r="BQ33" i="17"/>
  <c r="BQ61" i="17"/>
  <c r="BM34" i="17"/>
  <c r="AD69" i="17"/>
  <c r="AF34" i="17"/>
  <c r="AC35" i="17"/>
  <c r="BA32" i="17"/>
  <c r="BB32" i="17"/>
  <c r="K35" i="17"/>
  <c r="N34" i="17"/>
  <c r="AE34" i="17"/>
  <c r="AH33" i="17"/>
  <c r="AI33" i="17"/>
  <c r="AJ33" i="17"/>
  <c r="Q32" i="17"/>
  <c r="R32" i="17"/>
  <c r="CK32" i="17"/>
  <c r="BZ32" i="17"/>
  <c r="BX33" i="17"/>
  <c r="CA32" i="17"/>
  <c r="CH34" i="17"/>
  <c r="CE35" i="17"/>
  <c r="AU35" i="17"/>
  <c r="AX34" i="17"/>
  <c r="BY33" i="17"/>
  <c r="BZ33" i="17"/>
  <c r="BZ61" i="17"/>
  <c r="BV34" i="17"/>
  <c r="AD69" i="7"/>
  <c r="AE68" i="7"/>
  <c r="AO33" i="17"/>
  <c r="AP33" i="17"/>
  <c r="AP61" i="17"/>
  <c r="AL34" i="17"/>
  <c r="Z31" i="17"/>
  <c r="AA31" i="17"/>
  <c r="AG33" i="17"/>
  <c r="AG61" i="17"/>
  <c r="AF34" i="7"/>
  <c r="AC35" i="7"/>
  <c r="Q22" i="7"/>
  <c r="Q36" i="7"/>
  <c r="P36" i="7"/>
  <c r="BF33" i="17"/>
  <c r="BH32" i="17"/>
  <c r="BI32" i="17"/>
  <c r="V33" i="17"/>
  <c r="X32" i="17"/>
  <c r="Y32" i="17"/>
  <c r="Z32" i="17"/>
  <c r="AA32" i="17"/>
  <c r="AI32" i="17"/>
  <c r="BG33" i="17"/>
  <c r="BH33" i="17"/>
  <c r="BH61" i="17"/>
  <c r="BD34" i="17"/>
  <c r="BN69" i="17"/>
  <c r="BS31" i="17"/>
  <c r="BT31" i="17"/>
  <c r="AN33" i="17"/>
  <c r="AP32" i="17"/>
  <c r="AQ32" i="17"/>
  <c r="W33" i="17"/>
  <c r="X33" i="17"/>
  <c r="X61" i="17"/>
  <c r="T34" i="17"/>
  <c r="D36" i="17"/>
  <c r="G36" i="17"/>
  <c r="G35" i="17"/>
  <c r="I33" i="17"/>
  <c r="H61" i="17"/>
  <c r="M85" i="17"/>
  <c r="E19" i="16"/>
  <c r="F8" i="16"/>
  <c r="H4" i="24"/>
  <c r="H75" i="24"/>
  <c r="H146" i="24"/>
  <c r="H145" i="24"/>
  <c r="I23" i="28"/>
  <c r="G16" i="16"/>
  <c r="I12" i="24"/>
  <c r="I83" i="24"/>
  <c r="I154" i="24"/>
  <c r="G12" i="16"/>
  <c r="I8" i="24"/>
  <c r="I79" i="24"/>
  <c r="I150" i="24"/>
  <c r="AN82" i="17"/>
  <c r="BO79" i="17"/>
  <c r="D86" i="17"/>
  <c r="G11" i="16"/>
  <c r="I7" i="24"/>
  <c r="I78" i="24"/>
  <c r="I149" i="24"/>
  <c r="AW81" i="17"/>
  <c r="BF80" i="17"/>
  <c r="F36" i="7"/>
  <c r="D24" i="7"/>
  <c r="G36" i="7"/>
  <c r="H22" i="7"/>
  <c r="H23" i="7"/>
  <c r="I23" i="7"/>
  <c r="V24" i="7"/>
  <c r="X36" i="7"/>
  <c r="Y36" i="7"/>
  <c r="Z22" i="7"/>
  <c r="Z23" i="7"/>
  <c r="AA23" i="7"/>
  <c r="AI26" i="7"/>
  <c r="AJ26" i="7"/>
  <c r="AH27" i="7"/>
  <c r="AG27" i="7"/>
  <c r="I34" i="20"/>
  <c r="H25" i="16"/>
  <c r="J20" i="24"/>
  <c r="J91" i="24"/>
  <c r="J162" i="24"/>
  <c r="L8" i="14"/>
  <c r="L7" i="14"/>
  <c r="L11" i="14"/>
  <c r="Q32" i="15"/>
  <c r="Q34" i="15"/>
  <c r="L12" i="20"/>
  <c r="L6" i="6"/>
  <c r="L31" i="11"/>
  <c r="L31" i="26"/>
  <c r="I12" i="14"/>
  <c r="P43" i="15"/>
  <c r="J8" i="14"/>
  <c r="J7" i="14"/>
  <c r="J11" i="14"/>
  <c r="J31" i="11"/>
  <c r="J31" i="26"/>
  <c r="O32" i="15"/>
  <c r="O34" i="15"/>
  <c r="J12" i="20"/>
  <c r="J6" i="6"/>
  <c r="M46" i="28"/>
  <c r="L99" i="23"/>
  <c r="L103" i="28"/>
  <c r="K102" i="23"/>
  <c r="AN34" i="17"/>
  <c r="AQ33" i="17"/>
  <c r="AR33" i="17"/>
  <c r="AS33" i="17"/>
  <c r="BJ32" i="17"/>
  <c r="BK32" i="17"/>
  <c r="CH35" i="17"/>
  <c r="CI35" i="17"/>
  <c r="CI62" i="17"/>
  <c r="CE36" i="17"/>
  <c r="BX34" i="17"/>
  <c r="CA33" i="17"/>
  <c r="AE35" i="17"/>
  <c r="AG34" i="17"/>
  <c r="AH34" i="17"/>
  <c r="AI34" i="17"/>
  <c r="AJ34" i="17"/>
  <c r="CG35" i="17"/>
  <c r="CI34" i="17"/>
  <c r="CJ34" i="17"/>
  <c r="R22" i="7"/>
  <c r="AF35" i="7"/>
  <c r="AC36" i="7"/>
  <c r="AF35" i="17"/>
  <c r="AG35" i="17"/>
  <c r="AG62" i="17"/>
  <c r="AC36" i="17"/>
  <c r="BM35" i="17"/>
  <c r="BP34" i="17"/>
  <c r="BS32" i="17"/>
  <c r="BT32" i="17"/>
  <c r="AW35" i="17"/>
  <c r="AY34" i="17"/>
  <c r="AZ34" i="17"/>
  <c r="BA34" i="17"/>
  <c r="BB34" i="17"/>
  <c r="W34" i="17"/>
  <c r="T35" i="17"/>
  <c r="AR32" i="17"/>
  <c r="AS32" i="17"/>
  <c r="BG34" i="17"/>
  <c r="BD35" i="17"/>
  <c r="AJ32" i="17"/>
  <c r="V34" i="17"/>
  <c r="Y33" i="17"/>
  <c r="AE69" i="7"/>
  <c r="BV35" i="17"/>
  <c r="BY34" i="17"/>
  <c r="CL32" i="17"/>
  <c r="O24" i="7"/>
  <c r="M25" i="7"/>
  <c r="P25" i="7"/>
  <c r="Q25" i="7"/>
  <c r="R25" i="7"/>
  <c r="O25" i="7"/>
  <c r="P24" i="7"/>
  <c r="BF34" i="17"/>
  <c r="BI33" i="17"/>
  <c r="BJ33" i="17"/>
  <c r="BK33" i="17"/>
  <c r="AO34" i="17"/>
  <c r="AL35" i="17"/>
  <c r="AX35" i="17"/>
  <c r="AY35" i="17"/>
  <c r="AY62" i="17"/>
  <c r="AU36" i="17"/>
  <c r="CB32" i="17"/>
  <c r="CC32" i="17"/>
  <c r="N35" i="17"/>
  <c r="K36" i="17"/>
  <c r="CC31" i="17"/>
  <c r="BO34" i="17"/>
  <c r="BR33" i="17"/>
  <c r="BS33" i="17"/>
  <c r="BT33" i="17"/>
  <c r="M35" i="17"/>
  <c r="O35" i="17"/>
  <c r="O62" i="17"/>
  <c r="O34" i="17"/>
  <c r="P34" i="17"/>
  <c r="Q34" i="17"/>
  <c r="R34" i="17"/>
  <c r="H36" i="7"/>
  <c r="H36" i="17"/>
  <c r="I36" i="17"/>
  <c r="G62" i="17"/>
  <c r="H35" i="17"/>
  <c r="D37" i="17"/>
  <c r="F37" i="17"/>
  <c r="F63" i="17"/>
  <c r="E82" i="17"/>
  <c r="F36" i="17"/>
  <c r="I22" i="7"/>
  <c r="Z36" i="7"/>
  <c r="H11" i="16"/>
  <c r="J7" i="24"/>
  <c r="J78" i="24"/>
  <c r="J149" i="24"/>
  <c r="H12" i="16"/>
  <c r="J8" i="24"/>
  <c r="J79" i="24"/>
  <c r="J150" i="24"/>
  <c r="AN83" i="17"/>
  <c r="F19" i="16"/>
  <c r="G8" i="16"/>
  <c r="I4" i="24"/>
  <c r="I75" i="24"/>
  <c r="I146" i="24"/>
  <c r="I145" i="24"/>
  <c r="J23" i="28"/>
  <c r="BF81" i="17"/>
  <c r="AW82" i="17"/>
  <c r="AW83" i="17"/>
  <c r="AW84" i="17"/>
  <c r="AW85" i="17"/>
  <c r="AW86" i="17"/>
  <c r="AW87" i="17"/>
  <c r="AW88" i="17"/>
  <c r="D87" i="17"/>
  <c r="BO80" i="17"/>
  <c r="H16" i="16"/>
  <c r="J12" i="24"/>
  <c r="J83" i="24"/>
  <c r="J154" i="24"/>
  <c r="M86" i="17"/>
  <c r="G24" i="7"/>
  <c r="F24" i="7"/>
  <c r="D25" i="7"/>
  <c r="G25" i="7"/>
  <c r="F25" i="7"/>
  <c r="AA22" i="7"/>
  <c r="Y24" i="7"/>
  <c r="X25" i="7"/>
  <c r="X24" i="7"/>
  <c r="V25" i="7"/>
  <c r="Y25" i="7"/>
  <c r="AE28" i="7"/>
  <c r="AG58" i="7"/>
  <c r="AI27" i="7"/>
  <c r="AJ27" i="7"/>
  <c r="J12" i="14"/>
  <c r="J13" i="14"/>
  <c r="J16" i="20"/>
  <c r="I17" i="14"/>
  <c r="I18" i="14"/>
  <c r="I20" i="14"/>
  <c r="K31" i="11"/>
  <c r="K31" i="26"/>
  <c r="K8" i="14"/>
  <c r="K7" i="14"/>
  <c r="K11" i="14"/>
  <c r="P32" i="15"/>
  <c r="P34" i="15"/>
  <c r="K12" i="20"/>
  <c r="K6" i="6"/>
  <c r="I13" i="14"/>
  <c r="I16" i="20"/>
  <c r="L12" i="14"/>
  <c r="L13" i="14"/>
  <c r="L16" i="20"/>
  <c r="L102" i="23"/>
  <c r="M103" i="28"/>
  <c r="M26" i="7"/>
  <c r="O37" i="7"/>
  <c r="M36" i="17"/>
  <c r="P35" i="17"/>
  <c r="Q35" i="17"/>
  <c r="R35" i="17"/>
  <c r="BY35" i="17"/>
  <c r="BZ35" i="17"/>
  <c r="BZ62" i="17"/>
  <c r="BV36" i="17"/>
  <c r="Z33" i="17"/>
  <c r="AA33" i="17"/>
  <c r="W35" i="17"/>
  <c r="X35" i="17"/>
  <c r="X62" i="17"/>
  <c r="T36" i="17"/>
  <c r="AF36" i="17"/>
  <c r="AC37" i="17"/>
  <c r="CK34" i="17"/>
  <c r="BX35" i="17"/>
  <c r="BZ34" i="17"/>
  <c r="CA34" i="17"/>
  <c r="AN35" i="17"/>
  <c r="AP34" i="17"/>
  <c r="AQ34" i="17"/>
  <c r="BF35" i="17"/>
  <c r="BH34" i="17"/>
  <c r="BI34" i="17"/>
  <c r="BJ34" i="17"/>
  <c r="BK34" i="17"/>
  <c r="V35" i="17"/>
  <c r="X34" i="17"/>
  <c r="Y34" i="17"/>
  <c r="AW36" i="17"/>
  <c r="AZ35" i="17"/>
  <c r="BA35" i="17"/>
  <c r="BB35" i="17"/>
  <c r="BP35" i="17"/>
  <c r="BQ35" i="17"/>
  <c r="BQ62" i="17"/>
  <c r="BM36" i="17"/>
  <c r="AF36" i="7"/>
  <c r="AC37" i="7"/>
  <c r="CH36" i="17"/>
  <c r="CE37" i="17"/>
  <c r="AX36" i="17"/>
  <c r="AU37" i="17"/>
  <c r="CB33" i="17"/>
  <c r="CC33" i="17"/>
  <c r="BQ34" i="17"/>
  <c r="BO35" i="17"/>
  <c r="BR34" i="17"/>
  <c r="N36" i="17"/>
  <c r="K37" i="17"/>
  <c r="AO35" i="17"/>
  <c r="AP35" i="17"/>
  <c r="AP62" i="17"/>
  <c r="AL36" i="17"/>
  <c r="Q24" i="7"/>
  <c r="Q37" i="7"/>
  <c r="P37" i="7"/>
  <c r="BD36" i="17"/>
  <c r="BG35" i="17"/>
  <c r="BH35" i="17"/>
  <c r="BH62" i="17"/>
  <c r="CG36" i="17"/>
  <c r="CJ35" i="17"/>
  <c r="CK35" i="17"/>
  <c r="CL35" i="17"/>
  <c r="AE36" i="17"/>
  <c r="AH35" i="17"/>
  <c r="AI35" i="17"/>
  <c r="AJ35" i="17"/>
  <c r="D38" i="17"/>
  <c r="G38" i="17"/>
  <c r="G37" i="17"/>
  <c r="I35" i="17"/>
  <c r="H62" i="17"/>
  <c r="BO81" i="17"/>
  <c r="BO82" i="17"/>
  <c r="BO83" i="17"/>
  <c r="BO84" i="17"/>
  <c r="BO85" i="17"/>
  <c r="BO86" i="17"/>
  <c r="BO87" i="17"/>
  <c r="BO88" i="17"/>
  <c r="B14" i="19"/>
  <c r="I12" i="16"/>
  <c r="K8" i="24"/>
  <c r="K79" i="24"/>
  <c r="K150" i="24"/>
  <c r="AN84" i="17"/>
  <c r="I11" i="16"/>
  <c r="K7" i="24"/>
  <c r="K78" i="24"/>
  <c r="K149" i="24"/>
  <c r="M87" i="17"/>
  <c r="D88" i="17"/>
  <c r="E12" i="19"/>
  <c r="B12" i="19"/>
  <c r="C27" i="19"/>
  <c r="F12" i="19"/>
  <c r="F27" i="19"/>
  <c r="B27" i="19"/>
  <c r="E27" i="19"/>
  <c r="D12" i="19"/>
  <c r="D27" i="19"/>
  <c r="C12" i="19"/>
  <c r="BF82" i="17"/>
  <c r="I16" i="16"/>
  <c r="K12" i="24"/>
  <c r="K83" i="24"/>
  <c r="K154" i="24"/>
  <c r="H8" i="16"/>
  <c r="J4" i="24"/>
  <c r="J75" i="24"/>
  <c r="J146" i="24"/>
  <c r="J145" i="24"/>
  <c r="K23" i="28"/>
  <c r="G19" i="16"/>
  <c r="D26" i="7"/>
  <c r="F37" i="7"/>
  <c r="H25" i="7"/>
  <c r="I25" i="7"/>
  <c r="H24" i="7"/>
  <c r="I24" i="7"/>
  <c r="G37" i="7"/>
  <c r="Z25" i="7"/>
  <c r="AA25" i="7"/>
  <c r="V26" i="7"/>
  <c r="X37" i="7"/>
  <c r="Z24" i="7"/>
  <c r="Y37" i="7"/>
  <c r="AG28" i="7"/>
  <c r="AE29" i="7"/>
  <c r="AH28" i="7"/>
  <c r="R24" i="7"/>
  <c r="I25" i="16"/>
  <c r="K20" i="24"/>
  <c r="K91" i="24"/>
  <c r="K162" i="24"/>
  <c r="J34" i="20"/>
  <c r="K12" i="14"/>
  <c r="K13" i="14"/>
  <c r="K16" i="20"/>
  <c r="L20" i="14"/>
  <c r="L17" i="14"/>
  <c r="L18" i="14"/>
  <c r="L25" i="16"/>
  <c r="J17" i="14"/>
  <c r="J18" i="14"/>
  <c r="J20" i="14"/>
  <c r="B29" i="19"/>
  <c r="BG36" i="17"/>
  <c r="BD37" i="17"/>
  <c r="BS34" i="17"/>
  <c r="BT34" i="17"/>
  <c r="CB34" i="17"/>
  <c r="CC34" i="17"/>
  <c r="AX37" i="17"/>
  <c r="AY37" i="17"/>
  <c r="AY63" i="17"/>
  <c r="AU38" i="17"/>
  <c r="CH37" i="17"/>
  <c r="CI37" i="17"/>
  <c r="CI63" i="17"/>
  <c r="CE38" i="17"/>
  <c r="BF36" i="17"/>
  <c r="BI35" i="17"/>
  <c r="BJ35" i="17"/>
  <c r="BK35" i="17"/>
  <c r="AN36" i="17"/>
  <c r="AQ35" i="17"/>
  <c r="AR35" i="17"/>
  <c r="AS35" i="17"/>
  <c r="M37" i="17"/>
  <c r="O36" i="17"/>
  <c r="P36" i="17"/>
  <c r="AE37" i="17"/>
  <c r="AG36" i="17"/>
  <c r="AH36" i="17"/>
  <c r="AO36" i="17"/>
  <c r="AL37" i="17"/>
  <c r="BP36" i="17"/>
  <c r="BM37" i="17"/>
  <c r="AF37" i="17"/>
  <c r="AG37" i="17"/>
  <c r="AG63" i="17"/>
  <c r="AC38" i="17"/>
  <c r="W36" i="17"/>
  <c r="T37" i="17"/>
  <c r="O26" i="7"/>
  <c r="M27" i="7"/>
  <c r="P27" i="7"/>
  <c r="Q27" i="7"/>
  <c r="R27" i="7"/>
  <c r="P26" i="7"/>
  <c r="O27" i="7"/>
  <c r="O38" i="7"/>
  <c r="Z37" i="7"/>
  <c r="V36" i="17"/>
  <c r="Y35" i="17"/>
  <c r="CG37" i="17"/>
  <c r="CI36" i="17"/>
  <c r="CJ36" i="17"/>
  <c r="N37" i="17"/>
  <c r="O37" i="17"/>
  <c r="O63" i="17"/>
  <c r="K38" i="17"/>
  <c r="BO36" i="17"/>
  <c r="BR35" i="17"/>
  <c r="BS35" i="17"/>
  <c r="BT35" i="17"/>
  <c r="AF37" i="7"/>
  <c r="AC38" i="7"/>
  <c r="AW37" i="17"/>
  <c r="AY36" i="17"/>
  <c r="AZ36" i="17"/>
  <c r="BA36" i="17"/>
  <c r="BB36" i="17"/>
  <c r="Z34" i="17"/>
  <c r="AA34" i="17"/>
  <c r="AR34" i="17"/>
  <c r="AS34" i="17"/>
  <c r="BX36" i="17"/>
  <c r="CA35" i="17"/>
  <c r="CB35" i="17"/>
  <c r="CC35" i="17"/>
  <c r="CL34" i="17"/>
  <c r="BV37" i="17"/>
  <c r="BY36" i="17"/>
  <c r="H38" i="17"/>
  <c r="I38" i="17"/>
  <c r="H37" i="17"/>
  <c r="G63" i="17"/>
  <c r="F38" i="17"/>
  <c r="D39" i="17"/>
  <c r="F39" i="17"/>
  <c r="F64" i="17"/>
  <c r="E83" i="17"/>
  <c r="H19" i="16"/>
  <c r="I8" i="16"/>
  <c r="K4" i="24"/>
  <c r="K75" i="24"/>
  <c r="K146" i="24"/>
  <c r="K145" i="24"/>
  <c r="L23" i="28"/>
  <c r="BF83" i="17"/>
  <c r="O22" i="19"/>
  <c r="M88" i="17"/>
  <c r="AN85" i="17"/>
  <c r="J11" i="16"/>
  <c r="L7" i="24"/>
  <c r="L78" i="24"/>
  <c r="L149" i="24"/>
  <c r="D14" i="19"/>
  <c r="H29" i="19"/>
  <c r="E14" i="19"/>
  <c r="G14" i="19"/>
  <c r="D29" i="19"/>
  <c r="F29" i="19"/>
  <c r="G29" i="19"/>
  <c r="H14" i="19"/>
  <c r="F14" i="19"/>
  <c r="E29" i="19"/>
  <c r="C14" i="19"/>
  <c r="C29" i="19"/>
  <c r="J16" i="16"/>
  <c r="L12" i="24"/>
  <c r="L83" i="24"/>
  <c r="L154" i="24"/>
  <c r="C7" i="19"/>
  <c r="E22" i="19"/>
  <c r="F7" i="19"/>
  <c r="D7" i="19"/>
  <c r="C22" i="19"/>
  <c r="D22" i="19"/>
  <c r="E7" i="19"/>
  <c r="B7" i="19"/>
  <c r="I7" i="19"/>
  <c r="G7" i="19"/>
  <c r="B22" i="19"/>
  <c r="I22" i="19"/>
  <c r="J7" i="19"/>
  <c r="H7" i="19"/>
  <c r="F22" i="19"/>
  <c r="G22" i="19"/>
  <c r="K22" i="19"/>
  <c r="H22" i="19"/>
  <c r="J22" i="19"/>
  <c r="N22" i="19"/>
  <c r="L7" i="19"/>
  <c r="L22" i="19"/>
  <c r="K7" i="19"/>
  <c r="M22" i="19"/>
  <c r="Q22" i="19"/>
  <c r="P22" i="19"/>
  <c r="J12" i="16"/>
  <c r="L8" i="24"/>
  <c r="L79" i="24"/>
  <c r="L150" i="24"/>
  <c r="H37" i="7"/>
  <c r="F26" i="7"/>
  <c r="D27" i="7"/>
  <c r="G27" i="7"/>
  <c r="G26" i="7"/>
  <c r="F27" i="7"/>
  <c r="F38" i="7"/>
  <c r="B37" i="19" a="1"/>
  <c r="AA24" i="7"/>
  <c r="X26" i="7"/>
  <c r="V27" i="7"/>
  <c r="Y27" i="7"/>
  <c r="X27" i="7"/>
  <c r="X38" i="7"/>
  <c r="B39" i="19" a="1"/>
  <c r="Y26" i="7"/>
  <c r="AG29" i="7"/>
  <c r="AH29" i="7"/>
  <c r="AI28" i="7"/>
  <c r="J25" i="16"/>
  <c r="L20" i="24"/>
  <c r="L91" i="24"/>
  <c r="L162" i="24"/>
  <c r="K34" i="20"/>
  <c r="K17" i="14"/>
  <c r="K18" i="14"/>
  <c r="K20" i="14"/>
  <c r="AF38" i="7"/>
  <c r="AC39" i="7"/>
  <c r="CK36" i="17"/>
  <c r="CL36" i="17"/>
  <c r="Q26" i="7"/>
  <c r="P38" i="7"/>
  <c r="AN37" i="17"/>
  <c r="AP36" i="17"/>
  <c r="AQ36" i="17"/>
  <c r="BX37" i="17"/>
  <c r="BZ36" i="17"/>
  <c r="CA36" i="17"/>
  <c r="K39" i="17"/>
  <c r="N38" i="17"/>
  <c r="BY37" i="17"/>
  <c r="BZ37" i="17"/>
  <c r="BZ63" i="17"/>
  <c r="BV38" i="17"/>
  <c r="CG38" i="17"/>
  <c r="CJ37" i="17"/>
  <c r="CK37" i="17"/>
  <c r="CL37" i="17"/>
  <c r="Z35" i="17"/>
  <c r="AA35" i="17"/>
  <c r="W37" i="17"/>
  <c r="X37" i="17"/>
  <c r="X63" i="17"/>
  <c r="T38" i="17"/>
  <c r="BP37" i="17"/>
  <c r="BM38" i="17"/>
  <c r="AO37" i="17"/>
  <c r="AP37" i="17"/>
  <c r="AP63" i="17"/>
  <c r="AL38" i="17"/>
  <c r="AE38" i="17"/>
  <c r="AH37" i="17"/>
  <c r="AI37" i="17"/>
  <c r="AJ37" i="17"/>
  <c r="BF37" i="17"/>
  <c r="BH36" i="17"/>
  <c r="BI36" i="17"/>
  <c r="BJ36" i="17"/>
  <c r="BK36" i="17"/>
  <c r="AX38" i="17"/>
  <c r="AU39" i="17"/>
  <c r="AW38" i="17"/>
  <c r="AZ37" i="17"/>
  <c r="BA37" i="17"/>
  <c r="BB37" i="17"/>
  <c r="BO37" i="17"/>
  <c r="BQ37" i="17"/>
  <c r="BQ63" i="17"/>
  <c r="BQ36" i="17"/>
  <c r="BR36" i="17"/>
  <c r="AI36" i="17"/>
  <c r="AJ36" i="17"/>
  <c r="Q36" i="17"/>
  <c r="R36" i="17"/>
  <c r="AF38" i="17"/>
  <c r="AC39" i="17"/>
  <c r="X36" i="17"/>
  <c r="V37" i="17"/>
  <c r="Y36" i="17"/>
  <c r="Z36" i="17"/>
  <c r="AA36" i="17"/>
  <c r="M38" i="17"/>
  <c r="P37" i="17"/>
  <c r="Q37" i="17"/>
  <c r="R37" i="17"/>
  <c r="CH38" i="17"/>
  <c r="CE39" i="17"/>
  <c r="BG37" i="17"/>
  <c r="BH37" i="17"/>
  <c r="BH63" i="17"/>
  <c r="BD38" i="17"/>
  <c r="I37" i="17"/>
  <c r="H63" i="17"/>
  <c r="D40" i="17"/>
  <c r="G40" i="17"/>
  <c r="G39" i="17"/>
  <c r="K11" i="16"/>
  <c r="L11" i="16"/>
  <c r="AN86" i="17"/>
  <c r="AN87" i="17"/>
  <c r="AN88" i="17"/>
  <c r="BF84" i="17"/>
  <c r="K12" i="16"/>
  <c r="L12" i="16"/>
  <c r="I19" i="16"/>
  <c r="J8" i="16"/>
  <c r="L4" i="24"/>
  <c r="L75" i="24"/>
  <c r="L146" i="24"/>
  <c r="L145" i="24"/>
  <c r="M23" i="28"/>
  <c r="K16" i="16"/>
  <c r="L16" i="16"/>
  <c r="B8" i="19"/>
  <c r="B23" i="19"/>
  <c r="G38" i="7"/>
  <c r="H26" i="7"/>
  <c r="F37" i="19"/>
  <c r="G66" i="16"/>
  <c r="I58" i="24"/>
  <c r="I129" i="24"/>
  <c r="I200" i="24"/>
  <c r="B37" i="19"/>
  <c r="C66" i="16"/>
  <c r="E58" i="24"/>
  <c r="E129" i="24"/>
  <c r="E200" i="24"/>
  <c r="I37" i="19"/>
  <c r="J66" i="16"/>
  <c r="L58" i="24"/>
  <c r="L129" i="24"/>
  <c r="L200" i="24"/>
  <c r="E37" i="19"/>
  <c r="F66" i="16"/>
  <c r="H58" i="24"/>
  <c r="H129" i="24"/>
  <c r="H200" i="24"/>
  <c r="G37" i="19"/>
  <c r="H66" i="16"/>
  <c r="J58" i="24"/>
  <c r="J129" i="24"/>
  <c r="J200" i="24"/>
  <c r="C37" i="19"/>
  <c r="D66" i="16"/>
  <c r="F58" i="24"/>
  <c r="F129" i="24"/>
  <c r="F200" i="24"/>
  <c r="H37" i="19"/>
  <c r="I66" i="16"/>
  <c r="K58" i="24"/>
  <c r="K129" i="24"/>
  <c r="K200" i="24"/>
  <c r="D37" i="19"/>
  <c r="E66" i="16"/>
  <c r="G58" i="24"/>
  <c r="G129" i="24"/>
  <c r="G200" i="24"/>
  <c r="H27" i="7"/>
  <c r="I27" i="7"/>
  <c r="Y38" i="7"/>
  <c r="B98" i="19" a="1"/>
  <c r="Z26" i="7"/>
  <c r="Z27" i="7"/>
  <c r="AA27" i="7"/>
  <c r="I39" i="19"/>
  <c r="E39" i="19"/>
  <c r="F39" i="19"/>
  <c r="B39" i="19"/>
  <c r="H39" i="19"/>
  <c r="G39" i="19"/>
  <c r="C39" i="19"/>
  <c r="D39" i="19"/>
  <c r="AI29" i="7"/>
  <c r="AJ29" i="7"/>
  <c r="AJ28" i="7"/>
  <c r="AG59" i="7"/>
  <c r="AE30" i="7"/>
  <c r="K25" i="16"/>
  <c r="L34" i="20"/>
  <c r="W38" i="17"/>
  <c r="T39" i="17"/>
  <c r="R26" i="7"/>
  <c r="Q38" i="7"/>
  <c r="V38" i="17"/>
  <c r="Y37" i="17"/>
  <c r="AG38" i="17"/>
  <c r="AE39" i="17"/>
  <c r="AH38" i="17"/>
  <c r="CG39" i="17"/>
  <c r="CI38" i="17"/>
  <c r="CJ38" i="17"/>
  <c r="CK38" i="17"/>
  <c r="CL38" i="17"/>
  <c r="AX39" i="17"/>
  <c r="AY39" i="17"/>
  <c r="AY64" i="17"/>
  <c r="AU40" i="17"/>
  <c r="BF38" i="17"/>
  <c r="BI37" i="17"/>
  <c r="BP38" i="17"/>
  <c r="BM39" i="17"/>
  <c r="BX38" i="17"/>
  <c r="CA37" i="17"/>
  <c r="BG38" i="17"/>
  <c r="BD39" i="17"/>
  <c r="M39" i="17"/>
  <c r="O38" i="17"/>
  <c r="P38" i="17"/>
  <c r="Q38" i="17"/>
  <c r="R38" i="17"/>
  <c r="AF39" i="17"/>
  <c r="AG39" i="17"/>
  <c r="AG64" i="17"/>
  <c r="AC40" i="17"/>
  <c r="BS36" i="17"/>
  <c r="BT36" i="17"/>
  <c r="BY38" i="17"/>
  <c r="BV39" i="17"/>
  <c r="CH39" i="17"/>
  <c r="CI39" i="17"/>
  <c r="CI64" i="17"/>
  <c r="CE40" i="17"/>
  <c r="AW39" i="17"/>
  <c r="AY38" i="17"/>
  <c r="AZ38" i="17"/>
  <c r="N39" i="17"/>
  <c r="O39" i="17"/>
  <c r="O64" i="17"/>
  <c r="K40" i="17"/>
  <c r="AN38" i="17"/>
  <c r="AQ37" i="17"/>
  <c r="AR37" i="17"/>
  <c r="AS37" i="17"/>
  <c r="BO38" i="17"/>
  <c r="BR37" i="17"/>
  <c r="BS37" i="17"/>
  <c r="BT37" i="17"/>
  <c r="AO38" i="17"/>
  <c r="AL39" i="17"/>
  <c r="CB36" i="17"/>
  <c r="CC36" i="17"/>
  <c r="AR36" i="17"/>
  <c r="AS36" i="17"/>
  <c r="AF39" i="7"/>
  <c r="AC40" i="7"/>
  <c r="H40" i="17"/>
  <c r="I40" i="17"/>
  <c r="H39" i="17"/>
  <c r="G64" i="17"/>
  <c r="F41" i="17"/>
  <c r="F65" i="17"/>
  <c r="E84" i="17"/>
  <c r="M7" i="19"/>
  <c r="D41" i="17"/>
  <c r="F40" i="17"/>
  <c r="C26" i="19"/>
  <c r="B11" i="19"/>
  <c r="C11" i="19"/>
  <c r="B26" i="19"/>
  <c r="D26" i="19"/>
  <c r="D11" i="19"/>
  <c r="E11" i="19"/>
  <c r="E26" i="19"/>
  <c r="Z38" i="7"/>
  <c r="B103" i="19" a="1"/>
  <c r="E103" i="19"/>
  <c r="BF85" i="17"/>
  <c r="J19" i="16"/>
  <c r="K8" i="16"/>
  <c r="H38" i="7"/>
  <c r="B102" i="19" a="1"/>
  <c r="I26" i="7"/>
  <c r="AA26" i="7"/>
  <c r="B98" i="19"/>
  <c r="C98" i="19"/>
  <c r="D98" i="19"/>
  <c r="E98" i="19"/>
  <c r="F98" i="19"/>
  <c r="G98" i="19"/>
  <c r="H98" i="19"/>
  <c r="I98" i="19"/>
  <c r="AH30" i="7"/>
  <c r="AG30" i="7"/>
  <c r="AE31" i="7"/>
  <c r="BO39" i="17"/>
  <c r="BQ38" i="17"/>
  <c r="BR38" i="17"/>
  <c r="CH40" i="17"/>
  <c r="CE41" i="17"/>
  <c r="BJ37" i="17"/>
  <c r="BK37" i="17"/>
  <c r="N40" i="17"/>
  <c r="K41" i="17"/>
  <c r="BF39" i="17"/>
  <c r="BH38" i="17"/>
  <c r="BI38" i="17"/>
  <c r="BJ38" i="17"/>
  <c r="BK38" i="17"/>
  <c r="AF40" i="7"/>
  <c r="AC41" i="7"/>
  <c r="AN39" i="17"/>
  <c r="AP38" i="17"/>
  <c r="AQ38" i="17"/>
  <c r="BP39" i="17"/>
  <c r="BQ39" i="17"/>
  <c r="BQ64" i="17"/>
  <c r="BM40" i="17"/>
  <c r="AE40" i="17"/>
  <c r="AH39" i="17"/>
  <c r="AI39" i="17"/>
  <c r="AJ39" i="17"/>
  <c r="V39" i="17"/>
  <c r="X38" i="17"/>
  <c r="Y38" i="17"/>
  <c r="Z38" i="17"/>
  <c r="AA38" i="17"/>
  <c r="BY39" i="17"/>
  <c r="BZ39" i="17"/>
  <c r="BZ64" i="17"/>
  <c r="BV40" i="17"/>
  <c r="BG39" i="17"/>
  <c r="BH39" i="17"/>
  <c r="BH64" i="17"/>
  <c r="BD40" i="17"/>
  <c r="BX39" i="17"/>
  <c r="BZ38" i="17"/>
  <c r="CA38" i="17"/>
  <c r="AW40" i="17"/>
  <c r="AZ39" i="17"/>
  <c r="BA39" i="17"/>
  <c r="BB39" i="17"/>
  <c r="AC41" i="17"/>
  <c r="AF40" i="17"/>
  <c r="M40" i="17"/>
  <c r="P39" i="17"/>
  <c r="Q39" i="17"/>
  <c r="R39" i="17"/>
  <c r="AI38" i="17"/>
  <c r="AJ38" i="17"/>
  <c r="Z37" i="17"/>
  <c r="AA37" i="17"/>
  <c r="AO39" i="17"/>
  <c r="AP39" i="17"/>
  <c r="AP64" i="17"/>
  <c r="AL40" i="17"/>
  <c r="BA38" i="17"/>
  <c r="BB38" i="17"/>
  <c r="CB37" i="17"/>
  <c r="CC37" i="17"/>
  <c r="AX40" i="17"/>
  <c r="AU41" i="17"/>
  <c r="CG40" i="17"/>
  <c r="CJ39" i="17"/>
  <c r="CK39" i="17"/>
  <c r="CL39" i="17"/>
  <c r="W39" i="17"/>
  <c r="X39" i="17"/>
  <c r="X64" i="17"/>
  <c r="T40" i="17"/>
  <c r="D42" i="17"/>
  <c r="G42" i="17"/>
  <c r="G41" i="17"/>
  <c r="I39" i="17"/>
  <c r="H64" i="17"/>
  <c r="H103" i="19"/>
  <c r="D103" i="19"/>
  <c r="C103" i="19"/>
  <c r="G103" i="19"/>
  <c r="F103" i="19"/>
  <c r="B103" i="19"/>
  <c r="I103" i="19"/>
  <c r="BF86" i="17"/>
  <c r="BF87" i="17"/>
  <c r="BF88" i="17"/>
  <c r="L8" i="16"/>
  <c r="L19" i="16"/>
  <c r="K19" i="16"/>
  <c r="C102" i="19"/>
  <c r="E102" i="19"/>
  <c r="E104" i="19"/>
  <c r="G102" i="19"/>
  <c r="I102" i="19"/>
  <c r="B102" i="19"/>
  <c r="D102" i="19"/>
  <c r="F102" i="19"/>
  <c r="H102" i="19"/>
  <c r="AI30" i="7"/>
  <c r="AJ30" i="7"/>
  <c r="AH31" i="7"/>
  <c r="AG31" i="7"/>
  <c r="D104" i="19"/>
  <c r="M41" i="17"/>
  <c r="O40" i="17"/>
  <c r="P40" i="17"/>
  <c r="Q40" i="17"/>
  <c r="R40" i="17"/>
  <c r="AE41" i="17"/>
  <c r="AG40" i="17"/>
  <c r="AH40" i="17"/>
  <c r="AI40" i="17"/>
  <c r="AJ40" i="17"/>
  <c r="CH41" i="17"/>
  <c r="CI41" i="17"/>
  <c r="CI65" i="17"/>
  <c r="CE42" i="17"/>
  <c r="H104" i="19"/>
  <c r="CG41" i="17"/>
  <c r="CI40" i="17"/>
  <c r="CJ40" i="17"/>
  <c r="CK40" i="17"/>
  <c r="CL40" i="17"/>
  <c r="AW41" i="17"/>
  <c r="AY40" i="17"/>
  <c r="AZ40" i="17"/>
  <c r="BY40" i="17"/>
  <c r="BV41" i="17"/>
  <c r="V40" i="17"/>
  <c r="Y39" i="17"/>
  <c r="BO40" i="17"/>
  <c r="BR39" i="17"/>
  <c r="BS39" i="17"/>
  <c r="BT39" i="17"/>
  <c r="AO40" i="17"/>
  <c r="AL41" i="17"/>
  <c r="CB38" i="17"/>
  <c r="CC38" i="17"/>
  <c r="BD41" i="17"/>
  <c r="BG40" i="17"/>
  <c r="AR38" i="17"/>
  <c r="AS38" i="17"/>
  <c r="BF40" i="17"/>
  <c r="BI39" i="17"/>
  <c r="F104" i="19"/>
  <c r="T41" i="17"/>
  <c r="W40" i="17"/>
  <c r="AX41" i="17"/>
  <c r="AY41" i="17"/>
  <c r="AY65" i="17"/>
  <c r="AU42" i="17"/>
  <c r="AF41" i="17"/>
  <c r="AG41" i="17"/>
  <c r="AG65" i="17"/>
  <c r="AC42" i="17"/>
  <c r="BX40" i="17"/>
  <c r="CA39" i="17"/>
  <c r="BP40" i="17"/>
  <c r="BM41" i="17"/>
  <c r="AN40" i="17"/>
  <c r="AQ39" i="17"/>
  <c r="AR39" i="17"/>
  <c r="AS39" i="17"/>
  <c r="AF41" i="7"/>
  <c r="AC42" i="7"/>
  <c r="N41" i="17"/>
  <c r="O41" i="17"/>
  <c r="O65" i="17"/>
  <c r="K42" i="17"/>
  <c r="BS38" i="17"/>
  <c r="BT38" i="17"/>
  <c r="G104" i="19"/>
  <c r="B104" i="19"/>
  <c r="C104" i="19"/>
  <c r="I104" i="19"/>
  <c r="H42" i="17"/>
  <c r="I42" i="17"/>
  <c r="H41" i="17"/>
  <c r="G65" i="17"/>
  <c r="F43" i="17"/>
  <c r="F66" i="17"/>
  <c r="E85" i="17"/>
  <c r="N7" i="19"/>
  <c r="F42" i="17"/>
  <c r="D43" i="17"/>
  <c r="E13" i="19"/>
  <c r="F13" i="19"/>
  <c r="G28" i="19"/>
  <c r="F28" i="19"/>
  <c r="B13" i="19"/>
  <c r="E28" i="19"/>
  <c r="C13" i="19"/>
  <c r="G13" i="19"/>
  <c r="B28" i="19"/>
  <c r="C28" i="19"/>
  <c r="D13" i="19"/>
  <c r="D28" i="19"/>
  <c r="AI31" i="7"/>
  <c r="AJ31" i="7"/>
  <c r="AG60" i="7"/>
  <c r="AE32" i="7"/>
  <c r="BX41" i="17"/>
  <c r="CA40" i="17"/>
  <c r="BZ40" i="17"/>
  <c r="K43" i="17"/>
  <c r="N42" i="17"/>
  <c r="BP41" i="17"/>
  <c r="BQ41" i="17"/>
  <c r="BQ65" i="17"/>
  <c r="BM42" i="17"/>
  <c r="BJ39" i="17"/>
  <c r="Z39" i="17"/>
  <c r="AA39" i="17"/>
  <c r="BY41" i="17"/>
  <c r="BZ41" i="17"/>
  <c r="BZ65" i="17"/>
  <c r="BV42" i="17"/>
  <c r="AU43" i="17"/>
  <c r="AX42" i="17"/>
  <c r="BF41" i="17"/>
  <c r="BH40" i="17"/>
  <c r="BI40" i="17"/>
  <c r="BJ40" i="17"/>
  <c r="BK40" i="17"/>
  <c r="BO41" i="17"/>
  <c r="BQ40" i="17"/>
  <c r="BR40" i="17"/>
  <c r="V41" i="17"/>
  <c r="X40" i="17"/>
  <c r="Y40" i="17"/>
  <c r="AF42" i="7"/>
  <c r="AC43" i="7"/>
  <c r="BA40" i="17"/>
  <c r="BB40" i="17"/>
  <c r="M42" i="17"/>
  <c r="P41" i="17"/>
  <c r="Q41" i="17"/>
  <c r="R41" i="17"/>
  <c r="AN41" i="17"/>
  <c r="AP40" i="17"/>
  <c r="AQ40" i="17"/>
  <c r="CB39" i="17"/>
  <c r="CC39" i="17"/>
  <c r="AF42" i="17"/>
  <c r="AC43" i="17"/>
  <c r="W41" i="17"/>
  <c r="X41" i="17"/>
  <c r="X65" i="17"/>
  <c r="T42" i="17"/>
  <c r="BG41" i="17"/>
  <c r="BH41" i="17"/>
  <c r="BH65" i="17"/>
  <c r="BD42" i="17"/>
  <c r="AO41" i="17"/>
  <c r="AP41" i="17"/>
  <c r="AP65" i="17"/>
  <c r="AL42" i="17"/>
  <c r="AW42" i="17"/>
  <c r="AZ41" i="17"/>
  <c r="BA41" i="17"/>
  <c r="BB41" i="17"/>
  <c r="CG42" i="17"/>
  <c r="CJ41" i="17"/>
  <c r="CK41" i="17"/>
  <c r="CL41" i="17"/>
  <c r="CH42" i="17"/>
  <c r="CE43" i="17"/>
  <c r="AE42" i="17"/>
  <c r="AH41" i="17"/>
  <c r="AI41" i="17"/>
  <c r="AJ41" i="17"/>
  <c r="D44" i="17"/>
  <c r="G44" i="17"/>
  <c r="G43" i="17"/>
  <c r="I41" i="17"/>
  <c r="H65" i="17"/>
  <c r="AG32" i="7"/>
  <c r="AE33" i="7"/>
  <c r="AH32" i="7"/>
  <c r="AG42" i="17"/>
  <c r="AE43" i="17"/>
  <c r="AH42" i="17"/>
  <c r="CG43" i="17"/>
  <c r="CI42" i="17"/>
  <c r="CJ42" i="17"/>
  <c r="AO42" i="17"/>
  <c r="AL43" i="17"/>
  <c r="W42" i="17"/>
  <c r="T43" i="17"/>
  <c r="AN42" i="17"/>
  <c r="AQ41" i="17"/>
  <c r="AR41" i="17"/>
  <c r="AS41" i="17"/>
  <c r="V42" i="17"/>
  <c r="Y41" i="17"/>
  <c r="BO42" i="17"/>
  <c r="BR41" i="17"/>
  <c r="BS41" i="17"/>
  <c r="BT41" i="17"/>
  <c r="BF42" i="17"/>
  <c r="BI41" i="17"/>
  <c r="CB40" i="17"/>
  <c r="CC40" i="17"/>
  <c r="AF43" i="7"/>
  <c r="AC44" i="7"/>
  <c r="Z40" i="17"/>
  <c r="AA40" i="17"/>
  <c r="BS40" i="17"/>
  <c r="BT40" i="17"/>
  <c r="CH43" i="17"/>
  <c r="CI43" i="17"/>
  <c r="CI66" i="17"/>
  <c r="CE44" i="17"/>
  <c r="AW43" i="17"/>
  <c r="AY42" i="17"/>
  <c r="AZ42" i="17"/>
  <c r="BG42" i="17"/>
  <c r="BD43" i="17"/>
  <c r="AF43" i="17"/>
  <c r="AG43" i="17"/>
  <c r="AG66" i="17"/>
  <c r="AC44" i="17"/>
  <c r="AR40" i="17"/>
  <c r="AS40" i="17"/>
  <c r="M43" i="17"/>
  <c r="O42" i="17"/>
  <c r="P42" i="17"/>
  <c r="AX43" i="17"/>
  <c r="AY43" i="17"/>
  <c r="AY66" i="17"/>
  <c r="AU44" i="17"/>
  <c r="BY42" i="17"/>
  <c r="BV43" i="17"/>
  <c r="BK39" i="17"/>
  <c r="BP42" i="17"/>
  <c r="BM43" i="17"/>
  <c r="N43" i="17"/>
  <c r="O43" i="17"/>
  <c r="O66" i="17"/>
  <c r="K44" i="17"/>
  <c r="BX42" i="17"/>
  <c r="CA41" i="17"/>
  <c r="H44" i="17"/>
  <c r="I44" i="17"/>
  <c r="H43" i="17"/>
  <c r="G66" i="17"/>
  <c r="D45" i="17"/>
  <c r="F45" i="17"/>
  <c r="F67" i="17"/>
  <c r="E86" i="17"/>
  <c r="O7" i="19"/>
  <c r="F44" i="17"/>
  <c r="AI32" i="7"/>
  <c r="AH33" i="7"/>
  <c r="AG33" i="7"/>
  <c r="BF43" i="17"/>
  <c r="BH42" i="17"/>
  <c r="BI42" i="17"/>
  <c r="BJ42" i="17"/>
  <c r="BK42" i="17"/>
  <c r="V43" i="17"/>
  <c r="X42" i="17"/>
  <c r="Y42" i="17"/>
  <c r="Z42" i="17"/>
  <c r="AA42" i="17"/>
  <c r="BY43" i="17"/>
  <c r="BV44" i="17"/>
  <c r="BD44" i="17"/>
  <c r="BG43" i="17"/>
  <c r="BH43" i="17"/>
  <c r="BH66" i="17"/>
  <c r="AF44" i="7"/>
  <c r="AC45" i="7"/>
  <c r="N44" i="17"/>
  <c r="K45" i="17"/>
  <c r="BP43" i="17"/>
  <c r="BQ43" i="17"/>
  <c r="BQ66" i="17"/>
  <c r="BM44" i="17"/>
  <c r="M44" i="17"/>
  <c r="P43" i="17"/>
  <c r="Q43" i="17"/>
  <c r="R43" i="17"/>
  <c r="AW44" i="17"/>
  <c r="AZ43" i="17"/>
  <c r="BA43" i="17"/>
  <c r="BB43" i="17"/>
  <c r="BQ42" i="17"/>
  <c r="BO43" i="17"/>
  <c r="BR42" i="17"/>
  <c r="AN43" i="17"/>
  <c r="AP42" i="17"/>
  <c r="AQ42" i="17"/>
  <c r="AI42" i="17"/>
  <c r="AJ42" i="17"/>
  <c r="CB41" i="17"/>
  <c r="CC41" i="17"/>
  <c r="AX44" i="17"/>
  <c r="AU45" i="17"/>
  <c r="Q42" i="17"/>
  <c r="R42" i="17"/>
  <c r="CH44" i="17"/>
  <c r="CE45" i="17"/>
  <c r="CG44" i="17"/>
  <c r="CJ43" i="17"/>
  <c r="CK43" i="17"/>
  <c r="CL43" i="17"/>
  <c r="BZ43" i="17"/>
  <c r="BZ66" i="17"/>
  <c r="BX43" i="17"/>
  <c r="BZ42" i="17"/>
  <c r="CA42" i="17"/>
  <c r="T44" i="17"/>
  <c r="W43" i="17"/>
  <c r="X43" i="17"/>
  <c r="X66" i="17"/>
  <c r="CK42" i="17"/>
  <c r="CL42" i="17"/>
  <c r="AF44" i="17"/>
  <c r="AC45" i="17"/>
  <c r="BA42" i="17"/>
  <c r="BJ41" i="17"/>
  <c r="BK41" i="17"/>
  <c r="Z41" i="17"/>
  <c r="AA41" i="17"/>
  <c r="AO43" i="17"/>
  <c r="AP43" i="17"/>
  <c r="AP66" i="17"/>
  <c r="AL44" i="17"/>
  <c r="AE44" i="17"/>
  <c r="AH43" i="17"/>
  <c r="AI43" i="17"/>
  <c r="AJ43" i="17"/>
  <c r="D46" i="17"/>
  <c r="G46" i="17"/>
  <c r="H46" i="17"/>
  <c r="I46" i="17"/>
  <c r="G45" i="17"/>
  <c r="I43" i="17"/>
  <c r="H66" i="17"/>
  <c r="AI33" i="7"/>
  <c r="AE34" i="7"/>
  <c r="AG61" i="7"/>
  <c r="AJ32" i="7"/>
  <c r="AE45" i="17"/>
  <c r="AG44" i="17"/>
  <c r="AH44" i="17"/>
  <c r="AI44" i="17"/>
  <c r="AJ44" i="17"/>
  <c r="W44" i="17"/>
  <c r="T45" i="17"/>
  <c r="BG44" i="17"/>
  <c r="BD45" i="17"/>
  <c r="BY44" i="17"/>
  <c r="BV45" i="17"/>
  <c r="AO44" i="17"/>
  <c r="AL45" i="17"/>
  <c r="CB42" i="17"/>
  <c r="AR42" i="17"/>
  <c r="AS42" i="17"/>
  <c r="BS42" i="17"/>
  <c r="AF45" i="7"/>
  <c r="AC46" i="7"/>
  <c r="V44" i="17"/>
  <c r="Y43" i="17"/>
  <c r="BF44" i="17"/>
  <c r="BI43" i="17"/>
  <c r="BX44" i="17"/>
  <c r="CA43" i="17"/>
  <c r="CH45" i="17"/>
  <c r="CI45" i="17"/>
  <c r="CI67" i="17"/>
  <c r="CE46" i="17"/>
  <c r="AX45" i="17"/>
  <c r="AY45" i="17"/>
  <c r="AY67" i="17"/>
  <c r="AU46" i="17"/>
  <c r="BO44" i="17"/>
  <c r="BR43" i="17"/>
  <c r="AF45" i="17"/>
  <c r="AG45" i="17"/>
  <c r="AG67" i="17"/>
  <c r="AC46" i="17"/>
  <c r="AN44" i="17"/>
  <c r="AQ43" i="17"/>
  <c r="AR43" i="17"/>
  <c r="AS43" i="17"/>
  <c r="M45" i="17"/>
  <c r="O44" i="17"/>
  <c r="P44" i="17"/>
  <c r="N45" i="17"/>
  <c r="O45" i="17"/>
  <c r="O67" i="17"/>
  <c r="K46" i="17"/>
  <c r="BB42" i="17"/>
  <c r="CG45" i="17"/>
  <c r="CI44" i="17"/>
  <c r="CJ44" i="17"/>
  <c r="AW45" i="17"/>
  <c r="AY44" i="17"/>
  <c r="AZ44" i="17"/>
  <c r="BP44" i="17"/>
  <c r="BM45" i="17"/>
  <c r="G67" i="17"/>
  <c r="H45" i="17"/>
  <c r="F46" i="17"/>
  <c r="D47" i="17"/>
  <c r="F47" i="17"/>
  <c r="F68" i="17"/>
  <c r="E87" i="17"/>
  <c r="P7" i="19"/>
  <c r="AJ33" i="7"/>
  <c r="AG34" i="7"/>
  <c r="AE35" i="7"/>
  <c r="AH34" i="7"/>
  <c r="BA44" i="17"/>
  <c r="BB44" i="17"/>
  <c r="CG46" i="17"/>
  <c r="CJ45" i="17"/>
  <c r="CK45" i="17"/>
  <c r="CL45" i="17"/>
  <c r="M46" i="17"/>
  <c r="P45" i="17"/>
  <c r="Q45" i="17"/>
  <c r="R45" i="17"/>
  <c r="BO45" i="17"/>
  <c r="BQ44" i="17"/>
  <c r="BR44" i="17"/>
  <c r="BS44" i="17"/>
  <c r="BT44" i="17"/>
  <c r="BY45" i="17"/>
  <c r="BV46" i="17"/>
  <c r="CK44" i="17"/>
  <c r="CL44" i="17"/>
  <c r="AX46" i="17"/>
  <c r="AU47" i="17"/>
  <c r="CB43" i="17"/>
  <c r="CC43" i="17"/>
  <c r="BF45" i="17"/>
  <c r="BH44" i="17"/>
  <c r="BI44" i="17"/>
  <c r="BJ44" i="17"/>
  <c r="BK44" i="17"/>
  <c r="AF46" i="7"/>
  <c r="AC47" i="7"/>
  <c r="AL46" i="17"/>
  <c r="AO45" i="17"/>
  <c r="AP45" i="17"/>
  <c r="AP67" i="17"/>
  <c r="W45" i="17"/>
  <c r="X45" i="17"/>
  <c r="X67" i="17"/>
  <c r="T46" i="17"/>
  <c r="BP45" i="17"/>
  <c r="BQ45" i="17"/>
  <c r="BQ67" i="17"/>
  <c r="BM46" i="17"/>
  <c r="AW46" i="17"/>
  <c r="AZ45" i="17"/>
  <c r="BA45" i="17"/>
  <c r="BB45" i="17"/>
  <c r="Q44" i="17"/>
  <c r="R44" i="17"/>
  <c r="BX45" i="17"/>
  <c r="BZ45" i="17"/>
  <c r="BZ67" i="17"/>
  <c r="BZ44" i="17"/>
  <c r="CA44" i="17"/>
  <c r="Z43" i="17"/>
  <c r="AA43" i="17"/>
  <c r="BG45" i="17"/>
  <c r="BH45" i="17"/>
  <c r="BH67" i="17"/>
  <c r="BD46" i="17"/>
  <c r="N46" i="17"/>
  <c r="K47" i="17"/>
  <c r="BJ43" i="17"/>
  <c r="BK43" i="17"/>
  <c r="AF46" i="17"/>
  <c r="AC47" i="17"/>
  <c r="AE46" i="17"/>
  <c r="AH45" i="17"/>
  <c r="AN45" i="17"/>
  <c r="AP44" i="17"/>
  <c r="AQ44" i="17"/>
  <c r="AR44" i="17"/>
  <c r="AS44" i="17"/>
  <c r="BS43" i="17"/>
  <c r="BT43" i="17"/>
  <c r="CH46" i="17"/>
  <c r="CE47" i="17"/>
  <c r="V45" i="17"/>
  <c r="X44" i="17"/>
  <c r="Y44" i="17"/>
  <c r="BT42" i="17"/>
  <c r="CC42" i="17"/>
  <c r="D48" i="17"/>
  <c r="G48" i="17"/>
  <c r="G47" i="17"/>
  <c r="I45" i="17"/>
  <c r="H67" i="17"/>
  <c r="AI34" i="7"/>
  <c r="AJ34" i="7"/>
  <c r="AH35" i="7"/>
  <c r="AG35" i="7"/>
  <c r="N47" i="17"/>
  <c r="K48" i="17"/>
  <c r="CB44" i="17"/>
  <c r="BP46" i="17"/>
  <c r="BM47" i="17"/>
  <c r="V46" i="17"/>
  <c r="Y45" i="17"/>
  <c r="Z45" i="17"/>
  <c r="AA45" i="17"/>
  <c r="AN46" i="17"/>
  <c r="AQ45" i="17"/>
  <c r="AI45" i="17"/>
  <c r="AJ45" i="17"/>
  <c r="BY46" i="17"/>
  <c r="BV47" i="17"/>
  <c r="O47" i="17"/>
  <c r="O68" i="17"/>
  <c r="M47" i="17"/>
  <c r="O46" i="17"/>
  <c r="P46" i="17"/>
  <c r="Z44" i="17"/>
  <c r="AA44" i="17"/>
  <c r="AE47" i="17"/>
  <c r="AG46" i="17"/>
  <c r="AH46" i="17"/>
  <c r="AO46" i="17"/>
  <c r="AL47" i="17"/>
  <c r="CH47" i="17"/>
  <c r="CE48" i="17"/>
  <c r="AF47" i="17"/>
  <c r="AG47" i="17"/>
  <c r="AG68" i="17"/>
  <c r="AC48" i="17"/>
  <c r="BG46" i="17"/>
  <c r="BD47" i="17"/>
  <c r="BX46" i="17"/>
  <c r="CA45" i="17"/>
  <c r="CB45" i="17"/>
  <c r="CC45" i="17"/>
  <c r="AW47" i="17"/>
  <c r="AY46" i="17"/>
  <c r="AZ46" i="17"/>
  <c r="W46" i="17"/>
  <c r="T47" i="17"/>
  <c r="AF47" i="7"/>
  <c r="AC48" i="7"/>
  <c r="BO46" i="17"/>
  <c r="BR45" i="17"/>
  <c r="BS45" i="17"/>
  <c r="BT45" i="17"/>
  <c r="CI47" i="17"/>
  <c r="CI68" i="17"/>
  <c r="CG47" i="17"/>
  <c r="CI46" i="17"/>
  <c r="CJ46" i="17"/>
  <c r="CK46" i="17"/>
  <c r="CL46" i="17"/>
  <c r="BF46" i="17"/>
  <c r="BI45" i="17"/>
  <c r="AX47" i="17"/>
  <c r="AY47" i="17"/>
  <c r="AY68" i="17"/>
  <c r="AU48" i="17"/>
  <c r="G69" i="17"/>
  <c r="H48" i="17"/>
  <c r="H69" i="17"/>
  <c r="H47" i="17"/>
  <c r="G68" i="17"/>
  <c r="B62" i="19" a="1"/>
  <c r="F48" i="17"/>
  <c r="F49" i="17"/>
  <c r="F69" i="17"/>
  <c r="E88" i="17"/>
  <c r="Q7" i="19"/>
  <c r="AI35" i="7"/>
  <c r="AJ35" i="7"/>
  <c r="AG62" i="7"/>
  <c r="AE36" i="7"/>
  <c r="BF47" i="17"/>
  <c r="BH46" i="17"/>
  <c r="BI46" i="17"/>
  <c r="CG48" i="17"/>
  <c r="CJ47" i="17"/>
  <c r="CK47" i="17"/>
  <c r="CL47" i="17"/>
  <c r="AF48" i="7"/>
  <c r="AC49" i="7"/>
  <c r="AH61" i="7"/>
  <c r="AI59" i="7"/>
  <c r="AI61" i="7"/>
  <c r="AI60" i="7"/>
  <c r="W47" i="17"/>
  <c r="X47" i="17"/>
  <c r="X68" i="17"/>
  <c r="T48" i="17"/>
  <c r="AF48" i="17"/>
  <c r="AC49" i="17"/>
  <c r="AI46" i="17"/>
  <c r="AJ46" i="17"/>
  <c r="AF68" i="7"/>
  <c r="AG87" i="7"/>
  <c r="O21" i="19"/>
  <c r="AN47" i="17"/>
  <c r="AP46" i="17"/>
  <c r="AQ46" i="17"/>
  <c r="BP47" i="17"/>
  <c r="BQ47" i="17"/>
  <c r="BQ68" i="17"/>
  <c r="BM48" i="17"/>
  <c r="N48" i="17"/>
  <c r="K49" i="17"/>
  <c r="AH62" i="7"/>
  <c r="BA46" i="17"/>
  <c r="BB46" i="17"/>
  <c r="BG47" i="17"/>
  <c r="BH47" i="17"/>
  <c r="BH68" i="17"/>
  <c r="BD48" i="17"/>
  <c r="CE49" i="17"/>
  <c r="CH48" i="17"/>
  <c r="AE48" i="17"/>
  <c r="AH47" i="17"/>
  <c r="AI47" i="17"/>
  <c r="AJ47" i="17"/>
  <c r="Q46" i="17"/>
  <c r="R46" i="17"/>
  <c r="M48" i="17"/>
  <c r="P47" i="17"/>
  <c r="Q47" i="17"/>
  <c r="R47" i="17"/>
  <c r="AR45" i="17"/>
  <c r="AS45" i="17"/>
  <c r="AX48" i="17"/>
  <c r="AU49" i="17"/>
  <c r="BA64" i="17"/>
  <c r="BA66" i="17"/>
  <c r="AW48" i="17"/>
  <c r="AZ47" i="17"/>
  <c r="BA47" i="17"/>
  <c r="BB47" i="17"/>
  <c r="AO47" i="17"/>
  <c r="AP47" i="17"/>
  <c r="AP68" i="17"/>
  <c r="AL48" i="17"/>
  <c r="BJ45" i="17"/>
  <c r="BK45" i="17"/>
  <c r="BO47" i="17"/>
  <c r="BQ46" i="17"/>
  <c r="BR46" i="17"/>
  <c r="BX47" i="17"/>
  <c r="BZ46" i="17"/>
  <c r="CA46" i="17"/>
  <c r="BV48" i="17"/>
  <c r="BY47" i="17"/>
  <c r="BZ47" i="17"/>
  <c r="BZ68" i="17"/>
  <c r="V47" i="17"/>
  <c r="X46" i="17"/>
  <c r="Y46" i="17"/>
  <c r="CC44" i="17"/>
  <c r="AI62" i="7"/>
  <c r="I48" i="17"/>
  <c r="M62" i="19"/>
  <c r="B62" i="19"/>
  <c r="C62" i="19"/>
  <c r="E62" i="19"/>
  <c r="P62" i="19"/>
  <c r="K62" i="19"/>
  <c r="L62" i="19"/>
  <c r="N62" i="19"/>
  <c r="I62" i="19"/>
  <c r="F62" i="19"/>
  <c r="Q62" i="19"/>
  <c r="O62" i="19"/>
  <c r="D62" i="19"/>
  <c r="J62" i="19"/>
  <c r="H62" i="19"/>
  <c r="G62" i="19"/>
  <c r="I47" i="17"/>
  <c r="H68" i="17"/>
  <c r="B76" i="19" a="1"/>
  <c r="AG36" i="7"/>
  <c r="AE37" i="7"/>
  <c r="AH36" i="7"/>
  <c r="AH60" i="7"/>
  <c r="AF66" i="7"/>
  <c r="AG85" i="7"/>
  <c r="M21" i="19"/>
  <c r="Z46" i="17"/>
  <c r="AA46" i="17"/>
  <c r="BS46" i="17"/>
  <c r="BT46" i="17"/>
  <c r="AO48" i="17"/>
  <c r="AL49" i="17"/>
  <c r="AR65" i="17"/>
  <c r="O48" i="17"/>
  <c r="P48" i="17"/>
  <c r="AG48" i="17"/>
  <c r="AH48" i="17"/>
  <c r="BG48" i="17"/>
  <c r="BD49" i="17"/>
  <c r="BM49" i="17"/>
  <c r="BR65" i="17"/>
  <c r="BP48" i="17"/>
  <c r="BS66" i="17"/>
  <c r="BF48" i="17"/>
  <c r="BI47" i="17"/>
  <c r="V48" i="17"/>
  <c r="Y47" i="17"/>
  <c r="BY48" i="17"/>
  <c r="BV49" i="17"/>
  <c r="CB64" i="17"/>
  <c r="CB65" i="17"/>
  <c r="BX48" i="17"/>
  <c r="CA47" i="17"/>
  <c r="BO48" i="17"/>
  <c r="BR47" i="17"/>
  <c r="BS47" i="17"/>
  <c r="BT47" i="17"/>
  <c r="AN48" i="17"/>
  <c r="AQ47" i="17"/>
  <c r="CI48" i="17"/>
  <c r="CJ48" i="17"/>
  <c r="CB46" i="17"/>
  <c r="CC46" i="17"/>
  <c r="AY48" i="17"/>
  <c r="AZ48" i="17"/>
  <c r="AX49" i="17"/>
  <c r="AY49" i="17"/>
  <c r="AY69" i="17"/>
  <c r="AX88" i="17"/>
  <c r="AX54" i="17"/>
  <c r="AX55" i="17"/>
  <c r="AZ56" i="17"/>
  <c r="AX56" i="17"/>
  <c r="AX58" i="17"/>
  <c r="AX57" i="17"/>
  <c r="BA56" i="17"/>
  <c r="AZ57" i="17"/>
  <c r="AZ58" i="17"/>
  <c r="AX59" i="17"/>
  <c r="AZ59" i="17"/>
  <c r="AX61" i="17"/>
  <c r="BA59" i="17"/>
  <c r="BA62" i="17"/>
  <c r="BA58" i="17"/>
  <c r="AZ63" i="17"/>
  <c r="BA63" i="17"/>
  <c r="AZ54" i="17"/>
  <c r="BA54" i="17"/>
  <c r="AZ55" i="17"/>
  <c r="AX60" i="17"/>
  <c r="BA55" i="17"/>
  <c r="BA57" i="17"/>
  <c r="BA60" i="17"/>
  <c r="AZ60" i="17"/>
  <c r="AZ64" i="17"/>
  <c r="AZ66" i="17"/>
  <c r="AZ65" i="17"/>
  <c r="AX66" i="17"/>
  <c r="AX65" i="17"/>
  <c r="BA65" i="17"/>
  <c r="BA68" i="17"/>
  <c r="AX68" i="17"/>
  <c r="BA67" i="17"/>
  <c r="AX67" i="17"/>
  <c r="AZ67" i="17"/>
  <c r="AZ68" i="17"/>
  <c r="AX69" i="17"/>
  <c r="CH49" i="17"/>
  <c r="CI49" i="17"/>
  <c r="CI69" i="17"/>
  <c r="CH88" i="17"/>
  <c r="CH57" i="17"/>
  <c r="CH54" i="17"/>
  <c r="CH56" i="17"/>
  <c r="CH55" i="17"/>
  <c r="CH58" i="17"/>
  <c r="CJ57" i="17"/>
  <c r="CK55" i="17"/>
  <c r="CH59" i="17"/>
  <c r="CJ58" i="17"/>
  <c r="CK59" i="17"/>
  <c r="CJ59" i="17"/>
  <c r="CK54" i="17"/>
  <c r="CJ55" i="17"/>
  <c r="CK58" i="17"/>
  <c r="CJ54" i="17"/>
  <c r="CH60" i="17"/>
  <c r="CJ56" i="17"/>
  <c r="CJ60" i="17"/>
  <c r="CK60" i="17"/>
  <c r="CK57" i="17"/>
  <c r="CK56" i="17"/>
  <c r="CJ61" i="17"/>
  <c r="CK61" i="17"/>
  <c r="CH62" i="17"/>
  <c r="CK62" i="17"/>
  <c r="CJ65" i="17"/>
  <c r="CK65" i="17"/>
  <c r="CH65" i="17"/>
  <c r="CJ66" i="17"/>
  <c r="CK66" i="17"/>
  <c r="CH67" i="17"/>
  <c r="CK68" i="17"/>
  <c r="CH66" i="17"/>
  <c r="CH68" i="17"/>
  <c r="CJ68" i="17"/>
  <c r="CK67" i="17"/>
  <c r="CJ69" i="17"/>
  <c r="CJ67" i="17"/>
  <c r="CH69" i="17"/>
  <c r="CK63" i="17"/>
  <c r="N49" i="17"/>
  <c r="N57" i="17"/>
  <c r="N56" i="17"/>
  <c r="Q54" i="17"/>
  <c r="P55" i="17"/>
  <c r="N54" i="17"/>
  <c r="N58" i="17"/>
  <c r="N62" i="17"/>
  <c r="N55" i="17"/>
  <c r="Q58" i="17"/>
  <c r="P57" i="17"/>
  <c r="P54" i="17"/>
  <c r="P56" i="17"/>
  <c r="Q55" i="17"/>
  <c r="N60" i="17"/>
  <c r="Q56" i="17"/>
  <c r="Q57" i="17"/>
  <c r="P58" i="17"/>
  <c r="Q60" i="17"/>
  <c r="Q59" i="17"/>
  <c r="P61" i="17"/>
  <c r="Q63" i="17"/>
  <c r="N63" i="17"/>
  <c r="P64" i="17"/>
  <c r="N64" i="17"/>
  <c r="P65" i="17"/>
  <c r="N67" i="17"/>
  <c r="Q64" i="17"/>
  <c r="Q65" i="17"/>
  <c r="N66" i="17"/>
  <c r="N65" i="17"/>
  <c r="P66" i="17"/>
  <c r="Q67" i="17"/>
  <c r="Q66" i="17"/>
  <c r="Q68" i="17"/>
  <c r="N68" i="17"/>
  <c r="P68" i="17"/>
  <c r="P67" i="17"/>
  <c r="AR46" i="17"/>
  <c r="AS46" i="17"/>
  <c r="AF49" i="17"/>
  <c r="AG49" i="17"/>
  <c r="AG69" i="17"/>
  <c r="AF88" i="17"/>
  <c r="AH54" i="17"/>
  <c r="AF54" i="17"/>
  <c r="AF57" i="17"/>
  <c r="AF56" i="17"/>
  <c r="AF55" i="17"/>
  <c r="AF58" i="17"/>
  <c r="AF59" i="17"/>
  <c r="AH58" i="17"/>
  <c r="AH55" i="17"/>
  <c r="AI55" i="17"/>
  <c r="AI57" i="17"/>
  <c r="AI56" i="17"/>
  <c r="AI59" i="17"/>
  <c r="AI54" i="17"/>
  <c r="AH59" i="17"/>
  <c r="AH56" i="17"/>
  <c r="AF60" i="17"/>
  <c r="AH60" i="17"/>
  <c r="AH57" i="17"/>
  <c r="AI58" i="17"/>
  <c r="AF61" i="17"/>
  <c r="AI60" i="17"/>
  <c r="AH61" i="17"/>
  <c r="AI67" i="17"/>
  <c r="AI61" i="17"/>
  <c r="AF65" i="17"/>
  <c r="AI65" i="17"/>
  <c r="AH65" i="17"/>
  <c r="AH69" i="17"/>
  <c r="AF66" i="17"/>
  <c r="AH67" i="17"/>
  <c r="AH66" i="17"/>
  <c r="AF67" i="17"/>
  <c r="AH68" i="17"/>
  <c r="AI66" i="17"/>
  <c r="AI68" i="17"/>
  <c r="AF68" i="17"/>
  <c r="W48" i="17"/>
  <c r="T49" i="17"/>
  <c r="AF49" i="7"/>
  <c r="AF59" i="7"/>
  <c r="AF55" i="7"/>
  <c r="AH54" i="7"/>
  <c r="AF60" i="7"/>
  <c r="AI54" i="7"/>
  <c r="AF56" i="7"/>
  <c r="AF54" i="7"/>
  <c r="AI55" i="7"/>
  <c r="AF58" i="7"/>
  <c r="AH55" i="7"/>
  <c r="AF57" i="7"/>
  <c r="AH56" i="7"/>
  <c r="AF65" i="7"/>
  <c r="AG84" i="7"/>
  <c r="L21" i="19"/>
  <c r="AH57" i="7"/>
  <c r="AF67" i="7"/>
  <c r="AG86" i="7"/>
  <c r="N21" i="19"/>
  <c r="AI56" i="7"/>
  <c r="AI57" i="7"/>
  <c r="AF61" i="7"/>
  <c r="AF69" i="7"/>
  <c r="AG88" i="7"/>
  <c r="P21" i="19"/>
  <c r="AH58" i="7"/>
  <c r="AF62" i="7"/>
  <c r="AI58" i="7"/>
  <c r="AF64" i="7"/>
  <c r="AG83" i="7"/>
  <c r="K21" i="19"/>
  <c r="AH59" i="7"/>
  <c r="AF63" i="7"/>
  <c r="BJ46" i="17"/>
  <c r="BK46" i="17"/>
  <c r="C76" i="19"/>
  <c r="L76" i="19"/>
  <c r="O76" i="19"/>
  <c r="P76" i="19"/>
  <c r="N76" i="19"/>
  <c r="F76" i="19"/>
  <c r="Q76" i="19"/>
  <c r="B76" i="19"/>
  <c r="D76" i="19"/>
  <c r="H76" i="19"/>
  <c r="I76" i="19"/>
  <c r="E76" i="19"/>
  <c r="J76" i="19"/>
  <c r="M76" i="19"/>
  <c r="G76" i="19"/>
  <c r="K76" i="19"/>
  <c r="AI36" i="7"/>
  <c r="AJ36" i="7"/>
  <c r="AG37" i="7"/>
  <c r="AH37" i="7"/>
  <c r="AH63" i="7"/>
  <c r="AG79" i="7"/>
  <c r="G21" i="19"/>
  <c r="AF79" i="7"/>
  <c r="G6" i="19"/>
  <c r="W49" i="17"/>
  <c r="W57" i="17"/>
  <c r="W55" i="17"/>
  <c r="W58" i="17"/>
  <c r="Z54" i="17"/>
  <c r="W54" i="17"/>
  <c r="Y60" i="17"/>
  <c r="Y54" i="17"/>
  <c r="Y55" i="17"/>
  <c r="W61" i="17"/>
  <c r="Y57" i="17"/>
  <c r="Y61" i="17"/>
  <c r="Z55" i="17"/>
  <c r="Z57" i="17"/>
  <c r="Z58" i="17"/>
  <c r="Y56" i="17"/>
  <c r="Z62" i="17"/>
  <c r="Y58" i="17"/>
  <c r="W62" i="17"/>
  <c r="Y63" i="17"/>
  <c r="Z56" i="17"/>
  <c r="Z63" i="17"/>
  <c r="Z59" i="17"/>
  <c r="W63" i="17"/>
  <c r="W65" i="17"/>
  <c r="Y66" i="17"/>
  <c r="W67" i="17"/>
  <c r="W64" i="17"/>
  <c r="Y64" i="17"/>
  <c r="W66" i="17"/>
  <c r="Y67" i="17"/>
  <c r="Z67" i="17"/>
  <c r="W68" i="17"/>
  <c r="W69" i="17"/>
  <c r="Y68" i="17"/>
  <c r="Z60" i="17"/>
  <c r="Y62" i="17"/>
  <c r="Z64" i="17"/>
  <c r="Z65" i="17"/>
  <c r="Z66" i="17"/>
  <c r="Y65" i="17"/>
  <c r="AG78" i="17"/>
  <c r="J25" i="19"/>
  <c r="AF78" i="17"/>
  <c r="J10" i="19"/>
  <c r="N59" i="17"/>
  <c r="N61" i="17"/>
  <c r="AG85" i="17"/>
  <c r="Q25" i="19"/>
  <c r="AF85" i="17"/>
  <c r="Q10" i="19"/>
  <c r="AG79" i="17"/>
  <c r="K25" i="19"/>
  <c r="AF79" i="17"/>
  <c r="K10" i="19"/>
  <c r="O82" i="17"/>
  <c r="L23" i="19"/>
  <c r="N82" i="17"/>
  <c r="L8" i="19"/>
  <c r="O73" i="17"/>
  <c r="C23" i="19"/>
  <c r="N73" i="17"/>
  <c r="C8" i="19"/>
  <c r="CI86" i="17"/>
  <c r="CH86" i="17"/>
  <c r="AY84" i="17"/>
  <c r="AX84" i="17"/>
  <c r="BA48" i="17"/>
  <c r="AZ61" i="17"/>
  <c r="AZ62" i="17"/>
  <c r="Z47" i="17"/>
  <c r="AA47" i="17"/>
  <c r="BG49" i="17"/>
  <c r="BG69" i="17"/>
  <c r="BG56" i="17"/>
  <c r="BG55" i="17"/>
  <c r="BG58" i="17"/>
  <c r="BG57" i="17"/>
  <c r="BJ60" i="17"/>
  <c r="BG54" i="17"/>
  <c r="BI54" i="17"/>
  <c r="BI55" i="17"/>
  <c r="BJ55" i="17"/>
  <c r="BI61" i="17"/>
  <c r="BJ61" i="17"/>
  <c r="BI58" i="17"/>
  <c r="BJ56" i="17"/>
  <c r="BJ54" i="17"/>
  <c r="BI62" i="17"/>
  <c r="BI56" i="17"/>
  <c r="BG63" i="17"/>
  <c r="BJ58" i="17"/>
  <c r="BI65" i="17"/>
  <c r="BI63" i="17"/>
  <c r="BJ63" i="17"/>
  <c r="BJ65" i="17"/>
  <c r="BG64" i="17"/>
  <c r="BI67" i="17"/>
  <c r="BJ67" i="17"/>
  <c r="BG65" i="17"/>
  <c r="BG67" i="17"/>
  <c r="BI57" i="17"/>
  <c r="BJ66" i="17"/>
  <c r="BI66" i="17"/>
  <c r="BG68" i="17"/>
  <c r="BJ57" i="17"/>
  <c r="BG66" i="17"/>
  <c r="BI59" i="17"/>
  <c r="BI60" i="17"/>
  <c r="BI64" i="17"/>
  <c r="BJ64" i="17"/>
  <c r="AG76" i="7"/>
  <c r="D21" i="19"/>
  <c r="AF76" i="7"/>
  <c r="D6" i="19"/>
  <c r="AF62" i="17"/>
  <c r="AF63" i="17"/>
  <c r="AF64" i="17"/>
  <c r="O80" i="17"/>
  <c r="J23" i="19"/>
  <c r="N80" i="17"/>
  <c r="J8" i="19"/>
  <c r="CI84" i="17"/>
  <c r="CH84" i="17"/>
  <c r="CI76" i="17"/>
  <c r="N31" i="19"/>
  <c r="CH76" i="17"/>
  <c r="N16" i="19"/>
  <c r="CI75" i="17"/>
  <c r="M31" i="19"/>
  <c r="CH75" i="17"/>
  <c r="M16" i="19"/>
  <c r="AY77" i="17"/>
  <c r="K27" i="19"/>
  <c r="AX77" i="17"/>
  <c r="K12" i="19"/>
  <c r="AY75" i="17"/>
  <c r="I27" i="19"/>
  <c r="AX75" i="17"/>
  <c r="I12" i="19"/>
  <c r="AY73" i="17"/>
  <c r="G27" i="19"/>
  <c r="AX73" i="17"/>
  <c r="G12" i="19"/>
  <c r="AR47" i="17"/>
  <c r="AR68" i="17"/>
  <c r="BQ48" i="17"/>
  <c r="BR48" i="17"/>
  <c r="X49" i="17"/>
  <c r="X69" i="17"/>
  <c r="W88" i="17"/>
  <c r="X48" i="17"/>
  <c r="Y48" i="17"/>
  <c r="Y69" i="17"/>
  <c r="Q48" i="17"/>
  <c r="R48" i="17"/>
  <c r="P59" i="17"/>
  <c r="P60" i="17"/>
  <c r="P62" i="17"/>
  <c r="P63" i="17"/>
  <c r="AO49" i="17"/>
  <c r="AO60" i="17"/>
  <c r="AO54" i="17"/>
  <c r="AO56" i="17"/>
  <c r="AO55" i="17"/>
  <c r="AO57" i="17"/>
  <c r="AO58" i="17"/>
  <c r="AR61" i="17"/>
  <c r="AQ60" i="17"/>
  <c r="AO61" i="17"/>
  <c r="AQ61" i="17"/>
  <c r="AO59" i="17"/>
  <c r="AQ55" i="17"/>
  <c r="AQ59" i="17"/>
  <c r="AQ58" i="17"/>
  <c r="AR55" i="17"/>
  <c r="AQ54" i="17"/>
  <c r="AR54" i="17"/>
  <c r="AR56" i="17"/>
  <c r="AQ57" i="17"/>
  <c r="AO62" i="17"/>
  <c r="AQ62" i="17"/>
  <c r="AQ56" i="17"/>
  <c r="AR62" i="17"/>
  <c r="AR58" i="17"/>
  <c r="AR57" i="17"/>
  <c r="AO64" i="17"/>
  <c r="AR64" i="17"/>
  <c r="AQ63" i="17"/>
  <c r="AO66" i="17"/>
  <c r="AO63" i="17"/>
  <c r="AQ64" i="17"/>
  <c r="AO65" i="17"/>
  <c r="AR63" i="17"/>
  <c r="AO68" i="17"/>
  <c r="AQ65" i="17"/>
  <c r="AQ66" i="17"/>
  <c r="AO67" i="17"/>
  <c r="AR59" i="17"/>
  <c r="AQ67" i="17"/>
  <c r="AO69" i="17"/>
  <c r="AQ68" i="17"/>
  <c r="AR60" i="17"/>
  <c r="BI68" i="17"/>
  <c r="AG80" i="7"/>
  <c r="H21" i="19"/>
  <c r="AF80" i="7"/>
  <c r="H6" i="19"/>
  <c r="AG75" i="7"/>
  <c r="C21" i="19"/>
  <c r="AF75" i="7"/>
  <c r="C6" i="19"/>
  <c r="AG74" i="7"/>
  <c r="B21" i="19"/>
  <c r="B32" i="19"/>
  <c r="C65" i="16"/>
  <c r="E57" i="24"/>
  <c r="E128" i="24"/>
  <c r="E199" i="24"/>
  <c r="AF74" i="7"/>
  <c r="B6" i="19"/>
  <c r="B17" i="19"/>
  <c r="C55" i="16"/>
  <c r="AF69" i="17"/>
  <c r="AG77" i="17"/>
  <c r="I25" i="19"/>
  <c r="AF77" i="17"/>
  <c r="I10" i="19"/>
  <c r="AG75" i="17"/>
  <c r="G25" i="19"/>
  <c r="AF75" i="17"/>
  <c r="G10" i="19"/>
  <c r="N69" i="17"/>
  <c r="P69" i="17"/>
  <c r="O83" i="17"/>
  <c r="M23" i="19"/>
  <c r="N83" i="17"/>
  <c r="M8" i="19"/>
  <c r="O85" i="17"/>
  <c r="O23" i="19"/>
  <c r="N85" i="17"/>
  <c r="O8" i="19"/>
  <c r="O81" i="17"/>
  <c r="K23" i="19"/>
  <c r="N81" i="17"/>
  <c r="K8" i="19"/>
  <c r="O78" i="17"/>
  <c r="H23" i="19"/>
  <c r="N78" i="17"/>
  <c r="H8" i="19"/>
  <c r="O76" i="17"/>
  <c r="F23" i="19"/>
  <c r="N76" i="17"/>
  <c r="F8" i="19"/>
  <c r="O74" i="17"/>
  <c r="D23" i="19"/>
  <c r="N74" i="17"/>
  <c r="D8" i="19"/>
  <c r="CI83" i="17"/>
  <c r="CH83" i="17"/>
  <c r="CI80" i="17"/>
  <c r="CH80" i="17"/>
  <c r="CI78" i="17"/>
  <c r="P31" i="19"/>
  <c r="CH78" i="17"/>
  <c r="P16" i="19"/>
  <c r="CI77" i="17"/>
  <c r="O31" i="19"/>
  <c r="CH77" i="17"/>
  <c r="O16" i="19"/>
  <c r="CI73" i="17"/>
  <c r="K31" i="19"/>
  <c r="CH73" i="17"/>
  <c r="K16" i="19"/>
  <c r="CH61" i="17"/>
  <c r="CH64" i="17"/>
  <c r="CH63" i="17"/>
  <c r="AY85" i="17"/>
  <c r="AX85" i="17"/>
  <c r="AZ69" i="17"/>
  <c r="AY78" i="17"/>
  <c r="L27" i="19"/>
  <c r="AX78" i="17"/>
  <c r="L12" i="19"/>
  <c r="AY76" i="17"/>
  <c r="J27" i="19"/>
  <c r="AX76" i="17"/>
  <c r="J12" i="19"/>
  <c r="CK48" i="17"/>
  <c r="CL48" i="17"/>
  <c r="CJ62" i="17"/>
  <c r="CJ63" i="17"/>
  <c r="CJ64" i="17"/>
  <c r="K71" i="19" a="1"/>
  <c r="AP49" i="17"/>
  <c r="AP69" i="17"/>
  <c r="AO88" i="17"/>
  <c r="AP48" i="17"/>
  <c r="AQ48" i="17"/>
  <c r="CB47" i="17"/>
  <c r="CB68" i="17"/>
  <c r="BY49" i="17"/>
  <c r="BY59" i="17"/>
  <c r="BY55" i="17"/>
  <c r="CA62" i="17"/>
  <c r="BY58" i="17"/>
  <c r="CB54" i="17"/>
  <c r="BY54" i="17"/>
  <c r="CB55" i="17"/>
  <c r="CB57" i="17"/>
  <c r="BY60" i="17"/>
  <c r="CA55" i="17"/>
  <c r="CA54" i="17"/>
  <c r="BY62" i="17"/>
  <c r="CA58" i="17"/>
  <c r="CB56" i="17"/>
  <c r="CA57" i="17"/>
  <c r="CA61" i="17"/>
  <c r="BY63" i="17"/>
  <c r="CA56" i="17"/>
  <c r="BY65" i="17"/>
  <c r="CA63" i="17"/>
  <c r="CB58" i="17"/>
  <c r="BY64" i="17"/>
  <c r="CA65" i="17"/>
  <c r="CA64" i="17"/>
  <c r="CB59" i="17"/>
  <c r="BY68" i="17"/>
  <c r="CA66" i="17"/>
  <c r="BY66" i="17"/>
  <c r="BY67" i="17"/>
  <c r="CB60" i="17"/>
  <c r="CA67" i="17"/>
  <c r="CA68" i="17"/>
  <c r="CB61" i="17"/>
  <c r="BY69" i="17"/>
  <c r="CB62" i="17"/>
  <c r="CB63" i="17"/>
  <c r="CB67" i="17"/>
  <c r="CB66" i="17"/>
  <c r="BJ47" i="17"/>
  <c r="BJ68" i="17"/>
  <c r="AI48" i="17"/>
  <c r="AJ48" i="17"/>
  <c r="AH62" i="17"/>
  <c r="AH63" i="17"/>
  <c r="AH64" i="17"/>
  <c r="AG73" i="17"/>
  <c r="E25" i="19"/>
  <c r="AF73" i="17"/>
  <c r="E10" i="19"/>
  <c r="O86" i="17"/>
  <c r="P23" i="19"/>
  <c r="N86" i="17"/>
  <c r="P8" i="19"/>
  <c r="AY86" i="17"/>
  <c r="AX86" i="17"/>
  <c r="B47" i="19" a="1"/>
  <c r="AG74" i="17"/>
  <c r="F25" i="19"/>
  <c r="AF74" i="17"/>
  <c r="F10" i="19"/>
  <c r="AG82" i="7"/>
  <c r="J21" i="19"/>
  <c r="AF82" i="7"/>
  <c r="J6" i="19"/>
  <c r="AG81" i="7"/>
  <c r="I21" i="19"/>
  <c r="AF81" i="7"/>
  <c r="I6" i="19"/>
  <c r="AG77" i="7"/>
  <c r="E21" i="19"/>
  <c r="AF77" i="7"/>
  <c r="E6" i="19"/>
  <c r="AG78" i="7"/>
  <c r="F21" i="19"/>
  <c r="AF78" i="7"/>
  <c r="F6" i="19"/>
  <c r="AG86" i="17"/>
  <c r="AF86" i="17"/>
  <c r="AG84" i="17"/>
  <c r="P25" i="19"/>
  <c r="AF84" i="17"/>
  <c r="P10" i="19"/>
  <c r="AG83" i="17"/>
  <c r="O25" i="19"/>
  <c r="AF83" i="17"/>
  <c r="O10" i="19"/>
  <c r="AG76" i="17"/>
  <c r="H25" i="19"/>
  <c r="AF76" i="17"/>
  <c r="H10" i="19"/>
  <c r="O84" i="17"/>
  <c r="N23" i="19"/>
  <c r="N84" i="17"/>
  <c r="N8" i="19"/>
  <c r="O75" i="17"/>
  <c r="E23" i="19"/>
  <c r="N75" i="17"/>
  <c r="E8" i="19"/>
  <c r="CI87" i="17"/>
  <c r="CH87" i="17"/>
  <c r="CI85" i="17"/>
  <c r="CH85" i="17"/>
  <c r="CI74" i="17"/>
  <c r="L31" i="19"/>
  <c r="CH74" i="17"/>
  <c r="L16" i="19"/>
  <c r="AY87" i="17"/>
  <c r="AX87" i="17"/>
  <c r="AY83" i="17"/>
  <c r="Q27" i="19"/>
  <c r="AX83" i="17"/>
  <c r="Q12" i="19"/>
  <c r="AY79" i="17"/>
  <c r="M27" i="19"/>
  <c r="AX79" i="17"/>
  <c r="M12" i="19"/>
  <c r="AY74" i="17"/>
  <c r="H27" i="19"/>
  <c r="AX74" i="17"/>
  <c r="H12" i="19"/>
  <c r="AX62" i="17"/>
  <c r="AX63" i="17"/>
  <c r="AX64" i="17"/>
  <c r="AR66" i="17"/>
  <c r="AR67" i="17"/>
  <c r="BZ49" i="17"/>
  <c r="BZ69" i="17"/>
  <c r="BY88" i="17"/>
  <c r="BZ48" i="17"/>
  <c r="CA48" i="17"/>
  <c r="CA69" i="17"/>
  <c r="BH48" i="17"/>
  <c r="BI48" i="17"/>
  <c r="BI69" i="17"/>
  <c r="BP49" i="17"/>
  <c r="BP55" i="17"/>
  <c r="BP54" i="17"/>
  <c r="BP58" i="17"/>
  <c r="BR55" i="17"/>
  <c r="BS55" i="17"/>
  <c r="BP57" i="17"/>
  <c r="BR56" i="17"/>
  <c r="BS54" i="17"/>
  <c r="BR54" i="17"/>
  <c r="BS58" i="17"/>
  <c r="BR57" i="17"/>
  <c r="BS56" i="17"/>
  <c r="BP59" i="17"/>
  <c r="BR58" i="17"/>
  <c r="BS57" i="17"/>
  <c r="BR59" i="17"/>
  <c r="BS59" i="17"/>
  <c r="BP61" i="17"/>
  <c r="BR63" i="17"/>
  <c r="BP66" i="17"/>
  <c r="BS63" i="17"/>
  <c r="BP65" i="17"/>
  <c r="BS64" i="17"/>
  <c r="BR64" i="17"/>
  <c r="BP64" i="17"/>
  <c r="BR66" i="17"/>
  <c r="BS65" i="17"/>
  <c r="BR67" i="17"/>
  <c r="BP67" i="17"/>
  <c r="BS68" i="17"/>
  <c r="BS67" i="17"/>
  <c r="BS61" i="17"/>
  <c r="BR68" i="17"/>
  <c r="BR69" i="17"/>
  <c r="BP68" i="17"/>
  <c r="BP69" i="17"/>
  <c r="BS62" i="17"/>
  <c r="O49" i="17"/>
  <c r="O69" i="17"/>
  <c r="N88" i="17"/>
  <c r="AI37" i="7"/>
  <c r="AJ37" i="7"/>
  <c r="AG63" i="7"/>
  <c r="AF83" i="7"/>
  <c r="K6" i="19"/>
  <c r="AE38" i="7"/>
  <c r="E51" i="19" a="1"/>
  <c r="G53" i="19" a="1"/>
  <c r="V53" i="19"/>
  <c r="Z68" i="17"/>
  <c r="G67" i="19" a="1"/>
  <c r="M67" i="19"/>
  <c r="E65" i="19" a="1"/>
  <c r="M65" i="19"/>
  <c r="K57" i="19" a="1"/>
  <c r="K57" i="19"/>
  <c r="C63" i="19" a="1"/>
  <c r="D63" i="19"/>
  <c r="AS47" i="17"/>
  <c r="AI63" i="7"/>
  <c r="E51" i="19"/>
  <c r="F51" i="19"/>
  <c r="H51" i="19"/>
  <c r="J51" i="19"/>
  <c r="T51" i="19"/>
  <c r="O51" i="19"/>
  <c r="G51" i="19"/>
  <c r="N51" i="19"/>
  <c r="R51" i="19"/>
  <c r="L51" i="19"/>
  <c r="K51" i="19"/>
  <c r="M51" i="19"/>
  <c r="S51" i="19"/>
  <c r="I51" i="19"/>
  <c r="P51" i="19"/>
  <c r="Q51" i="19"/>
  <c r="G53" i="19"/>
  <c r="H53" i="19"/>
  <c r="J53" i="19"/>
  <c r="I53" i="19"/>
  <c r="M53" i="19"/>
  <c r="Q53" i="19"/>
  <c r="L53" i="19"/>
  <c r="P53" i="19"/>
  <c r="T53" i="19"/>
  <c r="O53" i="19"/>
  <c r="R53" i="19"/>
  <c r="G65" i="19"/>
  <c r="F65" i="19"/>
  <c r="N65" i="19"/>
  <c r="BH87" i="17"/>
  <c r="BG87" i="17"/>
  <c r="T67" i="19"/>
  <c r="K67" i="19"/>
  <c r="M57" i="19"/>
  <c r="L57" i="19"/>
  <c r="T57" i="19"/>
  <c r="V57" i="19"/>
  <c r="R57" i="19"/>
  <c r="Y57" i="19"/>
  <c r="I63" i="19"/>
  <c r="E63" i="19"/>
  <c r="J63" i="19"/>
  <c r="K63" i="19"/>
  <c r="BQ87" i="17"/>
  <c r="BP87" i="17"/>
  <c r="BP56" i="17"/>
  <c r="BP60" i="17"/>
  <c r="BP62" i="17"/>
  <c r="BP63" i="17"/>
  <c r="BZ85" i="17"/>
  <c r="BY85" i="17"/>
  <c r="BZ81" i="17"/>
  <c r="BY81" i="17"/>
  <c r="BZ77" i="17"/>
  <c r="BY77" i="17"/>
  <c r="X84" i="17"/>
  <c r="O24" i="19"/>
  <c r="W84" i="17"/>
  <c r="O9" i="19"/>
  <c r="X75" i="17"/>
  <c r="F24" i="19"/>
  <c r="W75" i="17"/>
  <c r="F9" i="19"/>
  <c r="BQ86" i="17"/>
  <c r="BP86" i="17"/>
  <c r="BQ76" i="17"/>
  <c r="L29" i="19"/>
  <c r="BP76" i="17"/>
  <c r="L14" i="19"/>
  <c r="BJ48" i="17"/>
  <c r="BK48" i="17"/>
  <c r="AY82" i="17"/>
  <c r="P27" i="19"/>
  <c r="AX82" i="17"/>
  <c r="P12" i="19"/>
  <c r="BZ87" i="17"/>
  <c r="BY87" i="17"/>
  <c r="BZ84" i="17"/>
  <c r="BY84" i="17"/>
  <c r="BZ80" i="17"/>
  <c r="BY80" i="17"/>
  <c r="BZ76" i="17"/>
  <c r="BY76" i="17"/>
  <c r="BY56" i="17"/>
  <c r="BY57" i="17"/>
  <c r="BY61" i="17"/>
  <c r="CI82" i="17"/>
  <c r="CH82" i="17"/>
  <c r="AG87" i="17"/>
  <c r="AF87" i="17"/>
  <c r="AP77" i="17"/>
  <c r="J26" i="19"/>
  <c r="AO77" i="17"/>
  <c r="J11" i="19"/>
  <c r="F52" i="19" a="1"/>
  <c r="AP74" i="17"/>
  <c r="G26" i="19"/>
  <c r="AO74" i="17"/>
  <c r="G11" i="19"/>
  <c r="Q61" i="17"/>
  <c r="Q62" i="17"/>
  <c r="Q69" i="17"/>
  <c r="BS48" i="17"/>
  <c r="BT48" i="17"/>
  <c r="BR60" i="17"/>
  <c r="BR61" i="17"/>
  <c r="BR62" i="17"/>
  <c r="AG80" i="17"/>
  <c r="L25" i="19"/>
  <c r="AF80" i="17"/>
  <c r="L10" i="19"/>
  <c r="BH86" i="17"/>
  <c r="BG86" i="17"/>
  <c r="BH85" i="17"/>
  <c r="BG85" i="17"/>
  <c r="BH82" i="17"/>
  <c r="Q28" i="19"/>
  <c r="BG82" i="17"/>
  <c r="Q13" i="19"/>
  <c r="H68" i="19" a="1"/>
  <c r="BH76" i="17"/>
  <c r="K28" i="19"/>
  <c r="BG76" i="17"/>
  <c r="K13" i="19"/>
  <c r="BB48" i="17"/>
  <c r="BA61" i="17"/>
  <c r="BA69" i="17"/>
  <c r="X83" i="17"/>
  <c r="N24" i="19"/>
  <c r="W83" i="17"/>
  <c r="N9" i="19"/>
  <c r="W56" i="17"/>
  <c r="W59" i="17"/>
  <c r="W60" i="17"/>
  <c r="BQ84" i="17"/>
  <c r="BP84" i="17"/>
  <c r="O87" i="17"/>
  <c r="Q23" i="19"/>
  <c r="N87" i="17"/>
  <c r="Q8" i="19"/>
  <c r="AP83" i="17"/>
  <c r="P26" i="19"/>
  <c r="AO83" i="17"/>
  <c r="P11" i="19"/>
  <c r="BG59" i="17"/>
  <c r="BG60" i="17"/>
  <c r="BG61" i="17"/>
  <c r="BG62" i="17"/>
  <c r="O77" i="17"/>
  <c r="G23" i="19"/>
  <c r="N77" i="17"/>
  <c r="G8" i="19"/>
  <c r="X79" i="17"/>
  <c r="J24" i="19"/>
  <c r="W79" i="17"/>
  <c r="J9" i="19"/>
  <c r="BQ83" i="17"/>
  <c r="BP83" i="17"/>
  <c r="BQ79" i="17"/>
  <c r="O29" i="19"/>
  <c r="BP79" i="17"/>
  <c r="O14" i="19"/>
  <c r="BQ75" i="17"/>
  <c r="K29" i="19"/>
  <c r="BP75" i="17"/>
  <c r="K14" i="19"/>
  <c r="AY81" i="17"/>
  <c r="O27" i="19"/>
  <c r="AX81" i="17"/>
  <c r="O12" i="19"/>
  <c r="D47" i="19"/>
  <c r="K47" i="19"/>
  <c r="H47" i="19"/>
  <c r="N47" i="19"/>
  <c r="M47" i="19"/>
  <c r="G47" i="19"/>
  <c r="E47" i="19"/>
  <c r="P47" i="19"/>
  <c r="C47" i="19"/>
  <c r="Q47" i="19"/>
  <c r="B47" i="19"/>
  <c r="B58" i="19"/>
  <c r="F47" i="19"/>
  <c r="O47" i="19"/>
  <c r="L47" i="19"/>
  <c r="I47" i="19"/>
  <c r="J47" i="19"/>
  <c r="AI62" i="17"/>
  <c r="AI63" i="17"/>
  <c r="AI64" i="17"/>
  <c r="AI69" i="17"/>
  <c r="BZ83" i="17"/>
  <c r="BY83" i="17"/>
  <c r="CC47" i="17"/>
  <c r="CI79" i="17"/>
  <c r="Q31" i="19"/>
  <c r="CH79" i="17"/>
  <c r="Q16" i="19"/>
  <c r="E48" i="24"/>
  <c r="E119" i="24"/>
  <c r="E190" i="24"/>
  <c r="AP85" i="17"/>
  <c r="AO85" i="17"/>
  <c r="AP86" i="17"/>
  <c r="AO86" i="17"/>
  <c r="AP81" i="17"/>
  <c r="N26" i="19"/>
  <c r="AO81" i="17"/>
  <c r="N11" i="19"/>
  <c r="AP82" i="17"/>
  <c r="O26" i="19"/>
  <c r="AO82" i="17"/>
  <c r="O11" i="19"/>
  <c r="AP76" i="17"/>
  <c r="I26" i="19"/>
  <c r="AO76" i="17"/>
  <c r="I11" i="19"/>
  <c r="Z48" i="17"/>
  <c r="AA48" i="17"/>
  <c r="Y59" i="17"/>
  <c r="D64" i="19" a="1"/>
  <c r="BH83" i="17"/>
  <c r="BG83" i="17"/>
  <c r="BH73" i="17"/>
  <c r="H28" i="19"/>
  <c r="BG73" i="17"/>
  <c r="H13" i="19"/>
  <c r="X87" i="17"/>
  <c r="W87" i="17"/>
  <c r="X82" i="17"/>
  <c r="M24" i="19"/>
  <c r="W82" i="17"/>
  <c r="M9" i="19"/>
  <c r="X81" i="17"/>
  <c r="L24" i="19"/>
  <c r="W81" i="17"/>
  <c r="L9" i="19"/>
  <c r="X76" i="17"/>
  <c r="G24" i="19"/>
  <c r="W76" i="17"/>
  <c r="G9" i="19"/>
  <c r="CB48" i="17"/>
  <c r="CB69" i="17"/>
  <c r="CA60" i="17"/>
  <c r="CA59" i="17"/>
  <c r="P71" i="19"/>
  <c r="Y71" i="19"/>
  <c r="Z71" i="19"/>
  <c r="Z72" i="19"/>
  <c r="U71" i="19"/>
  <c r="S71" i="19"/>
  <c r="R71" i="19"/>
  <c r="O71" i="19"/>
  <c r="K71" i="19"/>
  <c r="L71" i="19"/>
  <c r="T71" i="19"/>
  <c r="Q71" i="19"/>
  <c r="V71" i="19"/>
  <c r="N71" i="19"/>
  <c r="M71" i="19"/>
  <c r="X71" i="19"/>
  <c r="W71" i="19"/>
  <c r="BZ78" i="17"/>
  <c r="BY78" i="17"/>
  <c r="AR48" i="17"/>
  <c r="AR69" i="17"/>
  <c r="F80" i="19" a="1"/>
  <c r="CI81" i="17"/>
  <c r="CH81" i="17"/>
  <c r="AP80" i="17"/>
  <c r="M26" i="19"/>
  <c r="AO80" i="17"/>
  <c r="M11" i="19"/>
  <c r="AP73" i="17"/>
  <c r="F26" i="19"/>
  <c r="AO73" i="17"/>
  <c r="F11" i="19"/>
  <c r="AG81" i="17"/>
  <c r="M25" i="19"/>
  <c r="AF81" i="17"/>
  <c r="M10" i="19"/>
  <c r="BH75" i="17"/>
  <c r="J28" i="19"/>
  <c r="BG75" i="17"/>
  <c r="J13" i="19"/>
  <c r="BQ85" i="17"/>
  <c r="BP85" i="17"/>
  <c r="BQ82" i="17"/>
  <c r="BP82" i="17"/>
  <c r="BQ77" i="17"/>
  <c r="M29" i="19"/>
  <c r="BP77" i="17"/>
  <c r="M14" i="19"/>
  <c r="BQ73" i="17"/>
  <c r="I29" i="19"/>
  <c r="BP73" i="17"/>
  <c r="I14" i="19"/>
  <c r="BH49" i="17"/>
  <c r="BH69" i="17"/>
  <c r="BG88" i="17"/>
  <c r="AY80" i="17"/>
  <c r="N27" i="19"/>
  <c r="AX80" i="17"/>
  <c r="N12" i="19"/>
  <c r="BK47" i="17"/>
  <c r="BZ86" i="17"/>
  <c r="BY86" i="17"/>
  <c r="BZ82" i="17"/>
  <c r="BY82" i="17"/>
  <c r="J84" i="19" a="1"/>
  <c r="BZ73" i="17"/>
  <c r="BY73" i="17"/>
  <c r="CK64" i="17"/>
  <c r="CK69" i="17"/>
  <c r="C49" i="19" a="1"/>
  <c r="AP87" i="17"/>
  <c r="AO87" i="17"/>
  <c r="AQ69" i="17"/>
  <c r="F66" i="19" a="1"/>
  <c r="AP84" i="17"/>
  <c r="Q26" i="19"/>
  <c r="AO84" i="17"/>
  <c r="Q11" i="19"/>
  <c r="AP79" i="17"/>
  <c r="L26" i="19"/>
  <c r="AO79" i="17"/>
  <c r="L11" i="19"/>
  <c r="AP75" i="17"/>
  <c r="H26" i="19"/>
  <c r="AO75" i="17"/>
  <c r="H11" i="19"/>
  <c r="AP78" i="17"/>
  <c r="K26" i="19"/>
  <c r="AO78" i="17"/>
  <c r="K11" i="19"/>
  <c r="BQ49" i="17"/>
  <c r="BQ69" i="17"/>
  <c r="BP88" i="17"/>
  <c r="AG82" i="17"/>
  <c r="N25" i="19"/>
  <c r="AF82" i="17"/>
  <c r="N10" i="19"/>
  <c r="BH84" i="17"/>
  <c r="BG84" i="17"/>
  <c r="BH81" i="17"/>
  <c r="P28" i="19"/>
  <c r="BG81" i="17"/>
  <c r="P13" i="19"/>
  <c r="BH74" i="17"/>
  <c r="I28" i="19"/>
  <c r="BG74" i="17"/>
  <c r="I13" i="19"/>
  <c r="O79" i="17"/>
  <c r="I23" i="19"/>
  <c r="N79" i="17"/>
  <c r="I8" i="19"/>
  <c r="X86" i="17"/>
  <c r="Q24" i="19"/>
  <c r="W86" i="17"/>
  <c r="Q9" i="19"/>
  <c r="X85" i="17"/>
  <c r="P24" i="19"/>
  <c r="W85" i="17"/>
  <c r="P9" i="19"/>
  <c r="X80" i="17"/>
  <c r="K24" i="19"/>
  <c r="W80" i="17"/>
  <c r="K9" i="19"/>
  <c r="X73" i="17"/>
  <c r="D24" i="19"/>
  <c r="W73" i="17"/>
  <c r="D9" i="19"/>
  <c r="AG38" i="7"/>
  <c r="AE39" i="7"/>
  <c r="AH38" i="7"/>
  <c r="S57" i="19"/>
  <c r="N57" i="19"/>
  <c r="Q57" i="19"/>
  <c r="U67" i="19"/>
  <c r="L67" i="19"/>
  <c r="U53" i="19"/>
  <c r="J67" i="19"/>
  <c r="O57" i="19"/>
  <c r="P57" i="19"/>
  <c r="Z57" i="19"/>
  <c r="Z58" i="19"/>
  <c r="N67" i="19"/>
  <c r="S53" i="19"/>
  <c r="N53" i="19"/>
  <c r="K53" i="19"/>
  <c r="Q63" i="19"/>
  <c r="G63" i="19"/>
  <c r="O63" i="19"/>
  <c r="M63" i="19"/>
  <c r="P63" i="19"/>
  <c r="S67" i="19"/>
  <c r="P67" i="19"/>
  <c r="E65" i="19"/>
  <c r="H63" i="19"/>
  <c r="R63" i="19"/>
  <c r="L63" i="19"/>
  <c r="W57" i="19"/>
  <c r="X57" i="19"/>
  <c r="U57" i="19"/>
  <c r="H54" i="19" a="1"/>
  <c r="CC48" i="17"/>
  <c r="L65" i="19"/>
  <c r="K65" i="19"/>
  <c r="H65" i="19"/>
  <c r="P65" i="19"/>
  <c r="K85" i="19" a="1"/>
  <c r="N85" i="19"/>
  <c r="V67" i="19"/>
  <c r="H67" i="19"/>
  <c r="R67" i="19"/>
  <c r="I67" i="19"/>
  <c r="S65" i="19"/>
  <c r="I65" i="19"/>
  <c r="T65" i="19"/>
  <c r="R65" i="19"/>
  <c r="J70" i="19" a="1"/>
  <c r="O70" i="19"/>
  <c r="E79" i="19" a="1"/>
  <c r="N79" i="19"/>
  <c r="I69" i="19" a="1"/>
  <c r="K69" i="19"/>
  <c r="C63" i="19"/>
  <c r="F63" i="19"/>
  <c r="N63" i="19"/>
  <c r="Q67" i="19"/>
  <c r="G67" i="19"/>
  <c r="O67" i="19"/>
  <c r="J65" i="19"/>
  <c r="Q65" i="19"/>
  <c r="O65" i="19"/>
  <c r="S69" i="19"/>
  <c r="L85" i="19"/>
  <c r="V85" i="19"/>
  <c r="W85" i="19"/>
  <c r="O85" i="19"/>
  <c r="Q85" i="19"/>
  <c r="P85" i="19"/>
  <c r="L79" i="19"/>
  <c r="O79" i="19"/>
  <c r="J79" i="19"/>
  <c r="D50" i="19" a="1"/>
  <c r="X74" i="17"/>
  <c r="E24" i="19"/>
  <c r="W74" i="17"/>
  <c r="E9" i="19"/>
  <c r="BZ79" i="17"/>
  <c r="BY79" i="17"/>
  <c r="T66" i="19"/>
  <c r="S66" i="19"/>
  <c r="O66" i="19"/>
  <c r="K66" i="19"/>
  <c r="R66" i="19"/>
  <c r="L66" i="19"/>
  <c r="J66" i="19"/>
  <c r="Q66" i="19"/>
  <c r="G66" i="19"/>
  <c r="F66" i="19"/>
  <c r="M66" i="19"/>
  <c r="U66" i="19"/>
  <c r="H66" i="19"/>
  <c r="P66" i="19"/>
  <c r="I66" i="19"/>
  <c r="N66" i="19"/>
  <c r="BQ80" i="17"/>
  <c r="P29" i="19"/>
  <c r="BP80" i="17"/>
  <c r="P14" i="19"/>
  <c r="AS48" i="17"/>
  <c r="Z61" i="17"/>
  <c r="Z69" i="17"/>
  <c r="BH78" i="17"/>
  <c r="M28" i="19"/>
  <c r="BG78" i="17"/>
  <c r="M13" i="19"/>
  <c r="G81" i="19" a="1"/>
  <c r="R68" i="19"/>
  <c r="N68" i="19"/>
  <c r="W68" i="19"/>
  <c r="M68" i="19"/>
  <c r="P68" i="19"/>
  <c r="K68" i="19"/>
  <c r="U68" i="19"/>
  <c r="O68" i="19"/>
  <c r="H68" i="19"/>
  <c r="I68" i="19"/>
  <c r="S68" i="19"/>
  <c r="L68" i="19"/>
  <c r="J68" i="19"/>
  <c r="V68" i="19"/>
  <c r="T68" i="19"/>
  <c r="Q68" i="19"/>
  <c r="C77" i="19" a="1"/>
  <c r="BZ75" i="17"/>
  <c r="BY75" i="17"/>
  <c r="BQ78" i="17"/>
  <c r="N29" i="19"/>
  <c r="BP78" i="17"/>
  <c r="N14" i="19"/>
  <c r="J80" i="19"/>
  <c r="O80" i="19"/>
  <c r="L80" i="19"/>
  <c r="P80" i="19"/>
  <c r="T80" i="19"/>
  <c r="I80" i="19"/>
  <c r="R80" i="19"/>
  <c r="N80" i="19"/>
  <c r="M80" i="19"/>
  <c r="F80" i="19"/>
  <c r="S80" i="19"/>
  <c r="U80" i="19"/>
  <c r="K80" i="19"/>
  <c r="G80" i="19"/>
  <c r="H80" i="19"/>
  <c r="Q80" i="19"/>
  <c r="H52" i="19"/>
  <c r="J52" i="19"/>
  <c r="L52" i="19"/>
  <c r="M52" i="19"/>
  <c r="N52" i="19"/>
  <c r="O52" i="19"/>
  <c r="P52" i="19"/>
  <c r="Q52" i="19"/>
  <c r="R52" i="19"/>
  <c r="S52" i="19"/>
  <c r="F52" i="19"/>
  <c r="G52" i="19"/>
  <c r="U52" i="19"/>
  <c r="I52" i="19"/>
  <c r="T52" i="19"/>
  <c r="K52" i="19"/>
  <c r="C49" i="19"/>
  <c r="D49" i="19"/>
  <c r="F49" i="19"/>
  <c r="H49" i="19"/>
  <c r="J49" i="19"/>
  <c r="R49" i="19"/>
  <c r="E49" i="19"/>
  <c r="I49" i="19"/>
  <c r="M49" i="19"/>
  <c r="K49" i="19"/>
  <c r="L49" i="19"/>
  <c r="P49" i="19"/>
  <c r="N49" i="19"/>
  <c r="O49" i="19"/>
  <c r="G49" i="19"/>
  <c r="Q49" i="19"/>
  <c r="R64" i="19"/>
  <c r="K64" i="19"/>
  <c r="E64" i="19"/>
  <c r="G64" i="19"/>
  <c r="P64" i="19"/>
  <c r="N64" i="19"/>
  <c r="F64" i="19"/>
  <c r="D64" i="19"/>
  <c r="Q64" i="19"/>
  <c r="O64" i="19"/>
  <c r="L64" i="19"/>
  <c r="I64" i="19"/>
  <c r="S64" i="19"/>
  <c r="J64" i="19"/>
  <c r="H64" i="19"/>
  <c r="M64" i="19"/>
  <c r="C22" i="22"/>
  <c r="C42" i="20"/>
  <c r="C38" i="6"/>
  <c r="BH77" i="17"/>
  <c r="L28" i="19"/>
  <c r="BG77" i="17"/>
  <c r="L13" i="19"/>
  <c r="X78" i="17"/>
  <c r="I24" i="19"/>
  <c r="W78" i="17"/>
  <c r="I9" i="19"/>
  <c r="BS69" i="17"/>
  <c r="BS60" i="17"/>
  <c r="BZ74" i="17"/>
  <c r="J56" i="19" a="1"/>
  <c r="BY74" i="17"/>
  <c r="I55" i="19" a="1"/>
  <c r="BQ74" i="17"/>
  <c r="J29" i="19"/>
  <c r="BP74" i="17"/>
  <c r="J14" i="19"/>
  <c r="J54" i="19"/>
  <c r="L54" i="19"/>
  <c r="M54" i="19"/>
  <c r="N54" i="19"/>
  <c r="O54" i="19"/>
  <c r="P54" i="19"/>
  <c r="Q54" i="19"/>
  <c r="R54" i="19"/>
  <c r="S54" i="19"/>
  <c r="T54" i="19"/>
  <c r="U54" i="19"/>
  <c r="K54" i="19"/>
  <c r="H54" i="19"/>
  <c r="V54" i="19"/>
  <c r="I54" i="19"/>
  <c r="W54" i="19"/>
  <c r="C58" i="19"/>
  <c r="BH79" i="17"/>
  <c r="N28" i="19"/>
  <c r="BG79" i="17"/>
  <c r="N13" i="19"/>
  <c r="S84" i="19"/>
  <c r="N84" i="19"/>
  <c r="R84" i="19"/>
  <c r="U84" i="19"/>
  <c r="L84" i="19"/>
  <c r="P84" i="19"/>
  <c r="Y84" i="19"/>
  <c r="V84" i="19"/>
  <c r="K84" i="19"/>
  <c r="M84" i="19"/>
  <c r="Q84" i="19"/>
  <c r="O84" i="19"/>
  <c r="W84" i="19"/>
  <c r="X84" i="19"/>
  <c r="T84" i="19"/>
  <c r="J84" i="19"/>
  <c r="BH80" i="17"/>
  <c r="O28" i="19"/>
  <c r="BG80" i="17"/>
  <c r="O13" i="19"/>
  <c r="X77" i="17"/>
  <c r="H24" i="19"/>
  <c r="W77" i="17"/>
  <c r="H9" i="19"/>
  <c r="BJ59" i="17"/>
  <c r="BJ62" i="17"/>
  <c r="BJ69" i="17"/>
  <c r="BQ81" i="17"/>
  <c r="Q29" i="19"/>
  <c r="BP81" i="17"/>
  <c r="Q14" i="19"/>
  <c r="AI38" i="7"/>
  <c r="AJ38" i="7"/>
  <c r="AH39" i="7"/>
  <c r="AH64" i="7"/>
  <c r="AG39" i="7"/>
  <c r="P70" i="19"/>
  <c r="X70" i="19"/>
  <c r="N70" i="19"/>
  <c r="W70" i="19"/>
  <c r="M70" i="19"/>
  <c r="V70" i="19"/>
  <c r="X85" i="19"/>
  <c r="R85" i="19"/>
  <c r="K85" i="19"/>
  <c r="L70" i="19"/>
  <c r="S70" i="19"/>
  <c r="T70" i="19"/>
  <c r="Y85" i="19"/>
  <c r="T85" i="19"/>
  <c r="S85" i="19"/>
  <c r="K70" i="19"/>
  <c r="J70" i="19"/>
  <c r="Y70" i="19"/>
  <c r="Y72" i="19"/>
  <c r="I79" i="19"/>
  <c r="U85" i="19"/>
  <c r="Z85" i="19"/>
  <c r="Z86" i="19"/>
  <c r="M85" i="19"/>
  <c r="N69" i="19"/>
  <c r="Q79" i="19"/>
  <c r="F79" i="19"/>
  <c r="J69" i="19"/>
  <c r="K30" i="19"/>
  <c r="K32" i="19"/>
  <c r="L65" i="16"/>
  <c r="E79" i="19"/>
  <c r="R79" i="19"/>
  <c r="I69" i="19"/>
  <c r="H15" i="19"/>
  <c r="H17" i="19"/>
  <c r="I55" i="16"/>
  <c r="S72" i="19"/>
  <c r="M15" i="19"/>
  <c r="J15" i="19"/>
  <c r="J17" i="19"/>
  <c r="K55" i="16"/>
  <c r="X69" i="19"/>
  <c r="X72" i="19"/>
  <c r="U69" i="19"/>
  <c r="P69" i="19"/>
  <c r="T69" i="19"/>
  <c r="C30" i="19"/>
  <c r="C32" i="19"/>
  <c r="D65" i="16"/>
  <c r="F57" i="24"/>
  <c r="F128" i="24"/>
  <c r="F199" i="24"/>
  <c r="M30" i="19"/>
  <c r="M32" i="19"/>
  <c r="N30" i="19"/>
  <c r="N32" i="19"/>
  <c r="T79" i="19"/>
  <c r="S79" i="19"/>
  <c r="G79" i="19"/>
  <c r="M79" i="19"/>
  <c r="M69" i="19"/>
  <c r="W69" i="19"/>
  <c r="Q69" i="19"/>
  <c r="O69" i="19"/>
  <c r="D78" i="19" a="1"/>
  <c r="N78" i="19"/>
  <c r="O15" i="19"/>
  <c r="E30" i="19"/>
  <c r="E32" i="19"/>
  <c r="F65" i="16"/>
  <c r="H79" i="19"/>
  <c r="K79" i="19"/>
  <c r="P79" i="19"/>
  <c r="V69" i="19"/>
  <c r="V72" i="19"/>
  <c r="R69" i="19"/>
  <c r="L69" i="19"/>
  <c r="U70" i="19"/>
  <c r="Q70" i="19"/>
  <c r="R70" i="19"/>
  <c r="D42" i="20"/>
  <c r="D38" i="6"/>
  <c r="D22" i="22"/>
  <c r="L56" i="19"/>
  <c r="M56" i="19"/>
  <c r="N56" i="19"/>
  <c r="O56" i="19"/>
  <c r="P56" i="19"/>
  <c r="Q56" i="19"/>
  <c r="R56" i="19"/>
  <c r="S56" i="19"/>
  <c r="T56" i="19"/>
  <c r="U56" i="19"/>
  <c r="V56" i="19"/>
  <c r="W56" i="19"/>
  <c r="Y56" i="19"/>
  <c r="Y58" i="19"/>
  <c r="J56" i="19"/>
  <c r="K56" i="19"/>
  <c r="X56" i="19"/>
  <c r="L81" i="19"/>
  <c r="T81" i="19"/>
  <c r="J81" i="19"/>
  <c r="M81" i="19"/>
  <c r="N81" i="19"/>
  <c r="S81" i="19"/>
  <c r="H81" i="19"/>
  <c r="K81" i="19"/>
  <c r="O81" i="19"/>
  <c r="Q81" i="19"/>
  <c r="P81" i="19"/>
  <c r="G81" i="19"/>
  <c r="I81" i="19"/>
  <c r="R81" i="19"/>
  <c r="V81" i="19"/>
  <c r="U81" i="19"/>
  <c r="F50" i="19"/>
  <c r="F58" i="19"/>
  <c r="H50" i="19"/>
  <c r="H58" i="19"/>
  <c r="J50" i="19"/>
  <c r="L50" i="19"/>
  <c r="M50" i="19"/>
  <c r="N50" i="19"/>
  <c r="O50" i="19"/>
  <c r="P50" i="19"/>
  <c r="Q50" i="19"/>
  <c r="K50" i="19"/>
  <c r="R50" i="19"/>
  <c r="D50" i="19"/>
  <c r="D58" i="19"/>
  <c r="I50" i="19"/>
  <c r="S50" i="19"/>
  <c r="G50" i="19"/>
  <c r="G58" i="19"/>
  <c r="E50" i="19"/>
  <c r="E58" i="19"/>
  <c r="H82" i="19" a="1"/>
  <c r="O30" i="19"/>
  <c r="O32" i="19"/>
  <c r="K15" i="19"/>
  <c r="K17" i="19"/>
  <c r="L55" i="16"/>
  <c r="D30" i="19"/>
  <c r="D32" i="19"/>
  <c r="E65" i="16"/>
  <c r="G15" i="19"/>
  <c r="G17" i="19"/>
  <c r="H55" i="16"/>
  <c r="C15" i="19"/>
  <c r="C17" i="19"/>
  <c r="D55" i="16"/>
  <c r="I30" i="19"/>
  <c r="I32" i="19"/>
  <c r="J65" i="16"/>
  <c r="Y86" i="19"/>
  <c r="I78" i="19"/>
  <c r="F78" i="19"/>
  <c r="M78" i="19"/>
  <c r="I55" i="19"/>
  <c r="J55" i="19"/>
  <c r="X55" i="19"/>
  <c r="O55" i="19"/>
  <c r="S55" i="19"/>
  <c r="N55" i="19"/>
  <c r="R55" i="19"/>
  <c r="V55" i="19"/>
  <c r="V58" i="19"/>
  <c r="L55" i="19"/>
  <c r="T55" i="19"/>
  <c r="M55" i="19"/>
  <c r="U55" i="19"/>
  <c r="P55" i="19"/>
  <c r="P58" i="19"/>
  <c r="Q55" i="19"/>
  <c r="W55" i="19"/>
  <c r="K55" i="19"/>
  <c r="I83" i="19" a="1"/>
  <c r="Q30" i="19"/>
  <c r="Q32" i="19"/>
  <c r="N15" i="19"/>
  <c r="P30" i="19"/>
  <c r="P32" i="19"/>
  <c r="P15" i="19"/>
  <c r="F15" i="19"/>
  <c r="F17" i="19"/>
  <c r="G55" i="16"/>
  <c r="H30" i="19"/>
  <c r="H32" i="19"/>
  <c r="I65" i="16"/>
  <c r="F30" i="19"/>
  <c r="F32" i="19"/>
  <c r="G65" i="16"/>
  <c r="G30" i="19"/>
  <c r="G32" i="19"/>
  <c r="H65" i="16"/>
  <c r="J30" i="19"/>
  <c r="J32" i="19"/>
  <c r="K65" i="16"/>
  <c r="L77" i="19"/>
  <c r="G77" i="19"/>
  <c r="R77" i="19"/>
  <c r="N77" i="19"/>
  <c r="O77" i="19"/>
  <c r="P77" i="19"/>
  <c r="I77" i="19"/>
  <c r="F77" i="19"/>
  <c r="J77" i="19"/>
  <c r="M77" i="19"/>
  <c r="C77" i="19"/>
  <c r="K77" i="19"/>
  <c r="Q77" i="19"/>
  <c r="D77" i="19"/>
  <c r="H77" i="19"/>
  <c r="E77" i="19"/>
  <c r="Q15" i="19"/>
  <c r="L15" i="19"/>
  <c r="L30" i="19"/>
  <c r="L32" i="19"/>
  <c r="E15" i="19"/>
  <c r="E17" i="19"/>
  <c r="F55" i="16"/>
  <c r="D15" i="19"/>
  <c r="D17" i="19"/>
  <c r="E55" i="16"/>
  <c r="I15" i="19"/>
  <c r="I17" i="19"/>
  <c r="J55" i="16"/>
  <c r="AI39" i="7"/>
  <c r="AJ39" i="7"/>
  <c r="AE40" i="7"/>
  <c r="AG64" i="7"/>
  <c r="AF84" i="7"/>
  <c r="L6" i="19"/>
  <c r="W72" i="19"/>
  <c r="U72" i="19"/>
  <c r="W58" i="19"/>
  <c r="X58" i="19"/>
  <c r="T72" i="19"/>
  <c r="N58" i="19"/>
  <c r="U58" i="19"/>
  <c r="G78" i="19"/>
  <c r="R72" i="19"/>
  <c r="O78" i="19"/>
  <c r="J78" i="19"/>
  <c r="H78" i="19"/>
  <c r="S78" i="19"/>
  <c r="I58" i="19"/>
  <c r="Q58" i="19"/>
  <c r="M58" i="19"/>
  <c r="P78" i="19"/>
  <c r="R78" i="19"/>
  <c r="E78" i="19"/>
  <c r="D78" i="19"/>
  <c r="T58" i="19"/>
  <c r="K78" i="19"/>
  <c r="L78" i="19"/>
  <c r="Q78" i="19"/>
  <c r="R58" i="19"/>
  <c r="O58" i="19"/>
  <c r="J58" i="19"/>
  <c r="K22" i="22"/>
  <c r="K21" i="22"/>
  <c r="I57" i="24"/>
  <c r="I128" i="24"/>
  <c r="I199" i="24"/>
  <c r="J57" i="24"/>
  <c r="J128" i="24"/>
  <c r="J199" i="24"/>
  <c r="H57" i="24"/>
  <c r="H128" i="24"/>
  <c r="H199" i="24"/>
  <c r="K57" i="24"/>
  <c r="K128" i="24"/>
  <c r="K199" i="24"/>
  <c r="G57" i="24"/>
  <c r="G128" i="24"/>
  <c r="G199" i="24"/>
  <c r="L57" i="24"/>
  <c r="L128" i="24"/>
  <c r="L199" i="24"/>
  <c r="L59" i="16"/>
  <c r="K59" i="16"/>
  <c r="K42" i="20"/>
  <c r="K38" i="6"/>
  <c r="J42" i="20"/>
  <c r="J38" i="6"/>
  <c r="J22" i="22"/>
  <c r="J21" i="22"/>
  <c r="G22" i="22"/>
  <c r="G42" i="20"/>
  <c r="G38" i="6"/>
  <c r="L48" i="24"/>
  <c r="H48" i="24"/>
  <c r="J48" i="24"/>
  <c r="H22" i="22"/>
  <c r="H42" i="20"/>
  <c r="H38" i="6"/>
  <c r="L17" i="19"/>
  <c r="U82" i="19"/>
  <c r="P82" i="19"/>
  <c r="O82" i="19"/>
  <c r="J82" i="19"/>
  <c r="I82" i="19"/>
  <c r="R82" i="19"/>
  <c r="H82" i="19"/>
  <c r="S82" i="19"/>
  <c r="W82" i="19"/>
  <c r="M82" i="19"/>
  <c r="L82" i="19"/>
  <c r="T82" i="19"/>
  <c r="Q82" i="19"/>
  <c r="K82" i="19"/>
  <c r="V82" i="19"/>
  <c r="N82" i="19"/>
  <c r="S58" i="19"/>
  <c r="K58" i="19"/>
  <c r="I22" i="22"/>
  <c r="I42" i="20"/>
  <c r="I38" i="6"/>
  <c r="K48" i="24"/>
  <c r="M83" i="19"/>
  <c r="X83" i="19"/>
  <c r="X86" i="19"/>
  <c r="N83" i="19"/>
  <c r="I83" i="19"/>
  <c r="W83" i="19"/>
  <c r="J83" i="19"/>
  <c r="O83" i="19"/>
  <c r="R83" i="19"/>
  <c r="R86" i="19"/>
  <c r="S83" i="19"/>
  <c r="L83" i="19"/>
  <c r="Q83" i="19"/>
  <c r="U83" i="19"/>
  <c r="T83" i="19"/>
  <c r="P83" i="19"/>
  <c r="K83" i="19"/>
  <c r="V83" i="19"/>
  <c r="G48" i="24"/>
  <c r="AI64" i="7"/>
  <c r="I48" i="24"/>
  <c r="F48" i="24"/>
  <c r="F42" i="20"/>
  <c r="F38" i="6"/>
  <c r="F22" i="22"/>
  <c r="E22" i="22"/>
  <c r="E42" i="20"/>
  <c r="E38" i="6"/>
  <c r="L58" i="19"/>
  <c r="AG40" i="7"/>
  <c r="AE41" i="7"/>
  <c r="AH40" i="7"/>
  <c r="J107" i="19"/>
  <c r="V86" i="19"/>
  <c r="S86" i="19"/>
  <c r="G119" i="24"/>
  <c r="G190" i="24"/>
  <c r="I119" i="24"/>
  <c r="I190" i="24"/>
  <c r="J119" i="24"/>
  <c r="J190" i="24"/>
  <c r="L119" i="24"/>
  <c r="L190" i="24"/>
  <c r="H119" i="24"/>
  <c r="H190" i="24"/>
  <c r="K119" i="24"/>
  <c r="K190" i="24"/>
  <c r="F119" i="24"/>
  <c r="F190" i="24"/>
  <c r="L42" i="20"/>
  <c r="L38" i="6"/>
  <c r="L22" i="22"/>
  <c r="K107" i="19"/>
  <c r="W86" i="19"/>
  <c r="U86" i="19"/>
  <c r="T86" i="19"/>
  <c r="AI40" i="7"/>
  <c r="AG41" i="7"/>
  <c r="AH41" i="7"/>
  <c r="L21" i="22"/>
  <c r="M22" i="22"/>
  <c r="AJ40" i="7"/>
  <c r="AG65" i="7"/>
  <c r="AF85" i="7"/>
  <c r="M6" i="19"/>
  <c r="M17" i="19"/>
  <c r="AE42" i="7"/>
  <c r="AI41" i="7"/>
  <c r="AI65" i="7"/>
  <c r="AH65" i="7"/>
  <c r="AJ41" i="7"/>
  <c r="AG42" i="7"/>
  <c r="AE43" i="7"/>
  <c r="AH42" i="7"/>
  <c r="AI42" i="7"/>
  <c r="AJ42" i="7"/>
  <c r="AH43" i="7"/>
  <c r="AH66" i="7"/>
  <c r="AG43" i="7"/>
  <c r="AE44" i="7"/>
  <c r="AG66" i="7"/>
  <c r="AF86" i="7"/>
  <c r="N6" i="19"/>
  <c r="N17" i="19"/>
  <c r="AI43" i="7"/>
  <c r="AI66" i="7"/>
  <c r="AJ43" i="7"/>
  <c r="AG44" i="7"/>
  <c r="AE45" i="7"/>
  <c r="AH44" i="7"/>
  <c r="AI44" i="7"/>
  <c r="AG45" i="7"/>
  <c r="AH45" i="7"/>
  <c r="AH67" i="7"/>
  <c r="AG67" i="7"/>
  <c r="AF87" i="7"/>
  <c r="O6" i="19"/>
  <c r="O17" i="19"/>
  <c r="AE46" i="7"/>
  <c r="AI45" i="7"/>
  <c r="AJ45" i="7"/>
  <c r="AJ44" i="7"/>
  <c r="AI67" i="7"/>
  <c r="AG46" i="7"/>
  <c r="AE47" i="7"/>
  <c r="AH46" i="7"/>
  <c r="AI46" i="7"/>
  <c r="AJ46" i="7"/>
  <c r="AH47" i="7"/>
  <c r="AH68" i="7"/>
  <c r="AG47" i="7"/>
  <c r="AE48" i="7"/>
  <c r="AG68" i="7"/>
  <c r="AF88" i="7"/>
  <c r="P6" i="19"/>
  <c r="P17" i="19"/>
  <c r="AI47" i="7"/>
  <c r="AJ47" i="7"/>
  <c r="AI68" i="7"/>
  <c r="AG48" i="7"/>
  <c r="AE49" i="7"/>
  <c r="AH48" i="7"/>
  <c r="AI48" i="7"/>
  <c r="AG49" i="7"/>
  <c r="AG69" i="7"/>
  <c r="AF89" i="7"/>
  <c r="Q6" i="19"/>
  <c r="Q17" i="19"/>
  <c r="AH49" i="7"/>
  <c r="AJ48" i="7"/>
  <c r="AI49" i="7"/>
  <c r="AI69" i="7"/>
  <c r="B75" i="19" a="1"/>
  <c r="AH69" i="7"/>
  <c r="B61" i="19" a="1"/>
  <c r="AJ49" i="7"/>
  <c r="J61" i="19"/>
  <c r="J72" i="19"/>
  <c r="C61" i="19"/>
  <c r="C72" i="19"/>
  <c r="Q61" i="19"/>
  <c r="Q72" i="19"/>
  <c r="O61" i="19"/>
  <c r="O72" i="19"/>
  <c r="M61" i="19"/>
  <c r="M72" i="19"/>
  <c r="G61" i="19"/>
  <c r="G72" i="19"/>
  <c r="K61" i="19"/>
  <c r="K72" i="19"/>
  <c r="D61" i="19"/>
  <c r="D72" i="19"/>
  <c r="H61" i="19"/>
  <c r="H72" i="19"/>
  <c r="E61" i="19"/>
  <c r="E72" i="19"/>
  <c r="P61" i="19"/>
  <c r="P72" i="19"/>
  <c r="N61" i="19"/>
  <c r="N72" i="19"/>
  <c r="L61" i="19"/>
  <c r="L72" i="19"/>
  <c r="F61" i="19"/>
  <c r="F72" i="19"/>
  <c r="I61" i="19"/>
  <c r="I72" i="19"/>
  <c r="B61" i="19"/>
  <c r="B72" i="19"/>
  <c r="H75" i="19"/>
  <c r="H86" i="19"/>
  <c r="H109" i="19"/>
  <c r="I15" i="20"/>
  <c r="E75" i="19"/>
  <c r="E86" i="19"/>
  <c r="E109" i="19"/>
  <c r="F15" i="20"/>
  <c r="Q75" i="19"/>
  <c r="Q86" i="19"/>
  <c r="O75" i="19"/>
  <c r="O86" i="19"/>
  <c r="M75" i="19"/>
  <c r="M86" i="19"/>
  <c r="I75" i="19"/>
  <c r="I86" i="19"/>
  <c r="I109" i="19"/>
  <c r="J15" i="20"/>
  <c r="B75" i="19"/>
  <c r="B86" i="19"/>
  <c r="B109" i="19"/>
  <c r="C15" i="20"/>
  <c r="F75" i="19"/>
  <c r="F86" i="19"/>
  <c r="F109" i="19"/>
  <c r="G15" i="20"/>
  <c r="J75" i="19"/>
  <c r="J86" i="19"/>
  <c r="J109" i="19"/>
  <c r="K15" i="20"/>
  <c r="C75" i="19"/>
  <c r="C86" i="19"/>
  <c r="C109" i="19"/>
  <c r="D15" i="20"/>
  <c r="P75" i="19"/>
  <c r="P86" i="19"/>
  <c r="N75" i="19"/>
  <c r="N86" i="19"/>
  <c r="L75" i="19"/>
  <c r="L86" i="19"/>
  <c r="K75" i="19"/>
  <c r="K86" i="19"/>
  <c r="K109" i="19"/>
  <c r="L15" i="20"/>
  <c r="D75" i="19"/>
  <c r="D86" i="19"/>
  <c r="D109" i="19"/>
  <c r="E15" i="20"/>
  <c r="G75" i="19"/>
  <c r="G86" i="19"/>
  <c r="G109" i="19"/>
  <c r="H15" i="20"/>
  <c r="G18" i="20"/>
  <c r="G20" i="20"/>
  <c r="G25" i="20"/>
  <c r="G37" i="20"/>
  <c r="E18" i="20"/>
  <c r="E20" i="20"/>
  <c r="E25" i="20"/>
  <c r="C9" i="6"/>
  <c r="C10" i="6"/>
  <c r="C18" i="20"/>
  <c r="C20" i="20"/>
  <c r="C25" i="20"/>
  <c r="L26" i="11"/>
  <c r="K108" i="19"/>
  <c r="L18" i="20"/>
  <c r="L20" i="20"/>
  <c r="L25" i="20"/>
  <c r="L37" i="20"/>
  <c r="D18" i="20"/>
  <c r="D20" i="20"/>
  <c r="D25" i="20"/>
  <c r="J18" i="20"/>
  <c r="J20" i="20"/>
  <c r="J25" i="20"/>
  <c r="J37" i="20"/>
  <c r="F18" i="20"/>
  <c r="F20" i="20"/>
  <c r="F25" i="20"/>
  <c r="H18" i="20"/>
  <c r="H20" i="20"/>
  <c r="H25" i="20"/>
  <c r="H37" i="20"/>
  <c r="K18" i="20"/>
  <c r="K20" i="20"/>
  <c r="K25" i="20"/>
  <c r="K37" i="20"/>
  <c r="I18" i="20"/>
  <c r="I20" i="20"/>
  <c r="I25" i="20"/>
  <c r="I37" i="20"/>
  <c r="K26" i="11"/>
  <c r="J108" i="19"/>
  <c r="K11" i="27"/>
  <c r="K45" i="20"/>
  <c r="K40" i="6"/>
  <c r="K45" i="6"/>
  <c r="K46" i="6"/>
  <c r="K26" i="26"/>
  <c r="L45" i="20"/>
  <c r="L40" i="6"/>
  <c r="L45" i="6"/>
  <c r="L46" i="6"/>
  <c r="L11" i="27"/>
  <c r="L26" i="26"/>
  <c r="K33" i="11"/>
  <c r="K8" i="27"/>
  <c r="K21" i="14"/>
  <c r="K22" i="14"/>
  <c r="L33" i="11"/>
  <c r="L8" i="27"/>
  <c r="L21" i="14"/>
  <c r="L22" i="14"/>
  <c r="K14" i="29"/>
  <c r="K27" i="26"/>
  <c r="L14" i="29"/>
  <c r="L27" i="26"/>
  <c r="L63" i="16"/>
  <c r="Q13" i="15"/>
  <c r="Q15" i="15"/>
  <c r="Q16" i="15"/>
  <c r="K63" i="16"/>
  <c r="L44" i="20"/>
  <c r="P13" i="15"/>
  <c r="P15" i="15"/>
  <c r="P16" i="15"/>
  <c r="L28" i="26"/>
  <c r="L8" i="29"/>
  <c r="K28" i="26"/>
  <c r="K8" i="29"/>
  <c r="L49" i="16"/>
  <c r="K49" i="16"/>
  <c r="K29" i="26"/>
  <c r="K5" i="22"/>
  <c r="K4" i="22"/>
  <c r="K17" i="22"/>
  <c r="L47" i="20"/>
  <c r="L49" i="20"/>
  <c r="L9" i="6"/>
  <c r="L10" i="6"/>
  <c r="L47" i="6"/>
  <c r="L10" i="29"/>
  <c r="L11" i="29"/>
  <c r="Q18" i="15"/>
  <c r="L5" i="22"/>
  <c r="L4" i="22"/>
  <c r="L17" i="22"/>
  <c r="K10" i="29"/>
  <c r="K11" i="29"/>
  <c r="L29" i="26"/>
  <c r="L12" i="29"/>
  <c r="L15" i="29"/>
  <c r="L16" i="29"/>
  <c r="L9" i="27"/>
  <c r="L12" i="27"/>
  <c r="L30" i="22"/>
  <c r="L32" i="22"/>
  <c r="L33" i="22"/>
  <c r="X79" i="13"/>
  <c r="X80" i="13"/>
  <c r="L13" i="27"/>
  <c r="L14" i="27"/>
  <c r="L16" i="27"/>
  <c r="L17" i="29"/>
  <c r="L19" i="29"/>
  <c r="G31" i="31"/>
  <c r="F32" i="31"/>
  <c r="C46" i="20" a="1"/>
  <c r="C46" i="20"/>
  <c r="C43" i="6"/>
  <c r="C23" i="22"/>
  <c r="C21" i="22"/>
  <c r="F17" i="21"/>
  <c r="G17" i="21"/>
  <c r="H17" i="21"/>
  <c r="F18" i="21"/>
  <c r="G18" i="21"/>
  <c r="H18" i="21"/>
  <c r="E30" i="21"/>
  <c r="I29" i="21"/>
  <c r="C33" i="20"/>
  <c r="C64" i="16"/>
  <c r="D33" i="20"/>
  <c r="C31" i="21"/>
  <c r="K30" i="21"/>
  <c r="D46" i="20"/>
  <c r="E33" i="20"/>
  <c r="C32" i="21"/>
  <c r="C38" i="21"/>
  <c r="C44" i="21"/>
  <c r="K31" i="21"/>
  <c r="E46" i="20"/>
  <c r="H13" i="18"/>
  <c r="F33" i="20"/>
  <c r="C33" i="21"/>
  <c r="C39" i="21"/>
  <c r="C45" i="21"/>
  <c r="K32" i="21"/>
  <c r="F46" i="20"/>
  <c r="D26" i="21"/>
  <c r="C34" i="21"/>
  <c r="C40" i="21"/>
  <c r="C46" i="21"/>
  <c r="K33" i="21"/>
  <c r="G46" i="20"/>
  <c r="M26" i="21"/>
  <c r="C41" i="21"/>
  <c r="C47" i="21"/>
  <c r="K34" i="21"/>
  <c r="H46" i="20"/>
  <c r="V26" i="21"/>
  <c r="C48" i="21"/>
  <c r="K35" i="21"/>
  <c r="I46" i="20"/>
  <c r="K64" i="16"/>
  <c r="L64" i="16"/>
  <c r="L72" i="16"/>
  <c r="L73" i="16"/>
  <c r="E18" i="18"/>
  <c r="C30" i="20"/>
  <c r="D30" i="20"/>
  <c r="D37" i="20"/>
  <c r="G18" i="18"/>
  <c r="E30" i="20"/>
  <c r="E37" i="20"/>
  <c r="H18" i="18"/>
  <c r="F30" i="20"/>
  <c r="F37" i="20"/>
  <c r="K72" i="16"/>
  <c r="K73" i="16"/>
  <c r="K56" i="24"/>
  <c r="K127" i="24"/>
  <c r="B91" i="19" a="1"/>
  <c r="D91" i="19"/>
  <c r="D94" i="19"/>
  <c r="E43" i="20"/>
  <c r="C91" i="19"/>
  <c r="C94" i="19"/>
  <c r="D43" i="20"/>
  <c r="B91" i="19"/>
  <c r="B94" i="19"/>
  <c r="C43" i="20"/>
  <c r="E91" i="19"/>
  <c r="E94" i="19"/>
  <c r="F43" i="20"/>
  <c r="F91" i="19"/>
  <c r="F94" i="19"/>
  <c r="G43" i="20"/>
  <c r="G91" i="19"/>
  <c r="G94" i="19"/>
  <c r="H43" i="20"/>
  <c r="H91" i="19"/>
  <c r="H94" i="19"/>
  <c r="I43" i="20"/>
  <c r="L56" i="24"/>
  <c r="L127" i="24"/>
  <c r="I91" i="19"/>
  <c r="I94" i="19"/>
  <c r="J43" i="20"/>
  <c r="L198" i="24"/>
  <c r="K198" i="24"/>
  <c r="J56" i="24"/>
  <c r="J127" i="24"/>
  <c r="J198" i="24"/>
  <c r="I43" i="6"/>
  <c r="H43" i="6"/>
  <c r="G43" i="6"/>
  <c r="F32" i="6"/>
  <c r="F36" i="6"/>
  <c r="F43" i="6"/>
  <c r="E32" i="6"/>
  <c r="E36" i="6"/>
  <c r="E43" i="6"/>
  <c r="D32" i="6"/>
  <c r="D36" i="6"/>
  <c r="D43" i="6"/>
  <c r="C32" i="6"/>
  <c r="C36" i="6"/>
  <c r="I39" i="6"/>
  <c r="H39" i="6"/>
  <c r="G39" i="6"/>
  <c r="F39" i="6"/>
  <c r="E39" i="6"/>
  <c r="D39" i="6"/>
  <c r="C39" i="6"/>
  <c r="D23" i="22"/>
  <c r="D21" i="22"/>
  <c r="E23" i="22"/>
  <c r="E21" i="22"/>
  <c r="F23" i="22"/>
  <c r="F21" i="22"/>
  <c r="G23" i="22"/>
  <c r="G21" i="22"/>
  <c r="H23" i="22"/>
  <c r="H21" i="22"/>
  <c r="I23" i="22"/>
  <c r="I21" i="22"/>
  <c r="C16" i="22"/>
  <c r="C15" i="22"/>
  <c r="D16" i="22"/>
  <c r="D15" i="22"/>
  <c r="E16" i="22"/>
  <c r="E15" i="22"/>
  <c r="F16" i="22"/>
  <c r="F15" i="22"/>
  <c r="I56" i="24"/>
  <c r="I127" i="24"/>
  <c r="AE4" i="21"/>
  <c r="AD17" i="21"/>
  <c r="AE17" i="21"/>
  <c r="AF17" i="21"/>
  <c r="AD18" i="21"/>
  <c r="AE18" i="21"/>
  <c r="AF18" i="21"/>
  <c r="AD19" i="21"/>
  <c r="AE19" i="21"/>
  <c r="AF19" i="21"/>
  <c r="AD20" i="21"/>
  <c r="AE20" i="21"/>
  <c r="AF20" i="21"/>
  <c r="AD21" i="21"/>
  <c r="AE21" i="21"/>
  <c r="AF21" i="21"/>
  <c r="AD22" i="21"/>
  <c r="AE22" i="21"/>
  <c r="AF22" i="21"/>
  <c r="AD23" i="21"/>
  <c r="AE23" i="21"/>
  <c r="AF23" i="21"/>
  <c r="AD24" i="21"/>
  <c r="AE24" i="21"/>
  <c r="AF24" i="21"/>
  <c r="AD25" i="21"/>
  <c r="AE25" i="21"/>
  <c r="AF25" i="21"/>
  <c r="AD26" i="21"/>
  <c r="AE26" i="21"/>
  <c r="AF26" i="21"/>
  <c r="AG26" i="21"/>
  <c r="AH26" i="21"/>
  <c r="AI26" i="21"/>
  <c r="I198" i="24"/>
  <c r="AG25" i="21"/>
  <c r="AH25" i="21"/>
  <c r="AI25" i="21"/>
  <c r="H56" i="24"/>
  <c r="H127" i="24"/>
  <c r="AG24" i="21"/>
  <c r="AH24" i="21"/>
  <c r="AI24" i="21"/>
  <c r="H198" i="24"/>
  <c r="AG23" i="21"/>
  <c r="AH23" i="21"/>
  <c r="AI23" i="21"/>
  <c r="G56" i="24"/>
  <c r="G127" i="24"/>
  <c r="AG22" i="21"/>
  <c r="AH22" i="21"/>
  <c r="AI22" i="21"/>
  <c r="G198" i="24"/>
  <c r="W26" i="21"/>
  <c r="D48" i="21"/>
  <c r="J35" i="21"/>
  <c r="AG21" i="21"/>
  <c r="AH21" i="21"/>
  <c r="AI21" i="21"/>
  <c r="AG20" i="21"/>
  <c r="AH20" i="21"/>
  <c r="AI20" i="21"/>
  <c r="N26" i="21"/>
  <c r="D41" i="21"/>
  <c r="D47" i="21"/>
  <c r="J34" i="21"/>
  <c r="AG19" i="21"/>
  <c r="AH19" i="21"/>
  <c r="AI19" i="21"/>
  <c r="F56" i="24"/>
  <c r="F127" i="24"/>
  <c r="AG18" i="21"/>
  <c r="AH18" i="21"/>
  <c r="AI18" i="21"/>
  <c r="M16" i="22"/>
  <c r="M15" i="22"/>
  <c r="E56" i="24"/>
  <c r="E127" i="24"/>
  <c r="F198" i="24"/>
  <c r="AG17" i="21"/>
  <c r="AH17" i="21"/>
  <c r="AI17" i="21"/>
  <c r="C13" i="18"/>
  <c r="E26" i="21"/>
  <c r="D34" i="21"/>
  <c r="D40" i="21"/>
  <c r="D46" i="21"/>
  <c r="J33" i="21"/>
  <c r="E198" i="24"/>
  <c r="I344" i="4"/>
  <c r="H10" i="18"/>
  <c r="D33" i="21"/>
  <c r="D39" i="21"/>
  <c r="D45" i="21"/>
  <c r="J32" i="21"/>
  <c r="M23" i="22"/>
  <c r="M21" i="22"/>
  <c r="D32" i="21"/>
  <c r="D38" i="21"/>
  <c r="D44" i="21"/>
  <c r="J31" i="21"/>
  <c r="G10" i="18"/>
  <c r="A43" i="21"/>
  <c r="D31" i="21"/>
  <c r="N18" i="21"/>
  <c r="D37" i="21"/>
  <c r="J30" i="21"/>
  <c r="N17" i="21"/>
  <c r="F10" i="18"/>
  <c r="A36" i="21"/>
  <c r="L347" i="4"/>
  <c r="L350" i="4"/>
  <c r="L351" i="4"/>
  <c r="K352" i="4"/>
  <c r="E18" i="21"/>
  <c r="D30" i="21"/>
  <c r="J29" i="21"/>
  <c r="E17" i="21"/>
  <c r="A29" i="21"/>
  <c r="E10" i="18"/>
  <c r="J340" i="4"/>
  <c r="J344" i="4"/>
  <c r="F329" i="4"/>
  <c r="I329" i="4"/>
  <c r="J326" i="4"/>
  <c r="J327" i="4"/>
  <c r="J328" i="4"/>
  <c r="J329" i="4"/>
  <c r="I333" i="4"/>
  <c r="J333" i="4"/>
  <c r="I334" i="4"/>
  <c r="J334" i="4"/>
  <c r="I335" i="4"/>
  <c r="J335" i="4"/>
  <c r="F336" i="4"/>
  <c r="J332" i="4"/>
  <c r="J336" i="4"/>
  <c r="F344" i="4"/>
  <c r="I336" i="4"/>
  <c r="B38" i="19" a="1"/>
  <c r="B38" i="19"/>
  <c r="C58" i="16"/>
  <c r="E51" i="24"/>
  <c r="E122" i="24"/>
  <c r="E193" i="24"/>
  <c r="E188" i="24"/>
  <c r="C38" i="19"/>
  <c r="D58" i="16"/>
  <c r="F51" i="24"/>
  <c r="F122" i="24"/>
  <c r="F193" i="24"/>
  <c r="F188" i="24"/>
  <c r="C59" i="16"/>
  <c r="D38" i="19"/>
  <c r="E58" i="16"/>
  <c r="G51" i="24"/>
  <c r="G122" i="24"/>
  <c r="G193" i="24"/>
  <c r="G188" i="24"/>
  <c r="D59" i="16"/>
  <c r="E59" i="16"/>
  <c r="E38" i="19"/>
  <c r="F58" i="16"/>
  <c r="H51" i="24"/>
  <c r="H122" i="24"/>
  <c r="H193" i="24"/>
  <c r="H188" i="24"/>
  <c r="F59" i="16"/>
  <c r="F38" i="19"/>
  <c r="G58" i="16"/>
  <c r="I51" i="24"/>
  <c r="I122" i="24"/>
  <c r="I193" i="24"/>
  <c r="I188" i="24"/>
  <c r="G59" i="16"/>
  <c r="I38" i="19"/>
  <c r="J58" i="16"/>
  <c r="L51" i="24"/>
  <c r="L122" i="24"/>
  <c r="L193" i="24"/>
  <c r="L188" i="24"/>
  <c r="G38" i="19"/>
  <c r="H58" i="16"/>
  <c r="J51" i="24"/>
  <c r="J122" i="24"/>
  <c r="J193" i="24"/>
  <c r="J188" i="24"/>
  <c r="H59" i="16"/>
  <c r="H38" i="19"/>
  <c r="I58" i="16"/>
  <c r="K51" i="24"/>
  <c r="K122" i="24"/>
  <c r="K193" i="24"/>
  <c r="K188" i="24"/>
  <c r="I59" i="16"/>
  <c r="J39" i="6"/>
  <c r="C27" i="22"/>
  <c r="C24" i="22"/>
  <c r="D27" i="22"/>
  <c r="D24" i="22"/>
  <c r="E27" i="22"/>
  <c r="E24" i="22"/>
  <c r="F27" i="22"/>
  <c r="F24" i="22"/>
  <c r="G27" i="22"/>
  <c r="G24" i="22"/>
  <c r="H27" i="22"/>
  <c r="H24" i="22"/>
  <c r="I27" i="22"/>
  <c r="I24" i="22"/>
  <c r="J27" i="22"/>
  <c r="J24" i="22"/>
  <c r="J59" i="16"/>
  <c r="D107" i="19"/>
  <c r="E107" i="19"/>
  <c r="H107" i="19"/>
  <c r="G107" i="19"/>
  <c r="F107" i="19"/>
  <c r="I107" i="19"/>
  <c r="C107" i="19"/>
  <c r="B107" i="19"/>
  <c r="E40" i="19"/>
  <c r="G40" i="19"/>
  <c r="F40" i="19"/>
  <c r="C40" i="19"/>
  <c r="B40" i="19"/>
  <c r="D40" i="19"/>
  <c r="I40" i="19"/>
  <c r="H40" i="19"/>
  <c r="M27" i="22"/>
  <c r="M24" i="22"/>
  <c r="B97" i="19" a="1"/>
  <c r="C97" i="19"/>
  <c r="C99" i="19"/>
  <c r="D26" i="11"/>
  <c r="D27" i="11"/>
  <c r="D28" i="11"/>
  <c r="D29" i="11"/>
  <c r="D41" i="11"/>
  <c r="D97" i="19"/>
  <c r="D99" i="19"/>
  <c r="E26" i="11"/>
  <c r="E27" i="11"/>
  <c r="E28" i="11"/>
  <c r="E29" i="11"/>
  <c r="E41" i="11"/>
  <c r="E97" i="19"/>
  <c r="E99" i="19"/>
  <c r="F26" i="11"/>
  <c r="F27" i="11"/>
  <c r="F28" i="11"/>
  <c r="F29" i="11"/>
  <c r="F41" i="11"/>
  <c r="F97" i="19"/>
  <c r="F99" i="19"/>
  <c r="G26" i="11"/>
  <c r="G27" i="11"/>
  <c r="G28" i="11"/>
  <c r="G29" i="11"/>
  <c r="G41" i="11"/>
  <c r="G97" i="19"/>
  <c r="G99" i="19"/>
  <c r="H26" i="11"/>
  <c r="H27" i="11"/>
  <c r="H28" i="11"/>
  <c r="H29" i="11"/>
  <c r="H41" i="11"/>
  <c r="H97" i="19"/>
  <c r="H99" i="19"/>
  <c r="I26" i="11"/>
  <c r="I27" i="11"/>
  <c r="I28" i="11"/>
  <c r="I29" i="11"/>
  <c r="I41" i="11"/>
  <c r="I97" i="19"/>
  <c r="I99" i="19"/>
  <c r="J26" i="11"/>
  <c r="J27" i="11"/>
  <c r="J28" i="11"/>
  <c r="J29" i="11"/>
  <c r="J41" i="11"/>
  <c r="B97" i="19"/>
  <c r="B99" i="19"/>
  <c r="C26" i="11"/>
  <c r="C27" i="11"/>
  <c r="C28" i="11"/>
  <c r="C29" i="11"/>
  <c r="C41" i="11"/>
  <c r="B108" i="19"/>
  <c r="D108" i="19"/>
  <c r="I108" i="19"/>
  <c r="F108" i="19"/>
  <c r="E108" i="19"/>
  <c r="G108" i="19"/>
  <c r="C108" i="19"/>
  <c r="H108" i="19"/>
  <c r="J33" i="11"/>
  <c r="L28" i="23"/>
  <c r="L30" i="23"/>
  <c r="L34" i="23"/>
  <c r="L35" i="23"/>
  <c r="L36" i="23"/>
  <c r="J26" i="26"/>
  <c r="J27" i="26"/>
  <c r="J28" i="26"/>
  <c r="J29" i="26"/>
  <c r="L66" i="23"/>
  <c r="L104" i="23"/>
  <c r="L68" i="23"/>
  <c r="L72" i="23"/>
  <c r="L73" i="23"/>
  <c r="L74" i="23"/>
  <c r="L106" i="23"/>
  <c r="L110" i="23"/>
  <c r="M5" i="28"/>
  <c r="J21" i="14"/>
  <c r="J22" i="14"/>
  <c r="O13" i="15"/>
  <c r="O15" i="15"/>
  <c r="O16" i="15"/>
  <c r="J10" i="29"/>
  <c r="J11" i="29"/>
  <c r="K12" i="29"/>
  <c r="K15" i="29"/>
  <c r="K17" i="29"/>
  <c r="K19" i="29"/>
  <c r="P18" i="15"/>
  <c r="K9" i="27"/>
  <c r="K12" i="27"/>
  <c r="K14" i="27"/>
  <c r="K16" i="27"/>
  <c r="V79" i="13"/>
  <c r="V80" i="13"/>
  <c r="L111" i="23"/>
  <c r="L112" i="23"/>
  <c r="L105" i="23"/>
  <c r="L107" i="23"/>
  <c r="M21" i="28"/>
  <c r="L114" i="23"/>
  <c r="M7" i="28"/>
  <c r="M17" i="28"/>
  <c r="C33" i="11"/>
  <c r="E348" i="4"/>
  <c r="G349" i="4"/>
  <c r="I349" i="4"/>
  <c r="J349" i="4"/>
  <c r="D33" i="11"/>
  <c r="E349" i="4"/>
  <c r="G350" i="4"/>
  <c r="I350" i="4"/>
  <c r="J350" i="4"/>
  <c r="C49" i="16"/>
  <c r="D86" i="16"/>
  <c r="D87" i="16"/>
  <c r="D42" i="16"/>
  <c r="D44" i="16"/>
  <c r="D49" i="16"/>
  <c r="E85" i="16"/>
  <c r="E86" i="16"/>
  <c r="E87" i="16"/>
  <c r="E42" i="16"/>
  <c r="E44" i="16"/>
  <c r="E49" i="16"/>
  <c r="F85" i="16"/>
  <c r="F86" i="16"/>
  <c r="F87" i="16"/>
  <c r="F42" i="16"/>
  <c r="F44" i="16"/>
  <c r="F49" i="16"/>
  <c r="G85" i="16"/>
  <c r="G86" i="16"/>
  <c r="G87" i="16"/>
  <c r="G42" i="16"/>
  <c r="G44" i="16"/>
  <c r="G49" i="16"/>
  <c r="H85" i="16"/>
  <c r="H86" i="16"/>
  <c r="H87" i="16"/>
  <c r="H42" i="16"/>
  <c r="H44" i="16"/>
  <c r="H49" i="16"/>
  <c r="I85" i="16"/>
  <c r="I86" i="16"/>
  <c r="I87" i="16"/>
  <c r="I42" i="16"/>
  <c r="I44" i="16"/>
  <c r="I49" i="16"/>
  <c r="J85" i="16"/>
  <c r="J86" i="16"/>
  <c r="J87" i="16"/>
  <c r="J42" i="16"/>
  <c r="J44" i="16"/>
  <c r="J49" i="16"/>
  <c r="K85" i="16"/>
  <c r="K86" i="16"/>
  <c r="K87" i="16"/>
  <c r="K42" i="16"/>
  <c r="K44" i="16"/>
  <c r="L86" i="16"/>
  <c r="L85" i="16"/>
  <c r="L87" i="16"/>
  <c r="L88" i="16"/>
  <c r="E33" i="11"/>
  <c r="E350" i="4"/>
  <c r="G351" i="4"/>
  <c r="I351" i="4"/>
  <c r="J351" i="4"/>
  <c r="K28" i="23"/>
  <c r="K66" i="23"/>
  <c r="K104" i="23"/>
  <c r="K105" i="23"/>
  <c r="K30" i="23"/>
  <c r="K68" i="23"/>
  <c r="K72" i="23"/>
  <c r="K35" i="23"/>
  <c r="K73" i="23"/>
  <c r="K74" i="23"/>
  <c r="K106" i="23"/>
  <c r="K107" i="23"/>
  <c r="K114" i="23"/>
  <c r="L7" i="28"/>
  <c r="C45" i="20"/>
  <c r="C47" i="20"/>
  <c r="C21" i="14"/>
  <c r="C22" i="14"/>
  <c r="D44" i="20"/>
  <c r="D45" i="20"/>
  <c r="D47" i="20"/>
  <c r="D49" i="20"/>
  <c r="D21" i="14"/>
  <c r="D22" i="14"/>
  <c r="E44" i="20"/>
  <c r="E45" i="20"/>
  <c r="E47" i="20"/>
  <c r="E49" i="20"/>
  <c r="E21" i="14"/>
  <c r="E22" i="14"/>
  <c r="F44" i="20"/>
  <c r="F45" i="20"/>
  <c r="F47" i="20"/>
  <c r="F49" i="20"/>
  <c r="F21" i="14"/>
  <c r="F22" i="14"/>
  <c r="G44" i="20"/>
  <c r="G45" i="20"/>
  <c r="G47" i="20"/>
  <c r="G49" i="20"/>
  <c r="G21" i="14"/>
  <c r="G22" i="14"/>
  <c r="H44" i="20"/>
  <c r="H45" i="20"/>
  <c r="H47" i="20"/>
  <c r="H49" i="20"/>
  <c r="H21" i="14"/>
  <c r="H22" i="14"/>
  <c r="I44" i="20"/>
  <c r="I45" i="20"/>
  <c r="I47" i="20"/>
  <c r="I49" i="20"/>
  <c r="K28" i="24"/>
  <c r="K99" i="24"/>
  <c r="K35" i="24"/>
  <c r="K106" i="24"/>
  <c r="K37" i="24"/>
  <c r="K108" i="24"/>
  <c r="K110" i="23"/>
  <c r="K41" i="24"/>
  <c r="K112" i="24"/>
  <c r="I21" i="14"/>
  <c r="I22" i="14"/>
  <c r="I63" i="16"/>
  <c r="K55" i="24"/>
  <c r="K126" i="24"/>
  <c r="K139" i="24"/>
  <c r="K170" i="24"/>
  <c r="K157" i="24"/>
  <c r="L9" i="28"/>
  <c r="L19" i="28"/>
  <c r="L22" i="28"/>
  <c r="J44" i="20"/>
  <c r="J45" i="20"/>
  <c r="J47" i="20"/>
  <c r="J49" i="20"/>
  <c r="L28" i="24"/>
  <c r="L99" i="24"/>
  <c r="L35" i="24"/>
  <c r="L106" i="24"/>
  <c r="L37" i="24"/>
  <c r="L108" i="24"/>
  <c r="L41" i="24"/>
  <c r="L112" i="24"/>
  <c r="J63" i="16"/>
  <c r="L55" i="24"/>
  <c r="L126" i="24"/>
  <c r="L139" i="24"/>
  <c r="L170" i="24"/>
  <c r="L157" i="24"/>
  <c r="M9" i="28"/>
  <c r="M22" i="28"/>
  <c r="M19" i="28"/>
  <c r="L197" i="24"/>
  <c r="L194" i="24"/>
  <c r="M37" i="28"/>
  <c r="M38" i="28"/>
  <c r="M24" i="28"/>
  <c r="K197" i="24"/>
  <c r="K194" i="24"/>
  <c r="L37" i="28"/>
  <c r="L38" i="28"/>
  <c r="L24" i="28"/>
  <c r="L177" i="24"/>
  <c r="L179" i="24"/>
  <c r="L183" i="24"/>
  <c r="L186" i="24"/>
  <c r="L171" i="24"/>
  <c r="M31" i="28"/>
  <c r="M36" i="28"/>
  <c r="K177" i="24"/>
  <c r="K179" i="24"/>
  <c r="K183" i="24"/>
  <c r="K186" i="24"/>
  <c r="K171" i="24"/>
  <c r="L31" i="28"/>
  <c r="L36" i="28"/>
  <c r="L138" i="24"/>
  <c r="K88" i="16"/>
  <c r="M8" i="28"/>
  <c r="M18" i="28"/>
  <c r="L18" i="28"/>
  <c r="L8" i="28"/>
  <c r="K138" i="24"/>
  <c r="J28" i="23"/>
  <c r="J66" i="23"/>
  <c r="J104" i="23"/>
  <c r="J105" i="23"/>
  <c r="J30" i="23"/>
  <c r="J68" i="23"/>
  <c r="J72" i="23"/>
  <c r="J35" i="23"/>
  <c r="J73" i="23"/>
  <c r="J74" i="23"/>
  <c r="J106" i="23"/>
  <c r="J107" i="23"/>
  <c r="J114" i="23"/>
  <c r="K7" i="28"/>
  <c r="J28" i="24"/>
  <c r="J99" i="24"/>
  <c r="J35" i="24"/>
  <c r="J106" i="24"/>
  <c r="J37" i="24"/>
  <c r="J108" i="24"/>
  <c r="J110" i="23"/>
  <c r="J41" i="24"/>
  <c r="J112" i="24"/>
  <c r="H63" i="16"/>
  <c r="J55" i="24"/>
  <c r="J126" i="24"/>
  <c r="J139" i="24"/>
  <c r="J170" i="24"/>
  <c r="J157" i="24"/>
  <c r="K9" i="28"/>
  <c r="K19" i="28"/>
  <c r="K22" i="28"/>
  <c r="L68" i="24"/>
  <c r="L67" i="24"/>
  <c r="J197" i="24"/>
  <c r="J194" i="24"/>
  <c r="K37" i="28"/>
  <c r="K38" i="28"/>
  <c r="K24" i="28"/>
  <c r="K68" i="24"/>
  <c r="K67" i="24"/>
  <c r="L17" i="28"/>
  <c r="J177" i="24"/>
  <c r="J179" i="24"/>
  <c r="J183" i="24"/>
  <c r="J186" i="24"/>
  <c r="J171" i="24"/>
  <c r="K31" i="28"/>
  <c r="K36" i="28"/>
  <c r="K8" i="28"/>
  <c r="K18" i="28"/>
  <c r="K111" i="23"/>
  <c r="K112" i="23"/>
  <c r="L5" i="28"/>
  <c r="C5" i="22"/>
  <c r="C4" i="22"/>
  <c r="C17" i="22"/>
  <c r="D5" i="22"/>
  <c r="D4" i="22"/>
  <c r="D17" i="22"/>
  <c r="E5" i="22"/>
  <c r="E4" i="22"/>
  <c r="E17" i="22"/>
  <c r="H8" i="18"/>
  <c r="F5" i="22"/>
  <c r="F4" i="22"/>
  <c r="F17" i="22"/>
  <c r="I8" i="18"/>
  <c r="G5" i="22"/>
  <c r="G4" i="22"/>
  <c r="G17" i="22"/>
  <c r="J8" i="18"/>
  <c r="H5" i="22"/>
  <c r="H4" i="22"/>
  <c r="H17" i="22"/>
  <c r="K8" i="18"/>
  <c r="I5" i="22"/>
  <c r="I4" i="22"/>
  <c r="I17" i="22"/>
  <c r="L8" i="18"/>
  <c r="J5" i="22"/>
  <c r="J4" i="22"/>
  <c r="J17" i="22"/>
  <c r="M17" i="22"/>
  <c r="L21" i="28"/>
  <c r="J138" i="24"/>
  <c r="I26" i="26"/>
  <c r="I27" i="26"/>
  <c r="I28" i="26"/>
  <c r="I8" i="29"/>
  <c r="N13" i="15"/>
  <c r="N15" i="15"/>
  <c r="N16" i="15"/>
  <c r="I10" i="29"/>
  <c r="I11" i="29"/>
  <c r="M13" i="15"/>
  <c r="M15" i="15"/>
  <c r="M16" i="15"/>
  <c r="H10" i="29"/>
  <c r="H11" i="29"/>
  <c r="I12" i="29"/>
  <c r="I14" i="29"/>
  <c r="I15" i="29"/>
  <c r="I17" i="29"/>
  <c r="I19" i="29"/>
  <c r="C26" i="26"/>
  <c r="C27" i="26"/>
  <c r="C28" i="26"/>
  <c r="C8" i="29"/>
  <c r="H13" i="15"/>
  <c r="H15" i="15"/>
  <c r="H16" i="15"/>
  <c r="C10" i="29"/>
  <c r="C11" i="29"/>
  <c r="C12" i="29"/>
  <c r="C14" i="29"/>
  <c r="C15" i="29"/>
  <c r="C17" i="29"/>
  <c r="D26" i="26"/>
  <c r="D27" i="26"/>
  <c r="D28" i="26"/>
  <c r="D8" i="29"/>
  <c r="I13" i="15"/>
  <c r="I15" i="15"/>
  <c r="I16" i="15"/>
  <c r="D10" i="29"/>
  <c r="D11" i="29"/>
  <c r="D12" i="29"/>
  <c r="D14" i="29"/>
  <c r="D15" i="29"/>
  <c r="D17" i="29"/>
  <c r="E26" i="26"/>
  <c r="E27" i="26"/>
  <c r="E28" i="26"/>
  <c r="E8" i="29"/>
  <c r="J13" i="15"/>
  <c r="J15" i="15"/>
  <c r="J16" i="15"/>
  <c r="E10" i="29"/>
  <c r="E11" i="29"/>
  <c r="E12" i="29"/>
  <c r="E14" i="29"/>
  <c r="E15" i="29"/>
  <c r="E17" i="29"/>
  <c r="F26" i="26"/>
  <c r="F27" i="26"/>
  <c r="F28" i="26"/>
  <c r="F8" i="29"/>
  <c r="K13" i="15"/>
  <c r="K15" i="15"/>
  <c r="K16" i="15"/>
  <c r="F10" i="29"/>
  <c r="F11" i="29"/>
  <c r="F12" i="29"/>
  <c r="F14" i="29"/>
  <c r="F15" i="29"/>
  <c r="F17" i="29"/>
  <c r="G26" i="26"/>
  <c r="G27" i="26"/>
  <c r="G28" i="26"/>
  <c r="G8" i="29"/>
  <c r="L13" i="15"/>
  <c r="L15" i="15"/>
  <c r="L16" i="15"/>
  <c r="G10" i="29"/>
  <c r="G11" i="29"/>
  <c r="G12" i="29"/>
  <c r="G14" i="29"/>
  <c r="G15" i="29"/>
  <c r="G17" i="29"/>
  <c r="H26" i="26"/>
  <c r="H27" i="26"/>
  <c r="H28" i="26"/>
  <c r="H8" i="29"/>
  <c r="H12" i="29"/>
  <c r="H14" i="29"/>
  <c r="H15" i="29"/>
  <c r="H17" i="29"/>
  <c r="J8" i="29"/>
  <c r="J12" i="29"/>
  <c r="J14" i="29"/>
  <c r="J15" i="29"/>
  <c r="J17" i="29"/>
  <c r="C20" i="29"/>
  <c r="C21" i="29"/>
  <c r="H18" i="15"/>
  <c r="C30" i="22"/>
  <c r="I18" i="15"/>
  <c r="D30" i="22"/>
  <c r="J18" i="15"/>
  <c r="E30" i="22"/>
  <c r="K18" i="15"/>
  <c r="F30" i="22"/>
  <c r="L18" i="15"/>
  <c r="G30" i="22"/>
  <c r="M18" i="15"/>
  <c r="H30" i="22"/>
  <c r="N18" i="15"/>
  <c r="I30" i="22"/>
  <c r="O18" i="15"/>
  <c r="J30" i="22"/>
  <c r="K30" i="22"/>
  <c r="M30" i="22"/>
  <c r="J88" i="16"/>
  <c r="M5" i="22"/>
  <c r="M4" i="22"/>
  <c r="J8" i="27"/>
  <c r="J9" i="27"/>
  <c r="J11" i="27"/>
  <c r="J12" i="27"/>
  <c r="J14" i="27"/>
  <c r="J16" i="27"/>
  <c r="T79" i="13"/>
  <c r="T80" i="13"/>
  <c r="I8" i="27"/>
  <c r="I9" i="27"/>
  <c r="I11" i="27"/>
  <c r="I12" i="27"/>
  <c r="I14" i="27"/>
  <c r="I16" i="27"/>
  <c r="R79" i="13"/>
  <c r="R80" i="13"/>
  <c r="J19" i="29"/>
  <c r="J68" i="24"/>
  <c r="J67" i="24"/>
  <c r="K17" i="28"/>
  <c r="I29" i="26"/>
  <c r="I28" i="23"/>
  <c r="I66" i="23"/>
  <c r="I104" i="23"/>
  <c r="I105" i="23"/>
  <c r="I30" i="23"/>
  <c r="I68" i="23"/>
  <c r="I72" i="23"/>
  <c r="I35" i="23"/>
  <c r="I73" i="23"/>
  <c r="I74" i="23"/>
  <c r="I106" i="23"/>
  <c r="I107" i="23"/>
  <c r="I114" i="23"/>
  <c r="J7" i="28"/>
  <c r="I28" i="24"/>
  <c r="I99" i="24"/>
  <c r="I35" i="24"/>
  <c r="I106" i="24"/>
  <c r="I37" i="24"/>
  <c r="I108" i="24"/>
  <c r="I110" i="23"/>
  <c r="I41" i="24"/>
  <c r="I112" i="24"/>
  <c r="G63" i="16"/>
  <c r="I55" i="24"/>
  <c r="I126" i="24"/>
  <c r="I139" i="24"/>
  <c r="I170" i="24"/>
  <c r="I157" i="24"/>
  <c r="J9" i="28"/>
  <c r="J19" i="28"/>
  <c r="J22" i="28"/>
  <c r="K34" i="23"/>
  <c r="K36" i="23"/>
  <c r="J111" i="23"/>
  <c r="J112" i="23"/>
  <c r="K5" i="28"/>
  <c r="K21" i="28"/>
  <c r="I33" i="11"/>
  <c r="I197" i="24"/>
  <c r="I194" i="24"/>
  <c r="J37" i="28"/>
  <c r="J38" i="28"/>
  <c r="J24" i="28"/>
  <c r="H8" i="27"/>
  <c r="H9" i="27"/>
  <c r="H11" i="27"/>
  <c r="H12" i="27"/>
  <c r="H14" i="27"/>
  <c r="H16" i="27"/>
  <c r="P79" i="13"/>
  <c r="P80" i="13"/>
  <c r="I177" i="24"/>
  <c r="I179" i="24"/>
  <c r="I183" i="24"/>
  <c r="I186" i="24"/>
  <c r="I171" i="24"/>
  <c r="J31" i="28"/>
  <c r="J36" i="28"/>
  <c r="H28" i="23"/>
  <c r="H66" i="23"/>
  <c r="H104" i="23"/>
  <c r="H105" i="23"/>
  <c r="H30" i="23"/>
  <c r="H68" i="23"/>
  <c r="H72" i="23"/>
  <c r="H35" i="23"/>
  <c r="H73" i="23"/>
  <c r="H74" i="23"/>
  <c r="H106" i="23"/>
  <c r="H107" i="23"/>
  <c r="H114" i="23"/>
  <c r="I7" i="28"/>
  <c r="H28" i="24"/>
  <c r="H99" i="24"/>
  <c r="H35" i="24"/>
  <c r="H106" i="24"/>
  <c r="H37" i="24"/>
  <c r="H108" i="24"/>
  <c r="H110" i="23"/>
  <c r="H41" i="24"/>
  <c r="H112" i="24"/>
  <c r="F63" i="16"/>
  <c r="H55" i="24"/>
  <c r="H126" i="24"/>
  <c r="H139" i="24"/>
  <c r="H170" i="24"/>
  <c r="H157" i="24"/>
  <c r="I9" i="28"/>
  <c r="I19" i="28"/>
  <c r="I22" i="28"/>
  <c r="H19" i="29"/>
  <c r="J18" i="28"/>
  <c r="J8" i="28"/>
  <c r="I138" i="24"/>
  <c r="I88" i="16"/>
  <c r="J34" i="23"/>
  <c r="J36" i="23"/>
  <c r="H29" i="26"/>
  <c r="H197" i="24"/>
  <c r="H194" i="24"/>
  <c r="I37" i="28"/>
  <c r="I38" i="28"/>
  <c r="I24" i="28"/>
  <c r="G28" i="24"/>
  <c r="G99" i="24"/>
  <c r="G35" i="24"/>
  <c r="G106" i="24"/>
  <c r="G37" i="24"/>
  <c r="G108" i="24"/>
  <c r="G28" i="23"/>
  <c r="G66" i="23"/>
  <c r="G104" i="23"/>
  <c r="G30" i="23"/>
  <c r="G68" i="23"/>
  <c r="G72" i="23"/>
  <c r="G35" i="23"/>
  <c r="G73" i="23"/>
  <c r="G74" i="23"/>
  <c r="G106" i="23"/>
  <c r="G110" i="23"/>
  <c r="G41" i="24"/>
  <c r="G112" i="24"/>
  <c r="E63" i="16"/>
  <c r="G55" i="24"/>
  <c r="G126" i="24"/>
  <c r="G139" i="24"/>
  <c r="G170" i="24"/>
  <c r="G157" i="24"/>
  <c r="H9" i="28"/>
  <c r="H22" i="28"/>
  <c r="G105" i="23"/>
  <c r="G107" i="23"/>
  <c r="G114" i="23"/>
  <c r="H7" i="28"/>
  <c r="H19" i="28"/>
  <c r="J17" i="28"/>
  <c r="H33" i="11"/>
  <c r="H177" i="24"/>
  <c r="H179" i="24"/>
  <c r="H183" i="24"/>
  <c r="H186" i="24"/>
  <c r="H171" i="24"/>
  <c r="I31" i="28"/>
  <c r="I36" i="28"/>
  <c r="G197" i="24"/>
  <c r="G194" i="24"/>
  <c r="H38" i="28"/>
  <c r="H24" i="28"/>
  <c r="H37" i="28"/>
  <c r="G177" i="24"/>
  <c r="G179" i="24"/>
  <c r="G183" i="24"/>
  <c r="G186" i="24"/>
  <c r="G171" i="24"/>
  <c r="H31" i="28"/>
  <c r="H138" i="24"/>
  <c r="I68" i="24"/>
  <c r="I67" i="24"/>
  <c r="J21" i="28"/>
  <c r="I18" i="28"/>
  <c r="I8" i="28"/>
  <c r="H68" i="24"/>
  <c r="H67" i="24"/>
  <c r="H36" i="28"/>
  <c r="J5" i="28"/>
  <c r="I111" i="23"/>
  <c r="I112" i="23"/>
  <c r="H88" i="16"/>
  <c r="N79" i="13"/>
  <c r="N80" i="13"/>
  <c r="G8" i="27"/>
  <c r="G9" i="27"/>
  <c r="G11" i="27"/>
  <c r="G12" i="27"/>
  <c r="G14" i="27"/>
  <c r="G16" i="27"/>
  <c r="G19" i="29"/>
  <c r="F79" i="13"/>
  <c r="H79" i="13"/>
  <c r="J79" i="13"/>
  <c r="L79" i="13"/>
  <c r="D79" i="13"/>
  <c r="D80" i="13"/>
  <c r="C82" i="13"/>
  <c r="C84" i="13"/>
  <c r="L80" i="13"/>
  <c r="H111" i="23"/>
  <c r="H112" i="23"/>
  <c r="I5" i="28"/>
  <c r="C8" i="27"/>
  <c r="C9" i="27"/>
  <c r="C11" i="27"/>
  <c r="C12" i="27"/>
  <c r="C14" i="27"/>
  <c r="D8" i="27"/>
  <c r="D9" i="27"/>
  <c r="D11" i="27"/>
  <c r="D12" i="27"/>
  <c r="D14" i="27"/>
  <c r="E8" i="27"/>
  <c r="E9" i="27"/>
  <c r="E11" i="27"/>
  <c r="E12" i="27"/>
  <c r="E14" i="27"/>
  <c r="F8" i="27"/>
  <c r="F9" i="27"/>
  <c r="F11" i="27"/>
  <c r="F12" i="27"/>
  <c r="F14" i="27"/>
  <c r="C18" i="27"/>
  <c r="F16" i="27"/>
  <c r="C17" i="27"/>
  <c r="I17" i="28"/>
  <c r="I21" i="28"/>
  <c r="G138" i="24"/>
  <c r="H8" i="28"/>
  <c r="H18" i="28"/>
  <c r="G29" i="26"/>
  <c r="G88" i="16"/>
  <c r="G33" i="11"/>
  <c r="I34" i="23"/>
  <c r="I36" i="23"/>
  <c r="F28" i="23"/>
  <c r="F66" i="23"/>
  <c r="F104" i="23"/>
  <c r="F105" i="23"/>
  <c r="F30" i="23"/>
  <c r="F68" i="23"/>
  <c r="F72" i="23"/>
  <c r="F35" i="23"/>
  <c r="F73" i="23"/>
  <c r="F74" i="23"/>
  <c r="F106" i="23"/>
  <c r="F107" i="23"/>
  <c r="F114" i="23"/>
  <c r="G7" i="28"/>
  <c r="F28" i="24"/>
  <c r="F99" i="24"/>
  <c r="F35" i="24"/>
  <c r="F106" i="24"/>
  <c r="F37" i="24"/>
  <c r="F108" i="24"/>
  <c r="F110" i="23"/>
  <c r="F41" i="24"/>
  <c r="F112" i="24"/>
  <c r="D63" i="16"/>
  <c r="F55" i="24"/>
  <c r="F126" i="24"/>
  <c r="F139" i="24"/>
  <c r="F170" i="24"/>
  <c r="F157" i="24"/>
  <c r="G9" i="28"/>
  <c r="G19" i="28"/>
  <c r="G22" i="28"/>
  <c r="H34" i="23"/>
  <c r="H36" i="23"/>
  <c r="F19" i="29"/>
  <c r="C8" i="18"/>
  <c r="C9" i="18"/>
  <c r="G68" i="24"/>
  <c r="G67" i="24"/>
  <c r="F197" i="24"/>
  <c r="F194" i="24"/>
  <c r="G37" i="28"/>
  <c r="G38" i="28"/>
  <c r="G24" i="28"/>
  <c r="F177" i="24"/>
  <c r="F179" i="24"/>
  <c r="F183" i="24"/>
  <c r="F186" i="24"/>
  <c r="F171" i="24"/>
  <c r="G31" i="28"/>
  <c r="H21" i="28"/>
  <c r="H17" i="28"/>
  <c r="H5" i="28"/>
  <c r="G111" i="23"/>
  <c r="G112" i="23"/>
  <c r="G36" i="28"/>
  <c r="F29" i="26"/>
  <c r="F33" i="11"/>
  <c r="E351" i="4"/>
  <c r="F88" i="16"/>
  <c r="F138" i="24"/>
  <c r="J80" i="13"/>
  <c r="G34" i="23"/>
  <c r="G36" i="23"/>
  <c r="F68" i="24"/>
  <c r="F67" i="24"/>
  <c r="E16" i="27"/>
  <c r="E19" i="29"/>
  <c r="E29" i="26"/>
  <c r="G18" i="28"/>
  <c r="G8" i="28"/>
  <c r="G17" i="28"/>
  <c r="G21" i="28"/>
  <c r="H80" i="13"/>
  <c r="F111" i="23"/>
  <c r="F112" i="23"/>
  <c r="G5" i="28"/>
  <c r="E88" i="16"/>
  <c r="D16" i="27"/>
  <c r="D19" i="29"/>
  <c r="F34" i="23"/>
  <c r="F36" i="23"/>
  <c r="D29" i="26"/>
  <c r="E28" i="23"/>
  <c r="E66" i="23"/>
  <c r="E104" i="23"/>
  <c r="E105" i="23"/>
  <c r="E30" i="23"/>
  <c r="E68" i="23"/>
  <c r="E72" i="23"/>
  <c r="E35" i="23"/>
  <c r="E73" i="23"/>
  <c r="E74" i="23"/>
  <c r="E106" i="23"/>
  <c r="E107" i="23"/>
  <c r="E110" i="23"/>
  <c r="E41" i="24"/>
  <c r="E112" i="24"/>
  <c r="E183" i="24"/>
  <c r="E186" i="24"/>
  <c r="F18" i="28"/>
  <c r="F8" i="28"/>
  <c r="E114" i="23"/>
  <c r="F7" i="28"/>
  <c r="F17" i="28"/>
  <c r="F80" i="13"/>
  <c r="F21" i="28"/>
  <c r="D88" i="16"/>
  <c r="C16" i="27"/>
  <c r="E111" i="23"/>
  <c r="E112" i="23"/>
  <c r="F5" i="28"/>
  <c r="C19" i="29"/>
  <c r="E34" i="23"/>
  <c r="E36" i="23"/>
  <c r="C29" i="26"/>
  <c r="F33" i="28"/>
  <c r="F10" i="28"/>
  <c r="G10" i="28"/>
  <c r="G33" i="28"/>
  <c r="C40" i="6"/>
  <c r="C45" i="6"/>
  <c r="C46" i="6"/>
  <c r="C47" i="6"/>
  <c r="C50" i="6"/>
  <c r="C53" i="6"/>
  <c r="D9" i="6"/>
  <c r="D10" i="6"/>
  <c r="D40" i="6"/>
  <c r="D45" i="6"/>
  <c r="D46" i="6"/>
  <c r="D47" i="6"/>
  <c r="D49" i="6"/>
  <c r="D50" i="6"/>
  <c r="D53" i="6"/>
  <c r="C63" i="16"/>
  <c r="E55" i="24"/>
  <c r="E126" i="24"/>
  <c r="E197" i="24"/>
  <c r="E194" i="24"/>
  <c r="E206" i="24"/>
  <c r="F35" i="28"/>
  <c r="F34" i="28"/>
  <c r="E207" i="24"/>
  <c r="F20" i="28"/>
  <c r="C51" i="16"/>
  <c r="C33" i="16"/>
  <c r="C34" i="16"/>
  <c r="C35" i="16"/>
  <c r="C76" i="16"/>
  <c r="C72" i="16"/>
  <c r="C73" i="16"/>
  <c r="C74" i="16"/>
  <c r="C75" i="16"/>
  <c r="E28" i="24"/>
  <c r="E68" i="24"/>
  <c r="E67" i="24"/>
  <c r="E48" i="16"/>
  <c r="E51" i="16"/>
  <c r="E34" i="16"/>
  <c r="E35" i="16"/>
  <c r="E76" i="16"/>
  <c r="E9" i="6"/>
  <c r="E10" i="6"/>
  <c r="E40" i="6"/>
  <c r="E45" i="6"/>
  <c r="E46" i="6"/>
  <c r="E47" i="6"/>
  <c r="E49" i="6"/>
  <c r="E50" i="6"/>
  <c r="E53" i="6"/>
  <c r="F32" i="28"/>
  <c r="F206" i="24"/>
  <c r="G35" i="28"/>
  <c r="F207" i="24"/>
  <c r="G20" i="28"/>
  <c r="G34" i="28"/>
  <c r="G206" i="24"/>
  <c r="H35" i="28"/>
  <c r="E99" i="24"/>
  <c r="E139" i="24"/>
  <c r="E138" i="24"/>
  <c r="D48" i="16"/>
  <c r="D51" i="16"/>
  <c r="D34" i="16"/>
  <c r="D35" i="16"/>
  <c r="D76" i="16"/>
  <c r="D72" i="16"/>
  <c r="D73" i="16"/>
  <c r="D74" i="16"/>
  <c r="D75" i="16"/>
  <c r="E72" i="16"/>
  <c r="E73" i="16"/>
  <c r="E74" i="16"/>
  <c r="E75" i="16"/>
  <c r="G32" i="28"/>
  <c r="E170" i="24"/>
  <c r="F36" i="28"/>
  <c r="E171" i="24"/>
  <c r="F31" i="28"/>
  <c r="E210" i="24"/>
  <c r="E209" i="24"/>
  <c r="E157" i="24"/>
  <c r="F24" i="28"/>
  <c r="F38" i="28"/>
  <c r="F37" i="28"/>
  <c r="F210" i="24"/>
  <c r="F209" i="24"/>
  <c r="F9" i="28"/>
  <c r="F22" i="28"/>
  <c r="F19" i="28"/>
  <c r="F48" i="16"/>
  <c r="F51" i="16"/>
  <c r="F34" i="16"/>
  <c r="F35" i="16"/>
  <c r="F76" i="16"/>
  <c r="F9" i="6"/>
  <c r="F10" i="6"/>
  <c r="F40" i="6"/>
  <c r="F45" i="6"/>
  <c r="F46" i="6"/>
  <c r="F47" i="6"/>
  <c r="F49" i="6"/>
  <c r="F50" i="6"/>
  <c r="F53" i="6"/>
  <c r="H206" i="24"/>
  <c r="I35" i="28"/>
  <c r="F72" i="16"/>
  <c r="F73" i="16"/>
  <c r="F74" i="16"/>
  <c r="F75" i="16"/>
  <c r="G9" i="6"/>
  <c r="G10" i="6"/>
  <c r="G40" i="6"/>
  <c r="G45" i="6"/>
  <c r="G46" i="6"/>
  <c r="G47" i="6"/>
  <c r="G49" i="6"/>
  <c r="G50" i="6"/>
  <c r="G53" i="6"/>
  <c r="H10" i="28"/>
  <c r="H34" i="28"/>
  <c r="H33" i="28"/>
  <c r="G48" i="16"/>
  <c r="G51" i="16"/>
  <c r="G34" i="16"/>
  <c r="G35" i="16"/>
  <c r="G76" i="16"/>
  <c r="I206" i="24"/>
  <c r="J35" i="28"/>
  <c r="G207" i="24"/>
  <c r="H32" i="28"/>
  <c r="H20" i="28"/>
  <c r="G72" i="16"/>
  <c r="G73" i="16"/>
  <c r="G74" i="16"/>
  <c r="G75" i="16"/>
  <c r="I34" i="28"/>
  <c r="I33" i="28"/>
  <c r="I10" i="28"/>
  <c r="G210" i="24"/>
  <c r="G209" i="24"/>
  <c r="H9" i="6"/>
  <c r="H10" i="6"/>
  <c r="H40" i="6"/>
  <c r="H45" i="6"/>
  <c r="H46" i="6"/>
  <c r="H47" i="6"/>
  <c r="H49" i="6"/>
  <c r="H50" i="6"/>
  <c r="H53" i="6"/>
  <c r="H207" i="24"/>
  <c r="I32" i="28"/>
  <c r="I20" i="28"/>
  <c r="L206" i="24"/>
  <c r="M35" i="28"/>
  <c r="H48" i="16"/>
  <c r="H51" i="16"/>
  <c r="H34" i="16"/>
  <c r="H35" i="16"/>
  <c r="H76" i="16"/>
  <c r="H210" i="24"/>
  <c r="H209" i="24"/>
  <c r="J34" i="28"/>
  <c r="J33" i="28"/>
  <c r="J10" i="28"/>
  <c r="J206" i="24"/>
  <c r="K35" i="28"/>
  <c r="H72" i="16"/>
  <c r="H73" i="16"/>
  <c r="H74" i="16"/>
  <c r="H75" i="16"/>
  <c r="I207" i="24"/>
  <c r="J32" i="28"/>
  <c r="J20" i="28"/>
  <c r="I210" i="24"/>
  <c r="I209" i="24"/>
  <c r="I9" i="6"/>
  <c r="I10" i="6"/>
  <c r="I40" i="6"/>
  <c r="I45" i="6"/>
  <c r="I46" i="6"/>
  <c r="I47" i="6"/>
  <c r="I49" i="6"/>
  <c r="I50" i="6"/>
  <c r="I53" i="6"/>
  <c r="K206" i="24"/>
  <c r="L35" i="28"/>
  <c r="I48" i="16"/>
  <c r="I51" i="16"/>
  <c r="I72" i="16"/>
  <c r="I73" i="16"/>
  <c r="I74" i="16"/>
  <c r="I34" i="16"/>
  <c r="I35" i="16"/>
  <c r="I75" i="16"/>
  <c r="I76" i="16"/>
  <c r="J9" i="6"/>
  <c r="J10" i="6"/>
  <c r="J40" i="6"/>
  <c r="J45" i="6"/>
  <c r="J46" i="6"/>
  <c r="J47" i="6"/>
  <c r="J49" i="6"/>
  <c r="J50" i="6"/>
  <c r="J53" i="6"/>
  <c r="K44" i="20"/>
  <c r="K9" i="6"/>
  <c r="K10" i="6"/>
  <c r="K47" i="6"/>
  <c r="K49" i="6"/>
  <c r="K50" i="6"/>
  <c r="K47" i="20"/>
  <c r="K49" i="20"/>
  <c r="K53" i="6"/>
  <c r="K33" i="28"/>
  <c r="K10" i="28"/>
  <c r="K34" i="28"/>
  <c r="C32" i="22"/>
  <c r="C33" i="22"/>
  <c r="D32" i="22"/>
  <c r="D33" i="22"/>
  <c r="E32" i="22"/>
  <c r="E33" i="22"/>
  <c r="F32" i="22"/>
  <c r="F33" i="22"/>
  <c r="G32" i="22"/>
  <c r="G33" i="22"/>
  <c r="H32" i="22"/>
  <c r="H33" i="22"/>
  <c r="I32" i="22"/>
  <c r="I33" i="22"/>
  <c r="J32" i="22"/>
  <c r="J33" i="22"/>
  <c r="K32" i="22"/>
  <c r="K33" i="22"/>
  <c r="M33" i="22"/>
  <c r="M32" i="22"/>
  <c r="J207" i="24"/>
  <c r="K20" i="28"/>
  <c r="K32" i="28"/>
  <c r="L49" i="6"/>
  <c r="L50" i="6"/>
  <c r="L53" i="6"/>
  <c r="J210" i="24"/>
  <c r="J209" i="24"/>
  <c r="J48" i="16"/>
  <c r="J51" i="16"/>
  <c r="J72" i="16"/>
  <c r="J73" i="16"/>
  <c r="J74" i="16"/>
  <c r="J34" i="16"/>
  <c r="J35" i="16"/>
  <c r="J75" i="16"/>
  <c r="J76" i="16"/>
  <c r="L33" i="28"/>
  <c r="L34" i="28"/>
  <c r="L10" i="28"/>
  <c r="M34" i="28"/>
  <c r="M33" i="28"/>
  <c r="M10" i="28"/>
  <c r="K207" i="24"/>
  <c r="L20" i="28"/>
  <c r="L32" i="28"/>
  <c r="L207" i="24"/>
  <c r="M32" i="28"/>
  <c r="M20" i="28"/>
  <c r="L210" i="24"/>
  <c r="L209" i="24"/>
  <c r="K210" i="24"/>
  <c r="K209" i="24"/>
  <c r="K48" i="16"/>
  <c r="K51" i="16"/>
  <c r="K34" i="16"/>
  <c r="K35" i="16"/>
  <c r="K76" i="16"/>
  <c r="K74" i="16"/>
  <c r="K75" i="16"/>
  <c r="L42" i="16"/>
  <c r="L44" i="16"/>
  <c r="L48" i="16"/>
  <c r="L51" i="16"/>
  <c r="L34" i="16"/>
  <c r="L35" i="16"/>
  <c r="L76" i="16"/>
  <c r="L74" i="16"/>
  <c r="L75" i="16"/>
  <c r="F9" i="18"/>
  <c r="F24" i="18"/>
  <c r="E9" i="18"/>
  <c r="E24" i="18"/>
  <c r="L9" i="18"/>
  <c r="L24" i="18"/>
  <c r="K9" i="18"/>
  <c r="K24" i="18"/>
  <c r="J9" i="18"/>
  <c r="J24" i="18"/>
  <c r="I9" i="18"/>
  <c r="I24" i="18"/>
  <c r="H9" i="18"/>
  <c r="H24" i="18"/>
  <c r="G9" i="18"/>
  <c r="G24" i="18"/>
</calcChain>
</file>

<file path=xl/comments1.xml><?xml version="1.0" encoding="utf-8"?>
<comments xmlns="http://schemas.openxmlformats.org/spreadsheetml/2006/main">
  <authors>
    <author>Miguel Gonçalves</author>
  </authors>
  <commentList>
    <comment ref="B32" authorId="0" shapeId="0">
      <text>
        <r>
          <rPr>
            <b/>
            <sz val="9"/>
            <color indexed="81"/>
            <rFont val="Tahoma"/>
            <family val="2"/>
          </rPr>
          <t>Miguel Gonçalves:</t>
        </r>
        <r>
          <rPr>
            <sz val="9"/>
            <color indexed="81"/>
            <rFont val="Tahoma"/>
            <family val="2"/>
          </rPr>
          <t xml:space="preserve">
Procurar por: INFORMAÇÃO POR ACTIVIDADES</t>
        </r>
      </text>
    </comment>
  </commentList>
</comments>
</file>

<file path=xl/comments2.xml><?xml version="1.0" encoding="utf-8"?>
<comments xmlns="http://schemas.openxmlformats.org/spreadsheetml/2006/main">
  <authors>
    <author>Miguel Gonçalves</author>
  </authors>
  <commentList>
    <comment ref="B84" authorId="0" shapeId="0">
      <text>
        <r>
          <rPr>
            <b/>
            <sz val="9"/>
            <color indexed="81"/>
            <rFont val="Tahoma"/>
            <family val="2"/>
          </rPr>
          <t>Miguel Gonçalves:</t>
        </r>
        <r>
          <rPr>
            <sz val="9"/>
            <color indexed="81"/>
            <rFont val="Tahoma"/>
            <family val="2"/>
          </rPr>
          <t xml:space="preserve">
Conta 438 Saldo Credor</t>
        </r>
      </text>
    </comment>
    <comment ref="B86" authorId="0" shapeId="0">
      <text>
        <r>
          <rPr>
            <b/>
            <sz val="9"/>
            <color indexed="81"/>
            <rFont val="Tahoma"/>
            <family val="2"/>
          </rPr>
          <t>Miguel Gonçalves:</t>
        </r>
        <r>
          <rPr>
            <sz val="9"/>
            <color indexed="81"/>
            <rFont val="Tahoma"/>
            <family val="2"/>
          </rPr>
          <t xml:space="preserve">
Conta 448 Saldo Credor</t>
        </r>
      </text>
    </comment>
  </commentList>
</comments>
</file>

<file path=xl/comments3.xml><?xml version="1.0" encoding="utf-8"?>
<comments xmlns="http://schemas.openxmlformats.org/spreadsheetml/2006/main">
  <authors>
    <author>Liliana Batista</author>
  </authors>
  <commentList>
    <comment ref="F288" authorId="0" shapeId="0">
      <text>
        <r>
          <rPr>
            <b/>
            <sz val="9"/>
            <color indexed="81"/>
            <rFont val="Tahoma"/>
            <family val="2"/>
          </rPr>
          <t>Liliana Batista:</t>
        </r>
        <r>
          <rPr>
            <sz val="9"/>
            <color indexed="81"/>
            <rFont val="Tahoma"/>
            <family val="2"/>
          </rPr>
          <t xml:space="preserve">
Retirar os montantes do Inovação</t>
        </r>
      </text>
    </comment>
  </commentList>
</comments>
</file>

<file path=xl/comments4.xml><?xml version="1.0" encoding="utf-8"?>
<comments xmlns="http://schemas.openxmlformats.org/spreadsheetml/2006/main">
  <authors>
    <author>Miguel Gonçalves</author>
  </authors>
  <commentList>
    <comment ref="C89" authorId="0" shapeId="0">
      <text>
        <r>
          <rPr>
            <sz val="8"/>
            <color indexed="81"/>
            <rFont val="Tahoma"/>
            <family val="2"/>
          </rPr>
          <t>Pode-se assumir valores diferentes. Mas pode ser 10. Precisavamos de muitos mais dados da empresa.</t>
        </r>
      </text>
    </comment>
  </commentList>
</comments>
</file>

<file path=xl/comments5.xml><?xml version="1.0" encoding="utf-8"?>
<comments xmlns="http://schemas.openxmlformats.org/spreadsheetml/2006/main">
  <authors>
    <author>Miguel Gonçalves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>Miguel Gonçalves:</t>
        </r>
        <r>
          <rPr>
            <sz val="9"/>
            <color indexed="81"/>
            <rFont val="Tahoma"/>
            <family val="2"/>
          </rPr>
          <t xml:space="preserve">
Ver a IES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Miguel Gonçalves:</t>
        </r>
        <r>
          <rPr>
            <sz val="9"/>
            <color indexed="81"/>
            <rFont val="Tahoma"/>
            <family val="2"/>
          </rPr>
          <t xml:space="preserve">
Valor diretamente imputável a cada país para ter ideia da % imputada a cada um deles (valor para feiras, prospeção, showrooms, Estudos de Mercado,…)</t>
        </r>
      </text>
    </comment>
  </commentList>
</comments>
</file>

<file path=xl/sharedStrings.xml><?xml version="1.0" encoding="utf-8"?>
<sst xmlns="http://schemas.openxmlformats.org/spreadsheetml/2006/main" count="4071" uniqueCount="1457">
  <si>
    <t>Pressupostos para o Projeto Financeiro</t>
  </si>
  <si>
    <t>NUTS II</t>
  </si>
  <si>
    <t>Estamos no ano de</t>
  </si>
  <si>
    <t>Ano de início do projeto</t>
  </si>
  <si>
    <t>Perpet.</t>
  </si>
  <si>
    <t>Crescimento Real das Vendas</t>
  </si>
  <si>
    <t>Vendas</t>
  </si>
  <si>
    <t>Prestação de Serviços</t>
  </si>
  <si>
    <t>Quantos meses de trabalho a considerar</t>
  </si>
  <si>
    <t>Taxa de crescimento nominal dos Salários</t>
  </si>
  <si>
    <t>Taxa Social (23,75%) mais seguros diversos (2.5%)</t>
  </si>
  <si>
    <t>Qual é o diferimento da SS (meses)</t>
  </si>
  <si>
    <t>Qual é a Taxa do IVA</t>
  </si>
  <si>
    <t>Qual é o diferimento do IVA (meses)</t>
  </si>
  <si>
    <t>Qual é o imposto de selo</t>
  </si>
  <si>
    <t>Tx. Sem risco (10y OTs)</t>
  </si>
  <si>
    <t>Prémio risco mercado</t>
  </si>
  <si>
    <t xml:space="preserve"> Prémio globalmente aceite para países desenvolvidos</t>
  </si>
  <si>
    <t>IRC</t>
  </si>
  <si>
    <t>Derrama (Porto)</t>
  </si>
  <si>
    <t>Taxa Imposto (IRC+Derrama)</t>
  </si>
  <si>
    <t>Clientes - PMR</t>
  </si>
  <si>
    <t>Fornecedores - PMP</t>
  </si>
  <si>
    <t>Existências</t>
  </si>
  <si>
    <t>Taxa Juro Empréstimo Normal</t>
  </si>
  <si>
    <t>Taxa Juro Bonificada</t>
  </si>
  <si>
    <t>Prazos Médios (dias)</t>
  </si>
  <si>
    <t>Inflação anual prevista</t>
  </si>
  <si>
    <t>Promotor</t>
  </si>
  <si>
    <t>Tipologia do Projeto</t>
  </si>
  <si>
    <t>Dias de operação anuais</t>
  </si>
  <si>
    <t>Taxa</t>
  </si>
  <si>
    <t>Spread</t>
  </si>
  <si>
    <t>DEMONSTRAÇÃO DE RESULTADOS DO PROMOTOR</t>
  </si>
  <si>
    <t>DEMONSTRAÇÃO DOS RESULTADOS POR NATUREZAS</t>
  </si>
  <si>
    <r>
      <t xml:space="preserve"> </t>
    </r>
    <r>
      <rPr>
        <b/>
        <sz val="8"/>
        <rFont val="Calibri"/>
        <family val="2"/>
        <scheme val="minor"/>
      </rPr>
      <t>UNIDADE: EUROS</t>
    </r>
  </si>
  <si>
    <t>RÚBRICAS</t>
  </si>
  <si>
    <t>CÓDIGO</t>
  </si>
  <si>
    <t>SNC</t>
  </si>
  <si>
    <t>Vendas e serviços prestados</t>
  </si>
  <si>
    <t>Subsídios à exploração</t>
  </si>
  <si>
    <t>Ganhos/perdas imputados de subsidiárias, associadas e empreendimentos conjuntos</t>
  </si>
  <si>
    <t>Variação nos inventários da produção</t>
  </si>
  <si>
    <t>Trabalhos para a própria entidade</t>
  </si>
  <si>
    <t>Custo das mercadorias vendidas e das matérias consumidas</t>
  </si>
  <si>
    <t>Fornecimentos e serviços externos</t>
  </si>
  <si>
    <t>Gastos com o pessoal</t>
  </si>
  <si>
    <t>Imparidade de inventários (perdas/reversões)</t>
  </si>
  <si>
    <t>Imparidade de dívidas a receber (perdas/reversões)</t>
  </si>
  <si>
    <t>Provisões (aumentos/reduções)</t>
  </si>
  <si>
    <t>Imparidade de investimentos não depreciáveis/amortizáveis (perdas/reversões)</t>
  </si>
  <si>
    <t>Outras imparidades (perdas/reversões)/Imparidades</t>
  </si>
  <si>
    <t>Aumentos/reduções de justo valor</t>
  </si>
  <si>
    <t>Outros rendimentos e ganhos</t>
  </si>
  <si>
    <t>Outros gastos e perdas</t>
  </si>
  <si>
    <t>Resultado antes de depreciações, gastos de financiamento e impostos</t>
  </si>
  <si>
    <t>Gastos/reversões de depreciação e de amortização</t>
  </si>
  <si>
    <t>Imparidade de investimentos depreciáveis/amortizáveis</t>
  </si>
  <si>
    <t>Resultado operacional (antes de gastos de financiamento e impostos)</t>
  </si>
  <si>
    <t>Juros e rendimentos similares obtidos</t>
  </si>
  <si>
    <t>Juros e gastos similares suportados</t>
  </si>
  <si>
    <t xml:space="preserve">Resultado antes de impostos </t>
  </si>
  <si>
    <t>Imposto sobre o rendimento do período</t>
  </si>
  <si>
    <t>Resultado líquido do período</t>
  </si>
  <si>
    <t>Compras</t>
  </si>
  <si>
    <t>Meios Libertos</t>
  </si>
  <si>
    <t xml:space="preserve">     Produtos</t>
  </si>
  <si>
    <t xml:space="preserve">     Mercadorias</t>
  </si>
  <si>
    <t>Diferença</t>
  </si>
  <si>
    <r>
      <t xml:space="preserve"> </t>
    </r>
    <r>
      <rPr>
        <b/>
        <sz val="8"/>
        <color indexed="9"/>
        <rFont val="Calibri"/>
        <family val="2"/>
        <scheme val="minor"/>
      </rPr>
      <t xml:space="preserve"> BALANÇOS DO PROMOTOR</t>
    </r>
  </si>
  <si>
    <t>UNIDADE: EUROS</t>
  </si>
  <si>
    <t>ATIVO</t>
  </si>
  <si>
    <t>Ativo não corrente</t>
  </si>
  <si>
    <t>Ativos fixos tangíveis</t>
  </si>
  <si>
    <t>Propriedades de investimento</t>
  </si>
  <si>
    <t>Goodwill</t>
  </si>
  <si>
    <t>Ativos intangíveis</t>
  </si>
  <si>
    <t>Ativos biológicos</t>
  </si>
  <si>
    <t>Participações financeiras - método da equivalência patrimonial</t>
  </si>
  <si>
    <t>Participações financeiras - outros métodos</t>
  </si>
  <si>
    <t>Acionistas/sócios</t>
  </si>
  <si>
    <t>Outros ativos financeiros</t>
  </si>
  <si>
    <t>Ativos por impostos diferidos</t>
  </si>
  <si>
    <t>Investimentos financeiros (utilização exclusiva pelas pequenas entidades e microentidades)</t>
  </si>
  <si>
    <t>SOMA</t>
  </si>
  <si>
    <t>Ativo Corrente</t>
  </si>
  <si>
    <t>Inventários</t>
  </si>
  <si>
    <t>Clientes</t>
  </si>
  <si>
    <t>Adiantamentos a fornecedores</t>
  </si>
  <si>
    <t>Estado e outros entes públicos</t>
  </si>
  <si>
    <t>Outras contas a receber</t>
  </si>
  <si>
    <t>Diferimentos</t>
  </si>
  <si>
    <t>Ativos financeiros detidos para negociação</t>
  </si>
  <si>
    <t>Ativos não correntes detidos para venda</t>
  </si>
  <si>
    <t>Outros ativos correntes</t>
  </si>
  <si>
    <t>Caixa e depósitos bancários</t>
  </si>
  <si>
    <t>TOTAL DO ATIVO</t>
  </si>
  <si>
    <t>CAPITAL PRÓPRIO E PASSIVO</t>
  </si>
  <si>
    <t>Capital Próprio</t>
  </si>
  <si>
    <t>Capital realizado</t>
  </si>
  <si>
    <t>Ações (quotas) próprias</t>
  </si>
  <si>
    <t>Outros instrumentos de capital próprio</t>
  </si>
  <si>
    <t>Prémios de emissão</t>
  </si>
  <si>
    <t>Reservas legais</t>
  </si>
  <si>
    <t>Outras reservas</t>
  </si>
  <si>
    <t>Resultados transitados</t>
  </si>
  <si>
    <t>Ajustamentos em ativos financeiros</t>
  </si>
  <si>
    <t>Excedentes de revalorização</t>
  </si>
  <si>
    <t>Outras variações no capital próprio</t>
  </si>
  <si>
    <t>Dividendos antecipados</t>
  </si>
  <si>
    <t>TOTAL DO CAPITAL PRÓPRIO</t>
  </si>
  <si>
    <t>PASSIVO</t>
  </si>
  <si>
    <t>Passivo Não Corrente</t>
  </si>
  <si>
    <t>Provisões</t>
  </si>
  <si>
    <t>Financiamentos obtidos</t>
  </si>
  <si>
    <t>Responsabilidades por benefícios pós-emprego</t>
  </si>
  <si>
    <t>Passivos por impostos diferidos</t>
  </si>
  <si>
    <t>Outras contas a pagar</t>
  </si>
  <si>
    <t>Passivo Corrente</t>
  </si>
  <si>
    <t>Fornecedores</t>
  </si>
  <si>
    <t>Adiantamentos de clientes</t>
  </si>
  <si>
    <t>Passivos financeiros detidos para negociação</t>
  </si>
  <si>
    <t>Outros passivos financeiros</t>
  </si>
  <si>
    <t>Passivos não correntes detidos para venda</t>
  </si>
  <si>
    <t>Outros passivos correntes</t>
  </si>
  <si>
    <t>TOTAL DO PASSIVO</t>
  </si>
  <si>
    <t>TOTAL DO CAPITAL PRÓPRIO E DO PASSIVO</t>
  </si>
  <si>
    <t>Autonomia Financeira</t>
  </si>
  <si>
    <t>Ativo Bruto</t>
  </si>
  <si>
    <t xml:space="preserve">      Imobilizado Tangível</t>
  </si>
  <si>
    <t xml:space="preserve">      Imobilizado Tangível - Biológico</t>
  </si>
  <si>
    <t xml:space="preserve">      Imobilizado Intangível</t>
  </si>
  <si>
    <t>Amortizações Acumuladas</t>
  </si>
  <si>
    <t>PMR</t>
  </si>
  <si>
    <t>PMP</t>
  </si>
  <si>
    <t>Cash Convertion Cycle</t>
  </si>
  <si>
    <t xml:space="preserve">                        FATURAS PRÓFORMA / ORÇAMENTOS - INVESTIMENTO</t>
  </si>
  <si>
    <t>(Em Euros)</t>
  </si>
  <si>
    <t>Nº</t>
  </si>
  <si>
    <t xml:space="preserve">DESCRIÇÃO </t>
  </si>
  <si>
    <t>Data (mês/ano)</t>
  </si>
  <si>
    <t xml:space="preserve">VALOR </t>
  </si>
  <si>
    <t>OBRAS</t>
  </si>
  <si>
    <t>EQUIPAMENTO</t>
  </si>
  <si>
    <t>É Biológico?</t>
  </si>
  <si>
    <t>Não</t>
  </si>
  <si>
    <t>INTANGÍVEL</t>
  </si>
  <si>
    <t>OUTROS ATIVOS FINANCEIROS</t>
  </si>
  <si>
    <t>Obras</t>
  </si>
  <si>
    <t>TOTAL</t>
  </si>
  <si>
    <t>Tangíveis e Intangíveis</t>
  </si>
  <si>
    <t>FSE</t>
  </si>
  <si>
    <t>RHs</t>
  </si>
  <si>
    <t>Despesa Elegível Total</t>
  </si>
  <si>
    <t>Capital Social</t>
  </si>
  <si>
    <t>Prestações Suplem</t>
  </si>
  <si>
    <t>Sócios Passivo</t>
  </si>
  <si>
    <t>Total Financiamento</t>
  </si>
  <si>
    <t>Outros Ativos Financeiros</t>
  </si>
  <si>
    <t>ANO</t>
  </si>
  <si>
    <t>Contratação RHs</t>
  </si>
  <si>
    <t>PLANO DE AMORTIZAÇÃO</t>
  </si>
  <si>
    <t>RUBRICAS DO INVESTIMENTO</t>
  </si>
  <si>
    <t>TAXA</t>
  </si>
  <si>
    <t>VALOR</t>
  </si>
  <si>
    <t>VALOR RESIDUAL</t>
  </si>
  <si>
    <t>TABELA DE AMORTIZAÇÕES</t>
  </si>
  <si>
    <t>IMOBILIZADO BRUTO SEM PROJETO</t>
  </si>
  <si>
    <t xml:space="preserve">        Imobilizado Tangível</t>
  </si>
  <si>
    <t xml:space="preserve">        Imobilizado Tangível - Biológico</t>
  </si>
  <si>
    <t xml:space="preserve">        Imobilizado Intangível</t>
  </si>
  <si>
    <t>AMORTIZAÇÕES IMOB. SEM PROJETO</t>
  </si>
  <si>
    <t>AMORTIZAÇÕES ACUMULADAS IMOB. SEM PROJETO</t>
  </si>
  <si>
    <t>AMORTIZAÇÕES IMOB. DO PROJETO</t>
  </si>
  <si>
    <t>AMORTIZAÇÕES ACUMULADAS IMOB. DO PROJETO</t>
  </si>
  <si>
    <t>AMORTIZAÇÕES ACUMULADAS IMOB. COM PROJETO</t>
  </si>
  <si>
    <t>Total Obras</t>
  </si>
  <si>
    <t>Total Equipamento</t>
  </si>
  <si>
    <t>Total Intangível</t>
  </si>
  <si>
    <t>Designação</t>
  </si>
  <si>
    <t xml:space="preserve">DEMONSTRAÇÃO DOS FLUXOS DE CAIXA DO PROMOTOR  </t>
  </si>
  <si>
    <r>
      <t xml:space="preserve">  </t>
    </r>
    <r>
      <rPr>
        <b/>
        <sz val="8"/>
        <rFont val="Calibri"/>
        <family val="2"/>
        <scheme val="minor"/>
      </rPr>
      <t>UNIDADE: EUROS</t>
    </r>
  </si>
  <si>
    <t>RUBRICAS</t>
  </si>
  <si>
    <t>ATIVIDADES OPERACIONAIS</t>
  </si>
  <si>
    <t xml:space="preserve">   Recebimentos de Clientes</t>
  </si>
  <si>
    <t xml:space="preserve">   Pagamentos a Fornecedores</t>
  </si>
  <si>
    <t xml:space="preserve">   Pagamentos ao Pessoal</t>
  </si>
  <si>
    <t xml:space="preserve">   Pagamentos e Recebimentos Relacionados</t>
  </si>
  <si>
    <t xml:space="preserve">       c/ Atividade Operacional</t>
  </si>
  <si>
    <t xml:space="preserve">    FLUXOS DAS ATIVIDADES OPERACIONAIS</t>
  </si>
  <si>
    <t>ATIVIDADES DE INVESTIMENTO</t>
  </si>
  <si>
    <t xml:space="preserve">   Recebimentos Provenientes de:</t>
  </si>
  <si>
    <t xml:space="preserve">        Investimentos Financeiros</t>
  </si>
  <si>
    <t xml:space="preserve">        Ativos Fixos Tangíveis</t>
  </si>
  <si>
    <t xml:space="preserve">        Ativos Intangíveis</t>
  </si>
  <si>
    <t xml:space="preserve">        Subsídios ao Investimento</t>
  </si>
  <si>
    <t xml:space="preserve">        Juros e Proveitos Similares</t>
  </si>
  <si>
    <t xml:space="preserve">        Dividendos</t>
  </si>
  <si>
    <t xml:space="preserve">                                                                           Subtotal</t>
  </si>
  <si>
    <t xml:space="preserve">   Pagamentos Respeitantes a:</t>
  </si>
  <si>
    <t xml:space="preserve">        IVA dos investimentos</t>
  </si>
  <si>
    <t>FLUXOS DAS ATIVIDADES DE INVESTIMENTO</t>
  </si>
  <si>
    <t>ATIVIDADES DE FINANCIAMENTO</t>
  </si>
  <si>
    <t xml:space="preserve">        Financiamentos Obtidos</t>
  </si>
  <si>
    <t xml:space="preserve">        Juros</t>
  </si>
  <si>
    <t xml:space="preserve">        Aumentos de Capital, Prest. Suplementares e</t>
  </si>
  <si>
    <t xml:space="preserve">           Prémios Emissão</t>
  </si>
  <si>
    <t xml:space="preserve">        Subsídios e Doações</t>
  </si>
  <si>
    <t xml:space="preserve">        Venda de Ações (Quotas) Próprias</t>
  </si>
  <si>
    <t xml:space="preserve">        Dívidas de Sócios</t>
  </si>
  <si>
    <t xml:space="preserve">        Empréstimos Obtidos</t>
  </si>
  <si>
    <t xml:space="preserve">        Dívidas existentes</t>
  </si>
  <si>
    <t xml:space="preserve">        Juros e Custos Similares</t>
  </si>
  <si>
    <t xml:space="preserve">        Outros Juros</t>
  </si>
  <si>
    <t xml:space="preserve">        Reduções de Capital e Prestações Suplementares</t>
  </si>
  <si>
    <t xml:space="preserve">        Aquisição de Ações (Quotas) Próprias</t>
  </si>
  <si>
    <t>FLUXOS DAS ATIVIDADES DE FINANCIAMENTO</t>
  </si>
  <si>
    <t xml:space="preserve">   Variação de Caixa e seus Equivalentes</t>
  </si>
  <si>
    <t xml:space="preserve">   Efeito das Diferenças de Câmbio</t>
  </si>
  <si>
    <t xml:space="preserve">   Caixa e s/ Equivalentes no Início do Período</t>
  </si>
  <si>
    <t xml:space="preserve">   Caixa e s/ Equivalentes no Fim do Período</t>
  </si>
  <si>
    <r>
      <t xml:space="preserve"> </t>
    </r>
    <r>
      <rPr>
        <b/>
        <sz val="8"/>
        <rFont val="Calibri"/>
        <family val="2"/>
        <scheme val="minor"/>
      </rPr>
      <t xml:space="preserve">D 2 - DEMONSTRAÇÃO DOS FLUXOS DE CAIXA DO PROMOTOR  </t>
    </r>
    <r>
      <rPr>
        <sz val="8"/>
        <rFont val="Calibri"/>
        <family val="2"/>
        <scheme val="minor"/>
      </rPr>
      <t xml:space="preserve">(Com projecto)  </t>
    </r>
  </si>
  <si>
    <t>MAPA DE SERVIÇO DE OUTRAS DÍVIDAS DE CURTO PRAZO</t>
  </si>
  <si>
    <t>MAPA DE SERVIÇO DE OUTRAS DÍVIDAS DE LONGO PRAZO</t>
  </si>
  <si>
    <t>MAPA DE SERVIÇO DA DÍVIDA BANCÁRIA DE CURTO PRAZO</t>
  </si>
  <si>
    <t>MAPA DE SERVIÇO DA DÍVIDA BANCÁRIA DE LONGO PRAZO</t>
  </si>
  <si>
    <t xml:space="preserve">   Montante do Empréstimo             </t>
  </si>
  <si>
    <t xml:space="preserve">   Ano de aquisição do empr.</t>
  </si>
  <si>
    <t xml:space="preserve">   Prazo total da operação </t>
  </si>
  <si>
    <t>semestres</t>
  </si>
  <si>
    <t xml:space="preserve">   Período de Carência                                                                                             </t>
  </si>
  <si>
    <t xml:space="preserve">   Prazo do empréstimo</t>
  </si>
  <si>
    <t>anos</t>
  </si>
  <si>
    <t xml:space="preserve">  Taxa de juro  utilizada</t>
  </si>
  <si>
    <t>ANOS / Semestres</t>
  </si>
  <si>
    <t>CAPITAL</t>
  </si>
  <si>
    <t>IMPOSTO DE</t>
  </si>
  <si>
    <t>TOTAIS</t>
  </si>
  <si>
    <t xml:space="preserve">   Plano de Reembolso:</t>
  </si>
  <si>
    <t>EM  DÍVIDA</t>
  </si>
  <si>
    <t>REEMBOLSO</t>
  </si>
  <si>
    <t>JUROS</t>
  </si>
  <si>
    <t>SELO</t>
  </si>
  <si>
    <t>(JUROS +</t>
  </si>
  <si>
    <t xml:space="preserve">      Frequência das prestações</t>
  </si>
  <si>
    <t>Semestral</t>
  </si>
  <si>
    <t>+ I.SELO)</t>
  </si>
  <si>
    <t xml:space="preserve">      #Prestações</t>
  </si>
  <si>
    <t>1</t>
  </si>
  <si>
    <t>I</t>
  </si>
  <si>
    <t>II</t>
  </si>
  <si>
    <t xml:space="preserve">      Taxa de juro  utilizada</t>
  </si>
  <si>
    <t>Ano</t>
  </si>
  <si>
    <t>Amortização</t>
  </si>
  <si>
    <t>Capital</t>
  </si>
  <si>
    <t>Juros</t>
  </si>
  <si>
    <t>Imposto Selo</t>
  </si>
  <si>
    <t>Cálculo dos montantes de LP e de CP</t>
  </si>
  <si>
    <t>Longo Prazo</t>
  </si>
  <si>
    <t>Curto Prazo</t>
  </si>
  <si>
    <t>RECURSOS HUMANOS - CUSTOS</t>
  </si>
  <si>
    <t>Encargos Sociais</t>
  </si>
  <si>
    <t>Quantidade</t>
  </si>
  <si>
    <t>Área / Função</t>
  </si>
  <si>
    <t>Ano de Entrada</t>
  </si>
  <si>
    <t>Mês de Entrada</t>
  </si>
  <si>
    <t>Total</t>
  </si>
  <si>
    <t>VENDAS DE PRODUTOS (TRANSFORMADOS / COMERCIALIZADOS)</t>
  </si>
  <si>
    <t>UNIDADE</t>
  </si>
  <si>
    <t>Vários</t>
  </si>
  <si>
    <t>Valor euros</t>
  </si>
  <si>
    <t>TOTAL DO VALOR</t>
  </si>
  <si>
    <t>VENDAS DE MERCADORIAS</t>
  </si>
  <si>
    <t>TOTAL DAS VENDAS</t>
  </si>
  <si>
    <t>EUROS</t>
  </si>
  <si>
    <t>%</t>
  </si>
  <si>
    <t>PRESTAÇÃO DE SERVIÇOS</t>
  </si>
  <si>
    <t>TOTAL DA PRESTAÇÃO DE SERVIÇOS</t>
  </si>
  <si>
    <t>VENDAS + PRESTAÇÃO DE SERVIÇOS</t>
  </si>
  <si>
    <t>Remunerações</t>
  </si>
  <si>
    <t>FORNECIMENTOS E SERVIÇOS EXTERNOS</t>
  </si>
  <si>
    <t>FSE sem projeto</t>
  </si>
  <si>
    <t>FSE do Projeto</t>
  </si>
  <si>
    <t xml:space="preserve">% FSE / VN </t>
  </si>
  <si>
    <t>Volume de Negócios</t>
  </si>
  <si>
    <t>FSE / Vlolume Negócios</t>
  </si>
  <si>
    <t>CUSTO DAS MERCADORIAS VENDIDAS E MATÉRIAS CONSUMIDAS</t>
  </si>
  <si>
    <t>PRODUTOS</t>
  </si>
  <si>
    <t>MERCADORIAS</t>
  </si>
  <si>
    <r>
      <rPr>
        <b/>
        <sz val="8"/>
        <rFont val="Calibri"/>
        <family val="2"/>
        <scheme val="minor"/>
      </rPr>
      <t>Mercadorias</t>
    </r>
    <r>
      <rPr>
        <sz val="8"/>
        <rFont val="Calibri"/>
        <family val="2"/>
        <scheme val="minor"/>
      </rPr>
      <t xml:space="preserve"> (representatividade sobre as vendas de produtos)</t>
    </r>
  </si>
  <si>
    <t>PLANO DE INVESTIMENTO</t>
  </si>
  <si>
    <t>Sujeito a iva</t>
  </si>
  <si>
    <t>CUSTO TOTAL DO INVESTIMENTO</t>
  </si>
  <si>
    <t>1º SEM</t>
  </si>
  <si>
    <t>2º SEM</t>
  </si>
  <si>
    <t>Sim</t>
  </si>
  <si>
    <t>SUB-TOTAL</t>
  </si>
  <si>
    <t>FUNDO MANEIO</t>
  </si>
  <si>
    <t>Inv</t>
  </si>
  <si>
    <t>Facturas</t>
  </si>
  <si>
    <t>Dif</t>
  </si>
  <si>
    <t>Semestre</t>
  </si>
  <si>
    <t>Inv. Tangível</t>
  </si>
  <si>
    <t>Inv. Tangível Bio</t>
  </si>
  <si>
    <t>Inv. Intangível</t>
  </si>
  <si>
    <t>Tot. Inv. Imob.</t>
  </si>
  <si>
    <t>Part. Financ.</t>
  </si>
  <si>
    <t>IVA</t>
  </si>
  <si>
    <t>Determinação do IVA dedutível</t>
  </si>
  <si>
    <t>Total de Investimento por ano</t>
  </si>
  <si>
    <t>Imobilizado Tangível</t>
  </si>
  <si>
    <t>Imobilizado Tangível - Biológico</t>
  </si>
  <si>
    <t>Imobilizado Intangível</t>
  </si>
  <si>
    <t>SUBTOTAL</t>
  </si>
  <si>
    <t>MAPA DE APURAMENTO DO IVA - DA EMPRESA</t>
  </si>
  <si>
    <t>1 - IVA LIQUIDADO</t>
  </si>
  <si>
    <t xml:space="preserve">    - Vendas + Prestações de Serviços</t>
  </si>
  <si>
    <t xml:space="preserve">    - Outras</t>
  </si>
  <si>
    <t>2 - IVA DEDUTIVEL</t>
  </si>
  <si>
    <t xml:space="preserve">    - Compras</t>
  </si>
  <si>
    <t xml:space="preserve">    - FSE</t>
  </si>
  <si>
    <t xml:space="preserve">    - INVESTIMENTO</t>
  </si>
  <si>
    <t>3 - Saldo de IVA (1-2)</t>
  </si>
  <si>
    <t>4 DIFERIMENTO</t>
  </si>
  <si>
    <t>IVA A PAGAR DO ANO</t>
  </si>
  <si>
    <t>DETERMINAÇÃO DA RÚBRICA ESTADO E OUTROS ENTES PÚBLICOS</t>
  </si>
  <si>
    <t>Ativo</t>
  </si>
  <si>
    <t xml:space="preserve">       Diferimento IVA</t>
  </si>
  <si>
    <t>Estado e Outros Entes Públicos</t>
  </si>
  <si>
    <t>Passivo</t>
  </si>
  <si>
    <t xml:space="preserve">       Imposto s lucros (ano n)</t>
  </si>
  <si>
    <t>MAPA DE APURAMENTO DA SEGURANÇA SOCIAL</t>
  </si>
  <si>
    <t>SEGURANÇA SOCIAL</t>
  </si>
  <si>
    <t>DIFERIMENTO  (Balanço)</t>
  </si>
  <si>
    <t>PAGAMENTO DO ANO</t>
  </si>
  <si>
    <t xml:space="preserve">FUNDO  DE  MANEIO  NECESSÁRIO  AO PROETO  DE  INVESTIMENTO   </t>
  </si>
  <si>
    <t xml:space="preserve">   NECESSIDADES</t>
  </si>
  <si>
    <t xml:space="preserve">   Inventários</t>
  </si>
  <si>
    <t xml:space="preserve">   Clientes C/c</t>
  </si>
  <si>
    <t xml:space="preserve">   Adiantamentos e Fornecedores (correntes)</t>
  </si>
  <si>
    <t xml:space="preserve">   Outras</t>
  </si>
  <si>
    <t xml:space="preserve">   TOTAL DAS NECESSIDADES</t>
  </si>
  <si>
    <t xml:space="preserve">   RECURSOS</t>
  </si>
  <si>
    <t xml:space="preserve">   Fornecedores C/c</t>
  </si>
  <si>
    <t xml:space="preserve">   Estado e Outros Entes Públicos (correntes)</t>
  </si>
  <si>
    <t xml:space="preserve">   Outros</t>
  </si>
  <si>
    <t xml:space="preserve">   TOTAL DOS RECURSOS</t>
  </si>
  <si>
    <t xml:space="preserve">   FUNDO DE MANEIO NECESSÁRIO</t>
  </si>
  <si>
    <t xml:space="preserve">   INVESTIMENTO EM FUNDO DE MANEIO NECESSÁRIO </t>
  </si>
  <si>
    <t>Evolução dos Saldos dos Clientes</t>
  </si>
  <si>
    <t>Imparidades de dívidas a receber</t>
  </si>
  <si>
    <t>Saldo Inicial</t>
  </si>
  <si>
    <t>V. Vendas + Prestação de Serviços</t>
  </si>
  <si>
    <t>Saldo Final</t>
  </si>
  <si>
    <t>Total Recebimentos</t>
  </si>
  <si>
    <t>Evolução dos Saldos dos Fornecedores</t>
  </si>
  <si>
    <t>Compras (compras+IVA)</t>
  </si>
  <si>
    <t>Total Pagamentos</t>
  </si>
  <si>
    <t>Evolução dos Saldos de Existências</t>
  </si>
  <si>
    <t>Variação de Produção</t>
  </si>
  <si>
    <t>Imparidades de Inventário</t>
  </si>
  <si>
    <t>Existência Inicial</t>
  </si>
  <si>
    <t>Consumos</t>
  </si>
  <si>
    <t>Existência Final</t>
  </si>
  <si>
    <t>Total Compras</t>
  </si>
  <si>
    <r>
      <t xml:space="preserve">MAPA DE SERVIÇO DA DÍVIDA                                                                        </t>
    </r>
    <r>
      <rPr>
        <b/>
        <sz val="8"/>
        <color indexed="9"/>
        <rFont val="Calibri"/>
        <family val="2"/>
        <scheme val="minor"/>
      </rPr>
      <t>UNIDADE: EUROS</t>
    </r>
  </si>
  <si>
    <t xml:space="preserve">PLANO DE FINANCIAMENTO DO PROJETO  </t>
  </si>
  <si>
    <t xml:space="preserve">                    UNIDADE: EUROS</t>
  </si>
  <si>
    <t xml:space="preserve">                       RUBRICAS</t>
  </si>
  <si>
    <t xml:space="preserve">  CAPITAIS PRÓPRIOS</t>
  </si>
  <si>
    <t xml:space="preserve">        CAPITAL SOCIAL</t>
  </si>
  <si>
    <t xml:space="preserve">        PRESTAÇÕES SUPLEMENTARES DE CAPITAL</t>
  </si>
  <si>
    <t xml:space="preserve">        RESERVAS PARA INVESTIMENTO</t>
  </si>
  <si>
    <t xml:space="preserve">  AUTOFINANCIAMENTO  </t>
  </si>
  <si>
    <t xml:space="preserve">  CAPITAIS ALHEIOS</t>
  </si>
  <si>
    <t xml:space="preserve">        CRÉDITO BANCÁRIO</t>
  </si>
  <si>
    <t xml:space="preserve">        EMPRÉSTIMOS OBRIGACIONISTAS</t>
  </si>
  <si>
    <t xml:space="preserve">        SUPRIMENTOS / EMPRÉSTIMOS DE SÓCIOS OU ACIONISTAS</t>
  </si>
  <si>
    <t xml:space="preserve">        FORNECEDORES DE IMOBILIZADO</t>
  </si>
  <si>
    <t xml:space="preserve">        OUTROS  (DISCRIMINAR)</t>
  </si>
  <si>
    <t>AJUDAS NO ÂMBITO  DOS PROJETOS DE APOIO</t>
  </si>
  <si>
    <t>Incentivo Reembolsável</t>
  </si>
  <si>
    <t>Incentivo não Reembolsável</t>
  </si>
  <si>
    <t xml:space="preserve">  OUTRAS AJUDAS</t>
  </si>
  <si>
    <t xml:space="preserve">                     TOTAL</t>
  </si>
  <si>
    <t>Crédito bancário</t>
  </si>
  <si>
    <t>Ano de aquisição</t>
  </si>
  <si>
    <t>Saldo Balanço</t>
  </si>
  <si>
    <t>Dívida antiga</t>
  </si>
  <si>
    <t>Outras Dív. CP</t>
  </si>
  <si>
    <t>Outras Dív. LP</t>
  </si>
  <si>
    <t>Dív. Banc. CP</t>
  </si>
  <si>
    <t>Total Pagamento</t>
  </si>
  <si>
    <t>Emp Banc Novos</t>
  </si>
  <si>
    <t>Amortizações</t>
  </si>
  <si>
    <t>Total Amortizações</t>
  </si>
  <si>
    <t>Total Juros</t>
  </si>
  <si>
    <t>Imposto</t>
  </si>
  <si>
    <t>Total Imposto</t>
  </si>
  <si>
    <t>Dívida Antiga</t>
  </si>
  <si>
    <t>ORÇAMENTO DE TESOURARIA DA EMPRESA</t>
  </si>
  <si>
    <t xml:space="preserve"> RECEBIMENTOS</t>
  </si>
  <si>
    <t xml:space="preserve">   Clientes</t>
  </si>
  <si>
    <t xml:space="preserve">   Outros Proveitos</t>
  </si>
  <si>
    <t xml:space="preserve"> Total dos Recebimentos</t>
  </si>
  <si>
    <t xml:space="preserve"> PAGAMENTOS</t>
  </si>
  <si>
    <t xml:space="preserve">    Fornecedores</t>
  </si>
  <si>
    <t xml:space="preserve">    Despesas com Pessoal</t>
  </si>
  <si>
    <t xml:space="preserve">    FSE</t>
  </si>
  <si>
    <t xml:space="preserve">    Impostos (selo)</t>
  </si>
  <si>
    <t xml:space="preserve">    IVA</t>
  </si>
  <si>
    <t xml:space="preserve"> Outros Pagamentos</t>
  </si>
  <si>
    <t>TOTAL DOS PAGAMENTOS</t>
  </si>
  <si>
    <t>SALDO DE TESOURARIA</t>
  </si>
  <si>
    <t>ORÇAMENTO FINANCEIRO</t>
  </si>
  <si>
    <t>RECEBIMENTOS  EXTRA  EXPLORAÇÃO</t>
  </si>
  <si>
    <t>Saldo Tesouraria</t>
  </si>
  <si>
    <t>Saldo Tesouraria Inicial</t>
  </si>
  <si>
    <t>Aumento Capital</t>
  </si>
  <si>
    <t>Financiamento</t>
  </si>
  <si>
    <t>Empréstimos Bancários</t>
  </si>
  <si>
    <t>Suprimentos</t>
  </si>
  <si>
    <t>Dívidas de Sócios</t>
  </si>
  <si>
    <t xml:space="preserve">   TOTAL</t>
  </si>
  <si>
    <t>PAGAMENTOS  EXTRA  EXPLORAÇÃO</t>
  </si>
  <si>
    <t>Investimento em Cap. Fixo</t>
  </si>
  <si>
    <t>Reembolsos (Dívida)</t>
  </si>
  <si>
    <t xml:space="preserve">   - Empréstimos Bancários</t>
  </si>
  <si>
    <t xml:space="preserve">   - Dívidas Existentes</t>
  </si>
  <si>
    <t>Estado e outros Entes Públicos</t>
  </si>
  <si>
    <t>Juros de Financiamento</t>
  </si>
  <si>
    <t xml:space="preserve">   TOTAL </t>
  </si>
  <si>
    <t>SALDO DO ANO</t>
  </si>
  <si>
    <t>SALDO ACUMULADO</t>
  </si>
  <si>
    <t>Capital em dívida</t>
  </si>
  <si>
    <t>Capital amort.</t>
  </si>
  <si>
    <t>ORIGENS E APLICAÇÕES DE FUNDOS DO PROJETO</t>
  </si>
  <si>
    <t>1 .INTERNAS</t>
  </si>
  <si>
    <t xml:space="preserve">   1.1. Autofinanc. c/ Projeto</t>
  </si>
  <si>
    <t>2 .Capital Próprio</t>
  </si>
  <si>
    <t xml:space="preserve">   2.1 .Capital/Ações Próprias</t>
  </si>
  <si>
    <t xml:space="preserve">   2.2 .Prestações suplem. Capital</t>
  </si>
  <si>
    <t xml:space="preserve">   2.3 .Dividas - Fundo Perdido</t>
  </si>
  <si>
    <t>3 .Movimentos financeiros Medio L.Prazo</t>
  </si>
  <si>
    <t xml:space="preserve">   3.1 .Dívidas Insti.de Crédito</t>
  </si>
  <si>
    <t xml:space="preserve">   3.2 .Dívidas Obrigacionistas</t>
  </si>
  <si>
    <t xml:space="preserve">   3.3 .Dívidas a Forn. Imob.</t>
  </si>
  <si>
    <t xml:space="preserve">   3.4 .Outras Dividas</t>
  </si>
  <si>
    <t>4 .Movimentos financeiros Curto Prazo</t>
  </si>
  <si>
    <t xml:space="preserve">   4.1 .Suprimentos</t>
  </si>
  <si>
    <t xml:space="preserve">     TOTAL</t>
  </si>
  <si>
    <t>1 . Distribuições</t>
  </si>
  <si>
    <t xml:space="preserve">   1.1 .Por aplicação de Resultados</t>
  </si>
  <si>
    <t xml:space="preserve">   1.2 .Por aplicação de Reservas</t>
  </si>
  <si>
    <t>2 .Diminuições dívidas a terc.Medio L.Prazo</t>
  </si>
  <si>
    <t xml:space="preserve">   2.1 .Dividas Insti.de Credito</t>
  </si>
  <si>
    <t xml:space="preserve">   2.2 .Dívidas a Sócios/Acionistas</t>
  </si>
  <si>
    <t>3 .Diminuições dívidas a terc.Curto Prazo</t>
  </si>
  <si>
    <t xml:space="preserve">   3.1 .Dividas Insti.de Credito</t>
  </si>
  <si>
    <t xml:space="preserve">   3.2 .Dívidas a Fornecedores</t>
  </si>
  <si>
    <t xml:space="preserve">   3.3 .Outras dívidas a terceiros</t>
  </si>
  <si>
    <t>4 .Aumentos de Imobilizações</t>
  </si>
  <si>
    <t xml:space="preserve">   4.1 .Aquisição de Imobilizações</t>
  </si>
  <si>
    <t>5 .Aumentos de Fundos Circulantes</t>
  </si>
  <si>
    <t xml:space="preserve">6 .Outros Fluxos Libertos </t>
  </si>
  <si>
    <t>DIFERENÇA</t>
  </si>
  <si>
    <t xml:space="preserve"> Vendas e serviços prestados</t>
  </si>
  <si>
    <t xml:space="preserve"> Subsídios à exploração</t>
  </si>
  <si>
    <t xml:space="preserve"> Ganhos/perdas imputados de subsidiárias, associadas a empreendimentos conjuntos</t>
  </si>
  <si>
    <t xml:space="preserve"> Variação nos inventários da produção</t>
  </si>
  <si>
    <t xml:space="preserve"> Trabalhos para a própria entidade</t>
  </si>
  <si>
    <t xml:space="preserve"> Custo das mercadorias vendidas e das matérias consumidas</t>
  </si>
  <si>
    <t xml:space="preserve"> Fornecimentos e serviços externos</t>
  </si>
  <si>
    <t>Portugal</t>
  </si>
  <si>
    <t xml:space="preserve"> Gastos com o pessoal</t>
  </si>
  <si>
    <t xml:space="preserve"> Imparidade de inventários (perdas/reversões)</t>
  </si>
  <si>
    <t>França</t>
  </si>
  <si>
    <t xml:space="preserve"> Imparidade de dívidas a receber (perdas/reversões)</t>
  </si>
  <si>
    <t xml:space="preserve"> Provisões (aumentos/reduções)</t>
  </si>
  <si>
    <t xml:space="preserve"> Imparidade de investimentos não depreciáveis/amortizáveis (perdas/reversões)</t>
  </si>
  <si>
    <t xml:space="preserve"> Outras imparidades (perdas/reversões) / Imparidades (perdas/reversões) (*)</t>
  </si>
  <si>
    <t xml:space="preserve"> Aumentos/reduções de justo valor</t>
  </si>
  <si>
    <t xml:space="preserve"> Outros rendimentos e ganhos</t>
  </si>
  <si>
    <t xml:space="preserve">      Rendimentos suplementares</t>
  </si>
  <si>
    <t xml:space="preserve">      Outros</t>
  </si>
  <si>
    <t xml:space="preserve"> Outros gastos e perdas</t>
  </si>
  <si>
    <t xml:space="preserve">      Impostos indiretos</t>
  </si>
  <si>
    <t xml:space="preserve"> Resultado antes de depreciações, gastos de financiamento e impostos</t>
  </si>
  <si>
    <t xml:space="preserve"> Gastos/reversões de depreciação e de amortização</t>
  </si>
  <si>
    <t xml:space="preserve"> Imparidade de Investimentos depreciáveis/amortizáveis (perdas/reversões)</t>
  </si>
  <si>
    <t xml:space="preserve"> Resultado operacional (antes de gastos de financiamento e impostos)</t>
  </si>
  <si>
    <t xml:space="preserve"> Juros e rendimentos similares obtidos</t>
  </si>
  <si>
    <t xml:space="preserve"> Juros e gastos similares suportados</t>
  </si>
  <si>
    <t xml:space="preserve"> Resultado antes de impostos</t>
  </si>
  <si>
    <t xml:space="preserve"> Imposto sobre o rendimento do período</t>
  </si>
  <si>
    <t xml:space="preserve"> Resultado líquido do período</t>
  </si>
  <si>
    <t xml:space="preserve"> Resultado das atividades descontinuadas (líquido de impostos) incluído no resultado líquido do período</t>
  </si>
  <si>
    <t xml:space="preserve">                                               ATIVO</t>
  </si>
  <si>
    <t xml:space="preserve"> Ativo não corrente</t>
  </si>
  <si>
    <t xml:space="preserve">    Ativos fixos tangíveis</t>
  </si>
  <si>
    <t xml:space="preserve">    Propriedades de investimento</t>
  </si>
  <si>
    <t xml:space="preserve">    Goodwill</t>
  </si>
  <si>
    <t xml:space="preserve">    Ativos intangíveis</t>
  </si>
  <si>
    <t xml:space="preserve">    Ativos biológicos</t>
  </si>
  <si>
    <t xml:space="preserve">    Participações financeiras - método da equivalência patrimonial</t>
  </si>
  <si>
    <t xml:space="preserve">    Participações financeiras - outros métodos</t>
  </si>
  <si>
    <t xml:space="preserve">    Acionistas/sócios</t>
  </si>
  <si>
    <t xml:space="preserve">    Outros ativos financeiros</t>
  </si>
  <si>
    <t xml:space="preserve">    Ativos por impostos diferidos</t>
  </si>
  <si>
    <t xml:space="preserve">    Investimentos financeiros (*)</t>
  </si>
  <si>
    <t xml:space="preserve"> Ativo corrente</t>
  </si>
  <si>
    <t xml:space="preserve">    Inventários</t>
  </si>
  <si>
    <t xml:space="preserve">    Clientes</t>
  </si>
  <si>
    <t xml:space="preserve">    Adiantamentos a fornecedores</t>
  </si>
  <si>
    <t xml:space="preserve">    Estado e outros entes públicos</t>
  </si>
  <si>
    <t xml:space="preserve">    Outras contas a receber</t>
  </si>
  <si>
    <t xml:space="preserve">    Diferimentos</t>
  </si>
  <si>
    <t xml:space="preserve">    Ativos financeiros detidos para negociação</t>
  </si>
  <si>
    <t xml:space="preserve">    Ativos não correntes detidos para venda</t>
  </si>
  <si>
    <t xml:space="preserve">    Outros ativos correntes</t>
  </si>
  <si>
    <t xml:space="preserve">    Caixa e depósitos bancários</t>
  </si>
  <si>
    <t xml:space="preserve"> TOTAL DO ATIVO</t>
  </si>
  <si>
    <t xml:space="preserve">                                CAPITAL PRÓPRIO E PASSIVO</t>
  </si>
  <si>
    <t xml:space="preserve"> Capital realizado</t>
  </si>
  <si>
    <t xml:space="preserve"> Ações (quotas) próprias</t>
  </si>
  <si>
    <t xml:space="preserve"> Outros instrumentos de capital próprio</t>
  </si>
  <si>
    <t xml:space="preserve"> Prémios de emissão</t>
  </si>
  <si>
    <t xml:space="preserve"> Reservas legais</t>
  </si>
  <si>
    <t xml:space="preserve"> Outras reservas</t>
  </si>
  <si>
    <t xml:space="preserve"> Resultados transitados</t>
  </si>
  <si>
    <t xml:space="preserve"> Ajustamentos em ativos financeiros</t>
  </si>
  <si>
    <t xml:space="preserve"> Excedentes de revalorização</t>
  </si>
  <si>
    <t xml:space="preserve"> Outras variações no capital próprio</t>
  </si>
  <si>
    <t xml:space="preserve"> Interesses minoritários</t>
  </si>
  <si>
    <t xml:space="preserve"> Dividendos antecipados</t>
  </si>
  <si>
    <t xml:space="preserve"> TOTAL DO CAPITAL PRÓPRIO</t>
  </si>
  <si>
    <t xml:space="preserve">                                                 PASSIVO</t>
  </si>
  <si>
    <t xml:space="preserve"> Passivo não corrente</t>
  </si>
  <si>
    <t xml:space="preserve">    Provisões</t>
  </si>
  <si>
    <t xml:space="preserve">    Financiamentos obtidos</t>
  </si>
  <si>
    <t xml:space="preserve">    Responsabilidades por benefícios pós-emprego</t>
  </si>
  <si>
    <t xml:space="preserve">    Passivos por impostos diferidos</t>
  </si>
  <si>
    <t xml:space="preserve">    Outras contas a pagar</t>
  </si>
  <si>
    <t xml:space="preserve"> Passivo corrente</t>
  </si>
  <si>
    <t xml:space="preserve">    Adiantamentos de clientes</t>
  </si>
  <si>
    <t xml:space="preserve">    Passivos financeiros detidos para negociação</t>
  </si>
  <si>
    <t xml:space="preserve">    Outros passivos financeiros</t>
  </si>
  <si>
    <t xml:space="preserve">    Passivos não correntes detidos para venda</t>
  </si>
  <si>
    <t xml:space="preserve">    Outros passivos correntes</t>
  </si>
  <si>
    <t xml:space="preserve"> TOTAL DO PASSIVO</t>
  </si>
  <si>
    <t xml:space="preserve"> TOTAL DO CAPITAL PRÓPRIO + PASSIVO</t>
  </si>
  <si>
    <t>RHs a Contratar (dentro e fora do âmbito do projeto)</t>
  </si>
  <si>
    <t>Vencim. Base (€)</t>
  </si>
  <si>
    <t>FUNDO PERDIDO</t>
  </si>
  <si>
    <t>Reservas Legais</t>
  </si>
  <si>
    <t>Máximo</t>
  </si>
  <si>
    <t>EXISTE PERPETUIDADE?</t>
  </si>
  <si>
    <t xml:space="preserve"> (+) EBITDA</t>
  </si>
  <si>
    <t xml:space="preserve"> (-) Imposto</t>
  </si>
  <si>
    <t xml:space="preserve"> (-) Custos de Financiamento</t>
  </si>
  <si>
    <t xml:space="preserve"> (=) Free Cash Flow (FCF)</t>
  </si>
  <si>
    <t xml:space="preserve"> (+) Valor Residual / Perpetuidade</t>
  </si>
  <si>
    <t xml:space="preserve"> (=) Free Cash Flow Total</t>
  </si>
  <si>
    <t>Taxa Interna de Retorno (TIR)</t>
  </si>
  <si>
    <t xml:space="preserve"> (-) Investimento em FML</t>
  </si>
  <si>
    <t xml:space="preserve"> FLUXOS FINANCEIROS DA EMPRESA (Histórico + Projeto)</t>
  </si>
  <si>
    <t>Valor Atual dos FCF</t>
  </si>
  <si>
    <t>INDICADORES DE GESTÃO</t>
  </si>
  <si>
    <t>Resultado Líquido</t>
  </si>
  <si>
    <t>Cash Flow</t>
  </si>
  <si>
    <t>Meios Libertos de Exploração</t>
  </si>
  <si>
    <t>Capitais Permanentes</t>
  </si>
  <si>
    <t>Numero Trab</t>
  </si>
  <si>
    <t>Vendas por trabalhador</t>
  </si>
  <si>
    <t>ANÁLISE ECONOMICA</t>
  </si>
  <si>
    <t>Rentab. Bruta Vendas</t>
  </si>
  <si>
    <t>Rentab. Exploração das vendas</t>
  </si>
  <si>
    <t>Rentab. Capitais Próprios</t>
  </si>
  <si>
    <t>Rentab. Economica</t>
  </si>
  <si>
    <t>Rentab. Vendas</t>
  </si>
  <si>
    <t>Rotação Existências</t>
  </si>
  <si>
    <t>ANALISE FINANCEIRA</t>
  </si>
  <si>
    <t>Grau de dependencia</t>
  </si>
  <si>
    <t>Solvabilidade</t>
  </si>
  <si>
    <t>Custo médio do passivo</t>
  </si>
  <si>
    <t>Liquidez Imediata</t>
  </si>
  <si>
    <t>Liquidez reduzida</t>
  </si>
  <si>
    <t>Liquidez geral</t>
  </si>
  <si>
    <t>CF/Vendas</t>
  </si>
  <si>
    <t>OUTROS DADOS</t>
  </si>
  <si>
    <t>Alavancagem Financeira</t>
  </si>
  <si>
    <t>Grau Combinada Alavanca</t>
  </si>
  <si>
    <t>Margem Contribuição</t>
  </si>
  <si>
    <t>Resultado Operacional</t>
  </si>
  <si>
    <t>Resultado Corrente</t>
  </si>
  <si>
    <t>BEP</t>
  </si>
  <si>
    <t>MS</t>
  </si>
  <si>
    <t>Cfixos</t>
  </si>
  <si>
    <t>ML/CP</t>
  </si>
  <si>
    <t>ML/Volume de Negócios</t>
  </si>
  <si>
    <t>VAB/Investimento Elegível)</t>
  </si>
  <si>
    <t>ANÁLISE DA ESTRUTURA DO BALANÇO</t>
  </si>
  <si>
    <t>Imobilizado</t>
  </si>
  <si>
    <t>Exígivel a MLP</t>
  </si>
  <si>
    <t>Exígivel a CP</t>
  </si>
  <si>
    <t>ANÁLISE DO VOLUME DE NEGÓCIOS E RESULTADOS</t>
  </si>
  <si>
    <t>Resultado antes de juros e impostos</t>
  </si>
  <si>
    <t>ANÁLISE ECONÓMICA-FINANCEIRA</t>
  </si>
  <si>
    <t>Taxa de Crescimento do negócio</t>
  </si>
  <si>
    <t xml:space="preserve">VAB </t>
  </si>
  <si>
    <t>Produtividade do Trabalho</t>
  </si>
  <si>
    <t>Rendibilidade do Activo</t>
  </si>
  <si>
    <t>Rotação do Activo</t>
  </si>
  <si>
    <t>Fundo Maneio</t>
  </si>
  <si>
    <t>Grau de Alavanca Operacional</t>
  </si>
  <si>
    <t>Margem Económica</t>
  </si>
  <si>
    <t>Margem Segurança</t>
  </si>
  <si>
    <t>Grau de Alavanca Financeira</t>
  </si>
  <si>
    <t>Peso dos encargos financeiros nas vendas</t>
  </si>
  <si>
    <t>AUTONOMIA FINANCEIRA</t>
  </si>
  <si>
    <t>Rentabilidade de Exploração</t>
  </si>
  <si>
    <t>RENDIBILIDADE FINANCEIRA</t>
  </si>
  <si>
    <t>Rentabilidade dos Capitais Próprios</t>
  </si>
  <si>
    <t>Meios Libertos/Capitais Próprios</t>
  </si>
  <si>
    <t>ANÁLISE DO RISCO ECONÓMICO</t>
  </si>
  <si>
    <t>Margem de Segurança</t>
  </si>
  <si>
    <t>EBITDA</t>
  </si>
  <si>
    <t>EBITDA (económico)</t>
  </si>
  <si>
    <t>EBITDA (financeiro)</t>
  </si>
  <si>
    <t>Cobertura do Imobilizado</t>
  </si>
  <si>
    <t>Liquidez Geral</t>
  </si>
  <si>
    <t>Vendas + Prestação Serviços</t>
  </si>
  <si>
    <t xml:space="preserve">Ativo </t>
  </si>
  <si>
    <t>Resultados Líquidos DR Form</t>
  </si>
  <si>
    <t>Resultados Líquidos DR Empresa</t>
  </si>
  <si>
    <t xml:space="preserve"> FLUXOS FINANCEIROS DO PROJETO</t>
  </si>
  <si>
    <t>FML empresa s/ projeto</t>
  </si>
  <si>
    <t>FML empresa c/ projeto</t>
  </si>
  <si>
    <t>FML projeto</t>
  </si>
  <si>
    <t xml:space="preserve"> (-) Investimento em Ativos</t>
  </si>
  <si>
    <t>Fator de desconto</t>
  </si>
  <si>
    <t>Valor Atual Líquido (VAL)</t>
  </si>
  <si>
    <t>Nº RHs</t>
  </si>
  <si>
    <t>Nº RHs Pós-Projeto</t>
  </si>
  <si>
    <t>Administração/Direção</t>
  </si>
  <si>
    <t>Administrativa/Financeira</t>
  </si>
  <si>
    <t>Aprovisionamento</t>
  </si>
  <si>
    <t>Comercial/Marketing</t>
  </si>
  <si>
    <t>Engenharia, Conceção e Projeto</t>
  </si>
  <si>
    <t>Investigação</t>
  </si>
  <si>
    <t>Qualidade</t>
  </si>
  <si>
    <t>Operacional (Produtiva)</t>
  </si>
  <si>
    <t>Operacional (Turismo) - Receção/Portaria</t>
  </si>
  <si>
    <t>Operacional (Turismo) - Quartos/Limpeza</t>
  </si>
  <si>
    <t>Operacional (Turismo) - Restaurante/Bar</t>
  </si>
  <si>
    <t>Operacional (Turismo) - Cozinha</t>
  </si>
  <si>
    <t>Operacional (Turismo) - Animação</t>
  </si>
  <si>
    <t>Operacional (Turismo) - Outras</t>
  </si>
  <si>
    <t>Outros</t>
  </si>
  <si>
    <t>N.º</t>
  </si>
  <si>
    <t>Actividade Inovação</t>
  </si>
  <si>
    <t>Investimento</t>
  </si>
  <si>
    <t>Elegível</t>
  </si>
  <si>
    <t xml:space="preserve">Classificação das despesas </t>
  </si>
  <si>
    <t xml:space="preserve">Tipologia de Operação </t>
  </si>
  <si>
    <t>Mercado</t>
  </si>
  <si>
    <t>Estabelecimento</t>
  </si>
  <si>
    <t>Concellho</t>
  </si>
  <si>
    <t>NUT II</t>
  </si>
  <si>
    <t>Taxa de Atualização (Ra)</t>
  </si>
  <si>
    <t>German Government Bonds 10Y (25/10/2018)</t>
  </si>
  <si>
    <t>Beta dos ativos</t>
  </si>
  <si>
    <t>China</t>
  </si>
  <si>
    <t>Canadá</t>
  </si>
  <si>
    <t>Itália</t>
  </si>
  <si>
    <t>Líbano</t>
  </si>
  <si>
    <t>Países</t>
  </si>
  <si>
    <t>VN Pré-Projeto</t>
  </si>
  <si>
    <t>€ Invest.</t>
  </si>
  <si>
    <t>% Invest.</t>
  </si>
  <si>
    <t>Total Investimento</t>
  </si>
  <si>
    <t>VN Pós Projeto (mínimo)</t>
  </si>
  <si>
    <t>Pré-Projeto</t>
  </si>
  <si>
    <t>% IE</t>
  </si>
  <si>
    <t>VN Nacional</t>
  </si>
  <si>
    <t>VN Total</t>
  </si>
  <si>
    <t>Pós-Projeto</t>
  </si>
  <si>
    <t>% IE Pós-Projeto (prevista)</t>
  </si>
  <si>
    <t>VN Internacional</t>
  </si>
  <si>
    <t xml:space="preserve">VN Pós Projeto </t>
  </si>
  <si>
    <t>Produtos</t>
  </si>
  <si>
    <r>
      <t xml:space="preserve">Pós Projeto: VN Intern. </t>
    </r>
    <r>
      <rPr>
        <b/>
        <sz val="9"/>
        <color theme="1"/>
        <rFont val="Calibri"/>
        <family val="2"/>
        <scheme val="minor"/>
      </rPr>
      <t>Mínimo</t>
    </r>
  </si>
  <si>
    <t>Ano pré-projeto</t>
  </si>
  <si>
    <t>Início do Investimento</t>
  </si>
  <si>
    <t>Meios Liberto do ano anterior</t>
  </si>
  <si>
    <t>Meios Liberto do Pré-projeto</t>
  </si>
  <si>
    <t>Ano Pré-Projeto</t>
  </si>
  <si>
    <t>Máximo a Considerar</t>
  </si>
  <si>
    <t>Meios Libertos Ano anterior</t>
  </si>
  <si>
    <t>Meios Libertos Pré-Projeto</t>
  </si>
  <si>
    <t>Ano Pós-Projeto</t>
  </si>
  <si>
    <t>Nível 1</t>
  </si>
  <si>
    <t>Área Funcional</t>
  </si>
  <si>
    <t>Nível de Qualificação</t>
  </si>
  <si>
    <t>Mulheres</t>
  </si>
  <si>
    <t>Homens</t>
  </si>
  <si>
    <t xml:space="preserve">Homens </t>
  </si>
  <si>
    <t>Nível 2</t>
  </si>
  <si>
    <t>Nível 3</t>
  </si>
  <si>
    <t>Nível 4</t>
  </si>
  <si>
    <t>Nível 5</t>
  </si>
  <si>
    <t>Nível 6</t>
  </si>
  <si>
    <t>Nível 7</t>
  </si>
  <si>
    <t>Nível 8</t>
  </si>
  <si>
    <t>Tipo</t>
  </si>
  <si>
    <t>Bem / Serviço</t>
  </si>
  <si>
    <t>Mercado (País)</t>
  </si>
  <si>
    <t>Quant.</t>
  </si>
  <si>
    <t>Valor</t>
  </si>
  <si>
    <t>Transportes marítimos</t>
  </si>
  <si>
    <t>Transportes aéreos</t>
  </si>
  <si>
    <t>Transportes rodoviários</t>
  </si>
  <si>
    <t>Outros transportes</t>
  </si>
  <si>
    <t>Fretes de mercadorias</t>
  </si>
  <si>
    <t>Passagens</t>
  </si>
  <si>
    <t>Outros serviços de transporte</t>
  </si>
  <si>
    <t>Viagens e turismo</t>
  </si>
  <si>
    <t>Serviços de comunicação</t>
  </si>
  <si>
    <t>Serviços de construção</t>
  </si>
  <si>
    <t>Seguros</t>
  </si>
  <si>
    <t>Serviços financeiros</t>
  </si>
  <si>
    <t>Serviços de informação e informática</t>
  </si>
  <si>
    <t>Serviços de intermediação comercial</t>
  </si>
  <si>
    <t xml:space="preserve">Serviços de aluguer sem tripulação </t>
  </si>
  <si>
    <t>Serviços agrícolas, mineiros e industriais</t>
  </si>
  <si>
    <t>Serviços de investigação e desenvolvimento</t>
  </si>
  <si>
    <t>Serv. jurídicos, contab. e consult. em gestão e de relações públicas</t>
  </si>
  <si>
    <t>Serviços de arquitetura, de engenharia e de consultadoria técnica</t>
  </si>
  <si>
    <t>Serviços de publicidade, estudos de mercado e de opinião pública</t>
  </si>
  <si>
    <t>Serviços entre empresas afiliadas</t>
  </si>
  <si>
    <t>Outros serviços fornecidos por empresas</t>
  </si>
  <si>
    <t>Direitos de utilização</t>
  </si>
  <si>
    <t>Serviços de natureza pessoal, cultural e recreativa</t>
  </si>
  <si>
    <t xml:space="preserve">Operações governamentais </t>
  </si>
  <si>
    <t>01 - Animais vivos</t>
  </si>
  <si>
    <t>02 - Carnes e miudezas, comestíveis</t>
  </si>
  <si>
    <t>03 - Peixes e crustáceos, moluscos e outros invertebrados aquáticos</t>
  </si>
  <si>
    <t>04 - Leite e lacticínios; ovos de aves; mel natural; produtos comestíveis de origem animal, não especificados nem compreendidos noutros capítulos</t>
  </si>
  <si>
    <t>05 - Outros produtos de origem animal, não especificados nem compreendidos noutros capítulos</t>
  </si>
  <si>
    <t>06 - Plantas vivas e produtos de floricultura</t>
  </si>
  <si>
    <t>07 - Produtos hortícolas, plantas, raízes e tubérculos, comestíveis</t>
  </si>
  <si>
    <t>08 - Frutas; cascas de citrinos e de melões</t>
  </si>
  <si>
    <t>09 - Café, chá, mate e especiarias</t>
  </si>
  <si>
    <t>10 - Cereais</t>
  </si>
  <si>
    <t>11 - Produtos da indústria de moagem; malte; amidos e féculas; inulina; glúten de trigo</t>
  </si>
  <si>
    <t>12 - Sementes e frutos oleaginosos; grãos, sementes e frutos diversos; plantas industriais ou medicinais; palhas e forragens</t>
  </si>
  <si>
    <t>13 - Gomas, resinas e outros sucos e extratos vegetais</t>
  </si>
  <si>
    <t>14 - Matérias para entrançar e outros produtos de origem vegetal, não especificados nem compreendidos em noutros capítulos</t>
  </si>
  <si>
    <t>15 - Gorduras e óleos animais ou vegetais; produtos da sua dissociação; gorduras alimentares elaboradas; ceras de origem animal ou vegetal</t>
  </si>
  <si>
    <t>16 - Preparações de carne, de peixes, de crustáceos e de moluscos ou de outros invertebrados aquáticos</t>
  </si>
  <si>
    <t>17 - Açúcares e produtos de confeitaria</t>
  </si>
  <si>
    <t>18 - Cacau e suas preparações</t>
  </si>
  <si>
    <t>19 - Preparações à base de cereais, farinhas, amidos, féculas ou leite; produtos de pastelaria</t>
  </si>
  <si>
    <t>20 - Preparações de produtos hortícolas, de frutas ou de outras partes de plantas</t>
  </si>
  <si>
    <t>21 - Preparações alimentícias diversas</t>
  </si>
  <si>
    <t>22 - Bebidas, líquidos alcoólicos e vinagres</t>
  </si>
  <si>
    <t>23 - Resíduos e desperdícios das indústrias alimentares; alimentos preparados para animais</t>
  </si>
  <si>
    <t>24 - Tabaco e seus sucedâneos manufaturados</t>
  </si>
  <si>
    <t>25 - Sal; enxofre; terras e pedras; gesso, cal e cimento</t>
  </si>
  <si>
    <t>26 - Minérios, escórias e cinzas</t>
  </si>
  <si>
    <t>27 - Combustíveis minerais, óleos minerais e produtos da sua destilação; matérias betuminosas; ceras minerais</t>
  </si>
  <si>
    <t>28 - Produtos químicos inorgânicos; compostos inorgânicos ou orgânicos de metais preciosos, de elementos radioativos, de metais das terras raras ou de isótopos</t>
  </si>
  <si>
    <t>29 - Produtos químicos orgânicos</t>
  </si>
  <si>
    <t>30 - Produtos farmacêuticos</t>
  </si>
  <si>
    <t>31 - Adubos (fertilizantes)</t>
  </si>
  <si>
    <t>32 - Extratos tanantes e tintoriais; taninos e seus derivados; pigmentos e outras matérias corantes; tintas e vernizes; mástiques; tintas de escrever</t>
  </si>
  <si>
    <t>33 - Óleos essenciais e resinoides; produtos de perfumaria ou de toucador preparados e preparações cosméticas</t>
  </si>
  <si>
    <t>34 - Sabões, agentes orgânicos de superfície, preparações para lavagem, preparações lubrificantes, ceras artificiais, ceras preparadas, produtos de conservação e limpeza, velas e artigos semelhantes, massas ou pastas para modelar, ceras para dentistas e comp</t>
  </si>
  <si>
    <t>35 - Matérias albuminoides; produtos à base de amidos ou de féculas modificados; colas; enzimas</t>
  </si>
  <si>
    <t>36 - Pólvoras e explosivos; artigos de pirotecnia; fósforos; ligas pirofóricas; matérias inflamáveis</t>
  </si>
  <si>
    <t>37 - Produtos para fotografia e cinematografia</t>
  </si>
  <si>
    <t>38 - Produtos diversos das indústrias químicas</t>
  </si>
  <si>
    <t>39 - Plástico e suas obras</t>
  </si>
  <si>
    <t>40 - Borracha e suas obras</t>
  </si>
  <si>
    <t>41 - Peles, exceto peles com pelo, e couros</t>
  </si>
  <si>
    <t>42 - Obras de couro; artigos de correeiro ou de seleiro; artigos de viagem, bolsas e artefactos semelhantes; obras de tripa</t>
  </si>
  <si>
    <t>43 - Peles com pelo e suas obras; peles com pelo, artificiais</t>
  </si>
  <si>
    <t>44 - Madeira, carvão vegetal e obras de madeira</t>
  </si>
  <si>
    <t>45 - Cortiça e suas obras</t>
  </si>
  <si>
    <t>46 - Obras de espartaria ou de cestaria</t>
  </si>
  <si>
    <t>47 - Pastas de madeira ou de outras matérias fibrosas celulósicas; papel ou cartão para reciclar (desperdícios e aparas)</t>
  </si>
  <si>
    <t>48 - Papel e cartão; obras de pasta de celulose, de papel ou de cartão</t>
  </si>
  <si>
    <t>49 - Livros, jornais, gravuras e outros produtos das indústrias gráficas; textos manuscritos ou dactilografados, planos e plantas</t>
  </si>
  <si>
    <t>50 - Seda</t>
  </si>
  <si>
    <t>51 - Lã, pelos finos ou grosseiros; fios e tecidos de crina</t>
  </si>
  <si>
    <t>52 - Algodão</t>
  </si>
  <si>
    <t>53 - Outras fibras têxteis vegetais; fios de papel e tecidos de fios de papel</t>
  </si>
  <si>
    <t>54 - Filamentos sintéticos ou artificiais; lâminas e formas semelhantes de matérias têxteis sintéticas ou artificiais</t>
  </si>
  <si>
    <t>55 - Fibras sintéticas ou artificiais descontínuas</t>
  </si>
  <si>
    <t>56 - Pastas (ouates), feltros e falsos tecidos; fios especiais, cordéis, cordas e cabos; artigos de cordoaria</t>
  </si>
  <si>
    <t>57 - Tapetes e outros revestimentos para pavimentos, de matérias têxteis</t>
  </si>
  <si>
    <t>58 - Tecidos especiais; tecidos tufados; rendas; tapeçarias; passamanarias; bordados</t>
  </si>
  <si>
    <t>59 - Tecidos impregnados, revestidos, recobertos ou estratificados; artigos para usos técnicos de matérias têxteis</t>
  </si>
  <si>
    <t>60 - Tecidos de malha</t>
  </si>
  <si>
    <t>61 - Vestuário e seus acessórios, de malha</t>
  </si>
  <si>
    <t>62 - Vestuário e seus acessórios, exceto de malha</t>
  </si>
  <si>
    <t>63 - Outros artefactos têxteis confecionados; sortidos; artecfatos de matérias têxteis, calçado, chapéus e artecfatos de uso semelhante, usados; trapos</t>
  </si>
  <si>
    <t>64 - Calçado, polainas e artefactos semelhantes, e suas partes</t>
  </si>
  <si>
    <t>65 - Chapéus e artefactos de uso semelhante, e suas partes</t>
  </si>
  <si>
    <t>66 - Guarda-chuvas, sombrinhas, guarda-sóis, bengalas, bengalas-assentos, chicotes e suas partes</t>
  </si>
  <si>
    <t>67 - Penas e penugem preparadas e suas obras; flores artificiais; obras de cabelo</t>
  </si>
  <si>
    <t>68 - Obras de pedra, gesso, cimento, amianto, mica ou de matérias semelhantes</t>
  </si>
  <si>
    <t>69 - Produtos cerâmicos</t>
  </si>
  <si>
    <t>70 - Vidro e suas obras</t>
  </si>
  <si>
    <t>71 - Pérolas naturais ou cultivadas, pedras preciosas ou semipreciosas e semelhantes, metais preciosos, metais folheados ou chapeados de metais preciosos, e suas obras; bijutaria; moedas</t>
  </si>
  <si>
    <t>72 - Ferro fundido, ferro e aço</t>
  </si>
  <si>
    <t>73 - Obras de ferro fundido, ferro ou aço</t>
  </si>
  <si>
    <t>74 - Cobre e suas obras</t>
  </si>
  <si>
    <t>75 - Níquel e suas obras</t>
  </si>
  <si>
    <t>76 - Alumínio e suas obras</t>
  </si>
  <si>
    <t>78 - Chumbo e suas obras</t>
  </si>
  <si>
    <t>79 - Zinco e suas obras</t>
  </si>
  <si>
    <t>80 - Estanho e suas obras</t>
  </si>
  <si>
    <t>81 - Outros metais comuns; ceramais (cermets); obras dessas matérias</t>
  </si>
  <si>
    <t>82 - Ferramentas, artefactos de cutelaria e talheres, e suas partes, de metais comuns</t>
  </si>
  <si>
    <t>83 - Obras diversas de metais comuns</t>
  </si>
  <si>
    <t>84 - Reatores nucleares, caldeiras, máquinas, aparelhos e instrumentos mecânicos, e suas partes</t>
  </si>
  <si>
    <t>85 - Máquinas, aparelhos e materiais elétricos e suas partes; aparelhos de gravação ou de reprodução de som, aparelhos de gravação ou de reprodução de imagens e de som em televisão e suas partes e acessórios</t>
  </si>
  <si>
    <t>86 - Veículos e material para vias-férreas ou semelhantes, e suas partes; aparelhos mecânicos (incluindo os eletromecânicos) de sinalização para vias de comunicação</t>
  </si>
  <si>
    <t>87 - Veículos automóveis, tratores, ciclos e outros veículos terrestres, suas partes e acessórios</t>
  </si>
  <si>
    <t>88 - Aeronaves e aparelhos espaciais, e suas partes</t>
  </si>
  <si>
    <t>89 - Embarcações e estruturas flutuantes</t>
  </si>
  <si>
    <t>90 - Instrumentos e aparelhos de ótica, fotografia ou cinematografia, de medida, de controlo ou de precisão; instrumentos e aparelhos médico-cirúrgicos; suas partes e acessórios</t>
  </si>
  <si>
    <t>91 - Artigos de relojoaria</t>
  </si>
  <si>
    <t>92 - Instrumentos musicais; suas partes e acessórios</t>
  </si>
  <si>
    <t>93 - Armas e munições, suas partes e acessórios</t>
  </si>
  <si>
    <t>94 - Móveis; mobiliário médico-cirúrgico; colchões, almofadas e semelhantes; aparelhos de iluminação não especificados nem compreendidos em outros capítulos; anúncios, tabuletas ou cartazes e placas indicadoras, luminosos e artigos semelhantes; construções p</t>
  </si>
  <si>
    <t>95 - Brinquedos, jogos, artigos para divertimento ou para desporto; suas partes e acessórios</t>
  </si>
  <si>
    <t>96 - Obras diversas</t>
  </si>
  <si>
    <t>97 - Objetos de arte, de coleção ou antiguidades</t>
  </si>
  <si>
    <t>98 - Conjuntos industriais</t>
  </si>
  <si>
    <t>Afeganistão</t>
  </si>
  <si>
    <t>África do Sul</t>
  </si>
  <si>
    <t>Albânia</t>
  </si>
  <si>
    <t>Alemanha</t>
  </si>
  <si>
    <t>Andorra</t>
  </si>
  <si>
    <t>Angola</t>
  </si>
  <si>
    <t>Anguila</t>
  </si>
  <si>
    <t>Antárctica</t>
  </si>
  <si>
    <t>Antígua e Barbuda</t>
  </si>
  <si>
    <t>Antilhas Holandesas</t>
  </si>
  <si>
    <t>Arábia Saudita</t>
  </si>
  <si>
    <t>Argélia</t>
  </si>
  <si>
    <t>Argentina</t>
  </si>
  <si>
    <t>Arménia</t>
  </si>
  <si>
    <t>Aruba</t>
  </si>
  <si>
    <t>Austrália</t>
  </si>
  <si>
    <t>Áustria</t>
  </si>
  <si>
    <t>Azerbaijão</t>
  </si>
  <si>
    <t>Bahamas</t>
  </si>
  <si>
    <t>Bangladesh</t>
  </si>
  <si>
    <t>Barbados</t>
  </si>
  <si>
    <t>Barém</t>
  </si>
  <si>
    <t>Bélgica</t>
  </si>
  <si>
    <t>Belize</t>
  </si>
  <si>
    <t>Benim</t>
  </si>
  <si>
    <t>Bermudas</t>
  </si>
  <si>
    <t>Bielorrússia</t>
  </si>
  <si>
    <t>Bolívia, Estado Plurinacional da</t>
  </si>
  <si>
    <t>Bósnia-Herzegovina</t>
  </si>
  <si>
    <t>Botswana</t>
  </si>
  <si>
    <t>Brasil</t>
  </si>
  <si>
    <t>Brunei Darussalam</t>
  </si>
  <si>
    <t>Bulgária</t>
  </si>
  <si>
    <t>Burkina Faso</t>
  </si>
  <si>
    <t>Burundi</t>
  </si>
  <si>
    <t>Butão</t>
  </si>
  <si>
    <t>Cabo Verde</t>
  </si>
  <si>
    <t>Camarões</t>
  </si>
  <si>
    <t>Camboja</t>
  </si>
  <si>
    <t>Catar</t>
  </si>
  <si>
    <t>Cazaquistão</t>
  </si>
  <si>
    <t>Centro-Africana (República)</t>
  </si>
  <si>
    <t>Chade</t>
  </si>
  <si>
    <t>Chile</t>
  </si>
  <si>
    <t>Chipre</t>
  </si>
  <si>
    <t>Colômbia</t>
  </si>
  <si>
    <t>Comores</t>
  </si>
  <si>
    <t>Congo</t>
  </si>
  <si>
    <t>Congo (República Democrática do)</t>
  </si>
  <si>
    <t>Coreia Norte</t>
  </si>
  <si>
    <t>Coreia Sul</t>
  </si>
  <si>
    <t>Costa do Marfim</t>
  </si>
  <si>
    <t>Costa Rica</t>
  </si>
  <si>
    <t>Croácia</t>
  </si>
  <si>
    <t>Cuba</t>
  </si>
  <si>
    <t>Dinamarca</t>
  </si>
  <si>
    <t>Domínica</t>
  </si>
  <si>
    <t>Egipto</t>
  </si>
  <si>
    <t>El Salvador</t>
  </si>
  <si>
    <t>Emiratos Árabes Unidos</t>
  </si>
  <si>
    <t>Equador</t>
  </si>
  <si>
    <t>Eritreia</t>
  </si>
  <si>
    <t>Eslováquia</t>
  </si>
  <si>
    <t>Eslovénia</t>
  </si>
  <si>
    <t>Espanha</t>
  </si>
  <si>
    <t>Estados Unidos</t>
  </si>
  <si>
    <t>Estónia</t>
  </si>
  <si>
    <t>Etiópia</t>
  </si>
  <si>
    <t>Filipinas</t>
  </si>
  <si>
    <t>Finlândia</t>
  </si>
  <si>
    <t>Gabão</t>
  </si>
  <si>
    <t>Gâmbia</t>
  </si>
  <si>
    <t>Gana</t>
  </si>
  <si>
    <t>Geórgia</t>
  </si>
  <si>
    <t>Geórgia do Sul e Ilhas Sandwich</t>
  </si>
  <si>
    <t>Gibraltar</t>
  </si>
  <si>
    <t>Granada</t>
  </si>
  <si>
    <t>Grécia</t>
  </si>
  <si>
    <t>Gronelândia</t>
  </si>
  <si>
    <t>Guadalupe</t>
  </si>
  <si>
    <t>Guam</t>
  </si>
  <si>
    <t>Guatemala</t>
  </si>
  <si>
    <t>Guernsey</t>
  </si>
  <si>
    <t>Guiana</t>
  </si>
  <si>
    <t>Guiana Francesa</t>
  </si>
  <si>
    <t>Guiné</t>
  </si>
  <si>
    <t>Guiné Equatorial</t>
  </si>
  <si>
    <t>Guiné-Bissau</t>
  </si>
  <si>
    <t>Haiti</t>
  </si>
  <si>
    <t>Honduras</t>
  </si>
  <si>
    <t>Hong Kong</t>
  </si>
  <si>
    <t>Hungria</t>
  </si>
  <si>
    <t>Iémen</t>
  </si>
  <si>
    <t>Ilha Bouvet</t>
  </si>
  <si>
    <t>Ilha Christmas</t>
  </si>
  <si>
    <t>Ilha de Man</t>
  </si>
  <si>
    <t>Ilha Heard e Ilhas Mcdonald</t>
  </si>
  <si>
    <t>Ilha Norfolk</t>
  </si>
  <si>
    <t>Ilhas Aland</t>
  </si>
  <si>
    <t>Ilhas Caimão</t>
  </si>
  <si>
    <t>Ilhas Cocos (Keeling)</t>
  </si>
  <si>
    <t>Ilhas Cook</t>
  </si>
  <si>
    <t>Ilhas Falkland (Malvinas)</t>
  </si>
  <si>
    <t>Ilhas Faroé</t>
  </si>
  <si>
    <t>Ilhas Fiji</t>
  </si>
  <si>
    <t>Ilhas Marianas do Norte</t>
  </si>
  <si>
    <t>Ilhas Marshall</t>
  </si>
  <si>
    <t>Ilhas Menores Distantes dos Estados Unidos</t>
  </si>
  <si>
    <t>Ilhas Salomão</t>
  </si>
  <si>
    <t>Ilhas Turcas e Caicos</t>
  </si>
  <si>
    <t>Ilhas Virgens (Britânicas)</t>
  </si>
  <si>
    <t>Ilhas Virgens (Estados Unidos)</t>
  </si>
  <si>
    <t>Índia</t>
  </si>
  <si>
    <t>Indonésia</t>
  </si>
  <si>
    <t>Irão (República Islâmica)</t>
  </si>
  <si>
    <t>Iraque</t>
  </si>
  <si>
    <t>Irlanda</t>
  </si>
  <si>
    <t>Islândia</t>
  </si>
  <si>
    <t>Israel</t>
  </si>
  <si>
    <t>Jamaica</t>
  </si>
  <si>
    <t>Japão</t>
  </si>
  <si>
    <t>Jersey</t>
  </si>
  <si>
    <t>Jibuti</t>
  </si>
  <si>
    <t>Jordânia</t>
  </si>
  <si>
    <t>Kiribati</t>
  </si>
  <si>
    <t>Kosovo</t>
  </si>
  <si>
    <t>Kuwait</t>
  </si>
  <si>
    <t>Laos (República Popular Democrática do)</t>
  </si>
  <si>
    <t>Lesoto</t>
  </si>
  <si>
    <t>Letónia</t>
  </si>
  <si>
    <t>Libéria</t>
  </si>
  <si>
    <t>Líbia (Jamahiriya Árabe da)</t>
  </si>
  <si>
    <t>Liechtenstein</t>
  </si>
  <si>
    <t>Lituânia</t>
  </si>
  <si>
    <t>Luxemburgo</t>
  </si>
  <si>
    <t>Macau</t>
  </si>
  <si>
    <t>Macedónia (Antiga República Jugoslava da)</t>
  </si>
  <si>
    <t>Madagáscar</t>
  </si>
  <si>
    <t>Malásia</t>
  </si>
  <si>
    <t>Malawi</t>
  </si>
  <si>
    <t>Maldivas</t>
  </si>
  <si>
    <t>Mali</t>
  </si>
  <si>
    <t>Malta</t>
  </si>
  <si>
    <t>Marrocos</t>
  </si>
  <si>
    <t>Martinica</t>
  </si>
  <si>
    <t>Maurícias</t>
  </si>
  <si>
    <t>Mauritânia</t>
  </si>
  <si>
    <t>Mayotte</t>
  </si>
  <si>
    <t>México</t>
  </si>
  <si>
    <t>Micronésia (Estados Federados da)</t>
  </si>
  <si>
    <t>Moçambique</t>
  </si>
  <si>
    <t>Moldova, República de</t>
  </si>
  <si>
    <t>Mónaco</t>
  </si>
  <si>
    <t>Mongólia</t>
  </si>
  <si>
    <t>Monserrate</t>
  </si>
  <si>
    <t>Montenegro</t>
  </si>
  <si>
    <t>Myanmar</t>
  </si>
  <si>
    <t>Namíbia</t>
  </si>
  <si>
    <t>Nauru</t>
  </si>
  <si>
    <t>Nepal</t>
  </si>
  <si>
    <t>Nicarágua</t>
  </si>
  <si>
    <t>Niger</t>
  </si>
  <si>
    <t>Nigéria</t>
  </si>
  <si>
    <t>Niue</t>
  </si>
  <si>
    <t>Noruega</t>
  </si>
  <si>
    <t>Nova Caledónia</t>
  </si>
  <si>
    <t>Nova Zelândia</t>
  </si>
  <si>
    <t>Omã</t>
  </si>
  <si>
    <t>Países Baixos</t>
  </si>
  <si>
    <t>Palau</t>
  </si>
  <si>
    <t>Panamá</t>
  </si>
  <si>
    <t>Papuásia-Nova Guiné</t>
  </si>
  <si>
    <t>Paquistão</t>
  </si>
  <si>
    <t>Paraguai</t>
  </si>
  <si>
    <t>Peru</t>
  </si>
  <si>
    <t>Pitcairn</t>
  </si>
  <si>
    <t>Polinésia Francesa</t>
  </si>
  <si>
    <t>Polónia</t>
  </si>
  <si>
    <t>Porto Rico</t>
  </si>
  <si>
    <t>Quénia</t>
  </si>
  <si>
    <t>Quirguizistão</t>
  </si>
  <si>
    <t>Reino Unido</t>
  </si>
  <si>
    <t>República Checa</t>
  </si>
  <si>
    <t>República Dominicana</t>
  </si>
  <si>
    <t>Reunião</t>
  </si>
  <si>
    <t>Roménia</t>
  </si>
  <si>
    <t>Ruanda</t>
  </si>
  <si>
    <t>Rússia (Federação da)</t>
  </si>
  <si>
    <t>Samoa</t>
  </si>
  <si>
    <t>Samoa Americana</t>
  </si>
  <si>
    <t>Santa Helena, Ascensão e Tristão da Cunha</t>
  </si>
  <si>
    <t>Santa Lúcia</t>
  </si>
  <si>
    <t>Santa Sé (Cidade Estado do Vaticano)</t>
  </si>
  <si>
    <t>São Bartolomeu</t>
  </si>
  <si>
    <t>São Cristóvão e Nevis</t>
  </si>
  <si>
    <t>São Marino</t>
  </si>
  <si>
    <t>São Martinho (parte francesa)</t>
  </si>
  <si>
    <t>São Pedro e Miquelon</t>
  </si>
  <si>
    <t>São Tomé e Príncipe</t>
  </si>
  <si>
    <t>São Vicente e Granadinas</t>
  </si>
  <si>
    <t>Sara Ocidental</t>
  </si>
  <si>
    <t>Senegal</t>
  </si>
  <si>
    <t>Serra Leoa</t>
  </si>
  <si>
    <t>Sérvia</t>
  </si>
  <si>
    <t>Seychelles</t>
  </si>
  <si>
    <t>Singapura</t>
  </si>
  <si>
    <t>Síria (República Árabe da)</t>
  </si>
  <si>
    <t>Somália</t>
  </si>
  <si>
    <t>Sri Lanka</t>
  </si>
  <si>
    <t>Suazilândia</t>
  </si>
  <si>
    <t>Sudão</t>
  </si>
  <si>
    <t>Suécia</t>
  </si>
  <si>
    <t>Suiça</t>
  </si>
  <si>
    <t>Suriname</t>
  </si>
  <si>
    <t>Svalbard e a Ilha de Jan Mayen</t>
  </si>
  <si>
    <t>Tailândia</t>
  </si>
  <si>
    <t>Taiwan (Província da China)</t>
  </si>
  <si>
    <t>Tajiquistão</t>
  </si>
  <si>
    <t>Tanzânia, República Unida da</t>
  </si>
  <si>
    <t>Território Britânico do Oceano Índico</t>
  </si>
  <si>
    <t>Território Palestiniano Ocupado</t>
  </si>
  <si>
    <t>Territórios Franceses do Sul</t>
  </si>
  <si>
    <t>Timor Leste</t>
  </si>
  <si>
    <t>Togo</t>
  </si>
  <si>
    <t>Tokelau</t>
  </si>
  <si>
    <t>Tonga</t>
  </si>
  <si>
    <t>Trindade e Tobago</t>
  </si>
  <si>
    <t>Tunísia</t>
  </si>
  <si>
    <t>Turquemenistão</t>
  </si>
  <si>
    <t>Turquia</t>
  </si>
  <si>
    <t>Tuvalu</t>
  </si>
  <si>
    <t>Ucrânia</t>
  </si>
  <si>
    <t>Uganda</t>
  </si>
  <si>
    <t>Uruguai</t>
  </si>
  <si>
    <t>Usbequistão</t>
  </si>
  <si>
    <t>Vanuatu</t>
  </si>
  <si>
    <t>Venezuela, República Bolivariana da</t>
  </si>
  <si>
    <t>Vietname</t>
  </si>
  <si>
    <t>Wallis e Futuna (Ilhas)</t>
  </si>
  <si>
    <t>Zâmbia</t>
  </si>
  <si>
    <t>Zimbabwe</t>
  </si>
  <si>
    <t>Atividade económica por mercado (volume de negócios)</t>
  </si>
  <si>
    <t>Falta acrescentar no quadro infra</t>
  </si>
  <si>
    <t>VN Pós-Projeto efetivo</t>
  </si>
  <si>
    <t>Área de Formação</t>
  </si>
  <si>
    <t>Nível Qualif.</t>
  </si>
  <si>
    <t>Data Prevista entra</t>
  </si>
  <si>
    <t>Duração (meses)</t>
  </si>
  <si>
    <t>Remuneração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</si>
  <si>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</si>
  <si>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</si>
  <si>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</si>
  <si>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</si>
  <si>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</si>
  <si>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</si>
  <si>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</si>
  <si>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</si>
  <si>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</si>
  <si>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</si>
  <si>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</si>
  <si>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</si>
  <si>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</si>
  <si>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Tx. S. Social</t>
  </si>
  <si>
    <t>Contratação de Quadros Técnicos</t>
  </si>
  <si>
    <t>Capitais Próprios (1)</t>
  </si>
  <si>
    <t xml:space="preserve">    Capital</t>
  </si>
  <si>
    <t xml:space="preserve">    Prestações Suplementares Capital</t>
  </si>
  <si>
    <t>Autofinanciamento (2)</t>
  </si>
  <si>
    <t>Financiamentos</t>
  </si>
  <si>
    <t xml:space="preserve">    Financiamento de Instituições de Crédito</t>
  </si>
  <si>
    <t xml:space="preserve">    Empréstimos por Obrigações</t>
  </si>
  <si>
    <t xml:space="preserve">    Financiamento de Sócios/Acionistas</t>
  </si>
  <si>
    <t xml:space="preserve">        Suprimentos Consolidados (3)</t>
  </si>
  <si>
    <t xml:space="preserve">        Outras dívidas a Sócios/Acionistas</t>
  </si>
  <si>
    <t xml:space="preserve">    Fornecedores de Investimentos</t>
  </si>
  <si>
    <t xml:space="preserve">    Locação Financeira</t>
  </si>
  <si>
    <t xml:space="preserve">    Incentivo</t>
  </si>
  <si>
    <t xml:space="preserve">        Não Reembolsável (INR)</t>
  </si>
  <si>
    <t xml:space="preserve">    Outros</t>
  </si>
  <si>
    <t>FINANCIAMENTO TOTAL</t>
  </si>
  <si>
    <t>INVESTIMENTO TOTAL</t>
  </si>
  <si>
    <t>INVESTIMENTO ELEGÍVEL TOTAL</t>
  </si>
  <si>
    <t>Rubricas</t>
  </si>
  <si>
    <t>VN Pós-Projeto indicativo</t>
  </si>
  <si>
    <t>43.1 - Terrenos e recursos naturais</t>
  </si>
  <si>
    <t>43.2 - Edifícios e outras construções</t>
  </si>
  <si>
    <t>43.3 - Equipamento básico</t>
  </si>
  <si>
    <t>43.4 - Equipamento de transporte</t>
  </si>
  <si>
    <t>43.5 - Equipamento administrativo</t>
  </si>
  <si>
    <t>43.6 - Equipamentos biológicos</t>
  </si>
  <si>
    <t>43.7 - Outros ativos fixos tangíveis</t>
  </si>
  <si>
    <t>44.1 - Goodwill</t>
  </si>
  <si>
    <t>44.2 - Projetos de desenvolvimento</t>
  </si>
  <si>
    <t>44.3 - Programas de computador</t>
  </si>
  <si>
    <t>44.4 - Propriedade industrial</t>
  </si>
  <si>
    <t>44.6 - Outros ativos intangíveis</t>
  </si>
  <si>
    <t>62.1 - Subcontratos</t>
  </si>
  <si>
    <t>62.2 - Serviços especializados</t>
  </si>
  <si>
    <t>62.3 - Materiais</t>
  </si>
  <si>
    <t>62.4 - Energia e fluídos</t>
  </si>
  <si>
    <t>62.5 - Deslocações, estadas, e transportes</t>
  </si>
  <si>
    <t>62.6 - Serviços diversos</t>
  </si>
  <si>
    <t>63.2 - Remunerações do pessoal</t>
  </si>
  <si>
    <t>63.5 - Encargos sobre remunerações</t>
  </si>
  <si>
    <t>63.8 - Outros gastos com pessoal</t>
  </si>
  <si>
    <t>Fundo de Maneio</t>
  </si>
  <si>
    <t>Equipamentos</t>
  </si>
  <si>
    <t>Software</t>
  </si>
  <si>
    <t>Custo com contratação técnicos</t>
  </si>
  <si>
    <t>Feiras e exposições - Aluguer de espaço</t>
  </si>
  <si>
    <t>Feiras e exposições - Outros serviços - Aluguer de espaço</t>
  </si>
  <si>
    <t>Feiras e exposições - Construção Stand</t>
  </si>
  <si>
    <t>Feiras e exposições - Outros serviços - Construção Stand</t>
  </si>
  <si>
    <t>Feiras e exposições - Custos de funcionamento</t>
  </si>
  <si>
    <t>Feiras e exposições - Deslocações e alojamento</t>
  </si>
  <si>
    <t>Prospeção - Contratação de serviços específicos</t>
  </si>
  <si>
    <t>Prospeção - Estudos e aquisição de informação</t>
  </si>
  <si>
    <t>Prospeção - Deslocações e alojamento</t>
  </si>
  <si>
    <t>Promoção - Contratação de serviços específicos</t>
  </si>
  <si>
    <t>Promoção - Assessoria de imprensa e relações públicas</t>
  </si>
  <si>
    <t>Promoção - Assistência Técnica</t>
  </si>
  <si>
    <t>Promoção - Deslocações e alojamento</t>
  </si>
  <si>
    <t>Campanhas de Marketing - Contratação de serviços específicos</t>
  </si>
  <si>
    <t>TOC/ROC até 5.000€</t>
  </si>
  <si>
    <t>Assistência Técnica</t>
  </si>
  <si>
    <t>Estudos e Diagnósticos</t>
  </si>
  <si>
    <t>Auditorias</t>
  </si>
  <si>
    <t>Implementação certificação</t>
  </si>
  <si>
    <t>Custos com entidade certificadora</t>
  </si>
  <si>
    <t>Testes e ensaios</t>
  </si>
  <si>
    <t>Registo de marcas</t>
  </si>
  <si>
    <t>Concepção de marcas e coleções</t>
  </si>
  <si>
    <t>Presença Web - Domiciliação de Serviços</t>
  </si>
  <si>
    <t>Presença Web - Adesão a plataformas</t>
  </si>
  <si>
    <t>Presença Web - Contratação de serviços específicos</t>
  </si>
  <si>
    <t>Registo de Patentes</t>
  </si>
  <si>
    <t>Propriedade Industrial - outros custos</t>
  </si>
  <si>
    <t>Terrenos, licenças e estudos de viabilidade realizados antes da candidatura</t>
  </si>
  <si>
    <t>Despesas não elegíveis</t>
  </si>
  <si>
    <t>Aquisição 
(aaaa-mm)</t>
  </si>
  <si>
    <t>DR Formulário Original</t>
  </si>
  <si>
    <t>DR Formulário com Arredondamentos</t>
  </si>
  <si>
    <t>DR Formulário a Exportar</t>
  </si>
  <si>
    <t>Balanço Formulário Original</t>
  </si>
  <si>
    <t>Balanço Formulário com Arredondamentos</t>
  </si>
  <si>
    <t>Balanço Formulário a Exportar</t>
  </si>
  <si>
    <t>Alavancagem Operacional</t>
  </si>
  <si>
    <t>Mínimo 1</t>
  </si>
  <si>
    <t>Mínimo 2</t>
  </si>
  <si>
    <t>Mínimo a Considerar</t>
  </si>
  <si>
    <t>Reservas legais 1</t>
  </si>
  <si>
    <t>Reservas legais 2</t>
  </si>
  <si>
    <t>Resultados Transitados</t>
  </si>
  <si>
    <t>Taxa Interna de Rentabilidade (TIR)</t>
  </si>
  <si>
    <t>CAPM</t>
  </si>
  <si>
    <t>-</t>
  </si>
  <si>
    <t>Nº RHs a entar</t>
  </si>
  <si>
    <t>Rentab. Econ. Ativo</t>
  </si>
  <si>
    <t>Rotação Ativo Total</t>
  </si>
  <si>
    <t>Rotação Ativo Fixo</t>
  </si>
  <si>
    <t>Rotação Ativo Circulante</t>
  </si>
  <si>
    <t>Coefic Financ do Ativo Fixo</t>
  </si>
  <si>
    <t>Ativo Circulante</t>
  </si>
  <si>
    <t>Valor a Considerar</t>
  </si>
  <si>
    <t>Juros + imp selo</t>
  </si>
  <si>
    <t>Juros + imp 
selo totais</t>
  </si>
  <si>
    <t>VN</t>
  </si>
  <si>
    <t>Reservas (acrescentar)</t>
  </si>
  <si>
    <t>Outrros Instrumentos de CP - PS</t>
  </si>
  <si>
    <t>Euribor 6 meses - 02/01/2019</t>
  </si>
  <si>
    <t>Feira IDTECHEX - Alemanha -  Aluguer de espaços</t>
  </si>
  <si>
    <t>2020-04</t>
  </si>
  <si>
    <t>Feira IDTECHEX - Alemanha - Concepção, decoração e montagem de stand</t>
  </si>
  <si>
    <t>Feira IDTECHEX - Alemanha - Transporte de materiais, mostruários e outros suportes promocionais</t>
  </si>
  <si>
    <t>Feira IDTECHEX - Alemanha - Assistência Local e apoio logístico</t>
  </si>
  <si>
    <t xml:space="preserve">Feira IDTECHEX - Alemanha - Tradutor/interprete </t>
  </si>
  <si>
    <t>Feira IDTECHEX - Alemanha - Material Promocional</t>
  </si>
  <si>
    <t>Feira IDTECHEX - Alemanha - Promoção e divulgação do local do stand e Assessoria de Imprensa</t>
  </si>
  <si>
    <t>Feira IDTECHEX - Alemanha - Viagem e estadia</t>
  </si>
  <si>
    <t>Feira IDTECHEX - USA - California -  Santa Clara Convention Centers - Aluguer de espaços</t>
  </si>
  <si>
    <t>2019-11</t>
  </si>
  <si>
    <t>Feira IDTECHEX - USA - California -  Santa Clara Convention Centers - Concepção, decoração e montagem de stand</t>
  </si>
  <si>
    <t>Feira IDTECHEX - USA - California -  Santa Clara Convention Centers - Transporte de materiais, mostruários e outros suportes promocionais</t>
  </si>
  <si>
    <t>Feira IDTECHEX - USA - California -  Santa Clara Convention Centers - Assistência Local e apoio logístico</t>
  </si>
  <si>
    <t>Feira IDTECHEX - USA - California -  Santa Clara Convention Centers - Material Promocional</t>
  </si>
  <si>
    <t>Feira IDTECHEX - USA - California -  Santa Clara Convention Centers - Promoção e divulgação do local do stand e Assessoria de Imprensa</t>
  </si>
  <si>
    <t>Feira IDTECHEX - USA - California -  Santa Clara Convention Centers - Viagem e estadia</t>
  </si>
  <si>
    <t>2020-11</t>
  </si>
  <si>
    <t>Feira Wearable Technology Show - Reino Unido- Aluguer de espaços</t>
  </si>
  <si>
    <t>2020-03</t>
  </si>
  <si>
    <t>Feira Wearable Technology Show - Reino Unido - Concepção, decoração e montagem de stand</t>
  </si>
  <si>
    <t>Feira Wearable Technology Show - Reino Unido - Transporte de materiais, mostruários e outros suportes promocionais</t>
  </si>
  <si>
    <t>Feira Wearable Technology Show - Reino Unido - Assistência Local e apoio logístico</t>
  </si>
  <si>
    <t>Feira Wearable Technology Show - Reino Unido - Material Promocional</t>
  </si>
  <si>
    <t>Feira Wearable Technology Show - Reino Unido - Promoção e divulgação do local do stand e Assessoria de Imprensa</t>
  </si>
  <si>
    <t>Feira Wearable Technology Show - Reino Unido - Viagem e estadia</t>
  </si>
  <si>
    <t>2021-03</t>
  </si>
  <si>
    <t>Feira Medica-Trade Fair - Alemanha - Aluguer de espaços</t>
  </si>
  <si>
    <t>2020-05</t>
  </si>
  <si>
    <t>Feira Medica-Trade Fair - Alemanha - Concepção, decoração e montagem de stand</t>
  </si>
  <si>
    <t>Feira Medica-Trade Fair - Alemanha - Transporte de materiais, mostruários e outros suportes promocionais</t>
  </si>
  <si>
    <t>Feira Medica-Trade Fair - Alemanha - Assistência Local e apoio logístico</t>
  </si>
  <si>
    <t xml:space="preserve">Feira Medica-Trade Fair - Alemanha - Tradutor/interprete </t>
  </si>
  <si>
    <t>Feira Medica-Trade Fair - Alemanha - Material Promocional</t>
  </si>
  <si>
    <t>Feira Medica-Trade Fair - Alemanha - Promoção e divulgação do local do stand e Assessoria de Imprensa</t>
  </si>
  <si>
    <t>Feira Medica-Trade Fair - Alemanha - Viagem e estadia</t>
  </si>
  <si>
    <t>2021-05</t>
  </si>
  <si>
    <t>Feira Medica-Trade Fair - Alemanha  - Viagem e estadia</t>
  </si>
  <si>
    <t>Feira MWC Barcelona em Espanha - Aluguer de espaços</t>
  </si>
  <si>
    <t>2020-02</t>
  </si>
  <si>
    <t>Feira MWC Barcelona em Espanha - Concepção, decoração e montagem de stand</t>
  </si>
  <si>
    <t>Feira MWC Barcelona em Espanha - Transporte de materiais, mostruários e outros suportes promocionais</t>
  </si>
  <si>
    <t>Feira MWC Barcelona em Espanha - Assistência Local e apoio logístico</t>
  </si>
  <si>
    <t>Feira MWC Barcelona em Espanha - Material Promocional</t>
  </si>
  <si>
    <t>Feira MWC Barcelona em Espanha - Promoção e divulgação do local do stand e Assessoria de Imprensa</t>
  </si>
  <si>
    <t>Feira MWC Barcelona em Espanha - Viagem e estadia</t>
  </si>
  <si>
    <t>Feira CES Las vegas em USA no ano 2021 - Aluguer de espaços</t>
  </si>
  <si>
    <t>2021-01</t>
  </si>
  <si>
    <t>Feira CES Las vegas em USA - Concepção, decoração e montagem de stand</t>
  </si>
  <si>
    <t>Feira CES Las vegas em USA - Transporte de materiais, mostruários e outros suportes promocionais</t>
  </si>
  <si>
    <t>Feira CES Las vegas em USA - Assistência Local e apoio logístico</t>
  </si>
  <si>
    <t>Feira CES Las vegas em USA - Material Promocional</t>
  </si>
  <si>
    <t>Feira CES Las vegas em USA - Promoção e divulgação do local do stand e Assessoria de Imprensa</t>
  </si>
  <si>
    <t>Feira CES Las vegas em USA - Viagem e estadia</t>
  </si>
  <si>
    <t>Feira BONUS Hospitalar S. Paulo em Brasil - Aluguer de espaços - 2020</t>
  </si>
  <si>
    <t>Feira BONUS Hospitalar S. Paulo em Brasil - Concepção, decoração e montagem de stand</t>
  </si>
  <si>
    <t>Feira BONUS Hospitalar S. Paulo em Brasil - Transporte de materiais, mostruários e outros suportes promocionais</t>
  </si>
  <si>
    <t>Feira BONUS Hospitalar S. Paulo em Brasil - Assistência Local e apoio logístico</t>
  </si>
  <si>
    <t>Feira BONUS Hospitalar S. Paulo em Brasil - Material Promocional</t>
  </si>
  <si>
    <t>Feira BONUS Hospitalar S. Paulo em Brasil - Promoção e divulgação do local do stand e Assessoria de Imprensa</t>
  </si>
  <si>
    <t xml:space="preserve">Feira BONUS Hospitalar S. Paulo em Brasil - Viagem e estadia </t>
  </si>
  <si>
    <t>Feira BONUS Hospitalar S. Paulo em Brasil - Aluguer de espaços - 2021</t>
  </si>
  <si>
    <t>Feira BONUS Hospitalar S. Paulo em Brasil  - Promoção e divulgação do local do stand e Assessoria de Imprensa</t>
  </si>
  <si>
    <t>Feira BONUS Hospitalar S. Paulo em Brasil - Viagem e estadia</t>
  </si>
  <si>
    <t>Criação de Web site interativo - idiomas (Português, Inglês e espanhol)</t>
  </si>
  <si>
    <t>Plataforma de E-commerce - on-line (Português, Inglês e espanhol)</t>
  </si>
  <si>
    <t>2020-01</t>
  </si>
  <si>
    <t>Publicidade Internacional Online - SEO (Search Engine Optimization) e SEM (Search Engine Marketing)</t>
  </si>
  <si>
    <t>2019-10</t>
  </si>
  <si>
    <t>Vídeos promocionais</t>
  </si>
  <si>
    <t>Traduções e adaptações de conteúdos para os diversos mercados</t>
  </si>
  <si>
    <t>Catálogos electrónicos</t>
  </si>
  <si>
    <t>Contratação RH 1 - Vencimento 2019 - Entrada a 01-07-2019 (vencimento 1500)</t>
  </si>
  <si>
    <t>2019-12</t>
  </si>
  <si>
    <t>Contratação RH 1 - Encargos Sociais - 2019</t>
  </si>
  <si>
    <t>Contratação RH 1 - Vencimento 2020</t>
  </si>
  <si>
    <t>2020-12</t>
  </si>
  <si>
    <t>Contratação RH 1 - Encargos Sociais - 2020</t>
  </si>
  <si>
    <t>Contratação RH 1 - Vencimento 2021</t>
  </si>
  <si>
    <t>2021-06</t>
  </si>
  <si>
    <t>Contratação RH 1 - Encargos Sociais - 2021</t>
  </si>
  <si>
    <t>Computador portátil para o RH1</t>
  </si>
  <si>
    <t>2019-07</t>
  </si>
  <si>
    <t>Registo internacional de Marcas e Patentes</t>
  </si>
  <si>
    <t>2021-02</t>
  </si>
  <si>
    <t>Desenvolvimento de Marca</t>
  </si>
  <si>
    <t>2019-08</t>
  </si>
  <si>
    <t>Showroom em USA Silicon valley 2020 - Organização e gestão do evento</t>
  </si>
  <si>
    <t>2020-10</t>
  </si>
  <si>
    <t>Showroom em USA Silicon valley 2020 - Aluguer de espaço</t>
  </si>
  <si>
    <t>Showroom em USA Silicon valley 2020 - Implementação de showroom (incluindo design, concepção, preparação, decoração, materiais e equipamentos, obras, instalações diversas, etc)</t>
  </si>
  <si>
    <t>Showroom em USA Silicon valley 2020 - Divulgação do evento e assessoria de imprensa</t>
  </si>
  <si>
    <t>Showroom em USA Silicon valley 2020 - Material Promocional para o evento</t>
  </si>
  <si>
    <t>Showroom em USA Silicon valley 2020 - Assistência local e apoio logístico e tradutores/interpretes</t>
  </si>
  <si>
    <t>Showroom em USA Silicon valley 2020 - Viagem e alojamento</t>
  </si>
  <si>
    <t>Showroom em USA Silicon valley 2021 - Organização e gestão do evento</t>
  </si>
  <si>
    <t>2021-04</t>
  </si>
  <si>
    <t>Showroom em USA Silicon valley 2021 - Aluguer de espaço</t>
  </si>
  <si>
    <t>Showroom em USA Silicon valley 2021 - Implementação de showroom (incluindo design, concepção, preparação, decoração, materiais e equipamentos, obras, instalações diversas, etc)</t>
  </si>
  <si>
    <t>Showroom em USA Silicon valley 2021 - Divulgação do evento e assessoria de imprensa</t>
  </si>
  <si>
    <t>Showroom em USA Silicon valley 2021 - Material Promocional para o evento</t>
  </si>
  <si>
    <t>Showroom em USA Silicon valley 2021 - Assistência local e apoio logístico e tradutores/interpretes</t>
  </si>
  <si>
    <t>Showroom em USA Silicon valley 2021 - Viagem e alojamento</t>
  </si>
  <si>
    <t>Showroom em Alemanha 2020 - Organização e gestão do evento</t>
  </si>
  <si>
    <t>Showroom em Alemanha 2020 - Aluguer de espaço</t>
  </si>
  <si>
    <t>Showroom em Alemanha 2020 - Implementação de showroom (incluindo design, concepção, preparação, decoração, materiais e equipamentos, obras, instalações diversas, etc)</t>
  </si>
  <si>
    <t>Showroom em Alemanha 2020 - Divulgação do evento e assessoria de imprensa</t>
  </si>
  <si>
    <t>Showroom em Alemanha 2020 - Material Promocional para o evento</t>
  </si>
  <si>
    <t>Showroom em Alemanha 2020 - Assistência local e apoio logístico e tradutores/interpretes</t>
  </si>
  <si>
    <t xml:space="preserve">Showroom em Alemanha 2020 - Viagem e alojamento </t>
  </si>
  <si>
    <t>Showroom em Alemanha 2021 - Organização e gestão do evento</t>
  </si>
  <si>
    <t>2020-06</t>
  </si>
  <si>
    <t>Showroom em Alemanha 2021 - Aluguer de espaço</t>
  </si>
  <si>
    <t>Showroom em Alemanha 2021 - Implementação de showroom (incluindo design, concepção, preparação, decoração, materiais e equipamentos, obras, instalações diversas, etc)</t>
  </si>
  <si>
    <t>Showroom em Alemanha 2021 - Divulgação do evento e assessoria de imprensa</t>
  </si>
  <si>
    <t>Showroom em Alemanha 2021 - Material Promocional para o evento</t>
  </si>
  <si>
    <t>Showroom em Alemanha 2021 - Assistência local e apoio logístico e tradutores/interpretes</t>
  </si>
  <si>
    <t>Showroom em Alemanha 2021 - Viagem e alojamento</t>
  </si>
  <si>
    <t>Showroom em Espanha 2019 - Organização e gestão do evento</t>
  </si>
  <si>
    <t>Showroom em Espanha 2019 - Aluguer de espaço</t>
  </si>
  <si>
    <t>Showroom em Espanha 2019 - Implementação de showroom (incluindo design, concepção, preparação, decoração, materiais e equipamentos, obras, instalações diversas, etc)</t>
  </si>
  <si>
    <t>Showroom em Espanha 2019 - Divulgação do evento e assessoria de imprensa</t>
  </si>
  <si>
    <t>Showroom em Espanha 2019 - Material Promocional para o evento</t>
  </si>
  <si>
    <t>Showroom em Espanha 2019 - Assistência local e apoio logístico e tradutores/interpretes</t>
  </si>
  <si>
    <t>Showroom em Espanha 2019 - Viagem e alojamento</t>
  </si>
  <si>
    <t>Showroom em Espanha 2020 - Organização e gestão do evento</t>
  </si>
  <si>
    <t>Showroom em Espanha 2020 - Aluguer de espaço</t>
  </si>
  <si>
    <t>Showroom em Espanha 2020 - Implementação de showroom (incluindo design, concepção, preparação, decoração, materiais e equipamentos, obras, instalações diversas, etc)</t>
  </si>
  <si>
    <t>Showroom em Espanha 2020 - Divulgação do evento e assessoria de imprensa</t>
  </si>
  <si>
    <t>Showroom em Espanha 2020 - Material Promocional para o evento</t>
  </si>
  <si>
    <t>Showroom em Espanha 2020 - Assistência local e apoio logístico e tradutores/interpretes</t>
  </si>
  <si>
    <t>Showroom em Espanha 2020 - Viagem e alojamento</t>
  </si>
  <si>
    <t>Prospecção ao mercado Espanha 2019 - Deslocação e alojamento</t>
  </si>
  <si>
    <t>Prospecção ao mercado Espanha 2020 - Deslocação e alojamento</t>
  </si>
  <si>
    <t>Prospecção ao mercado Espanha  2020 - Deslocação e alojamento</t>
  </si>
  <si>
    <t>2020-07</t>
  </si>
  <si>
    <t>Prospecção ao mercado Espanha  2021 - Deslocação e alojamento</t>
  </si>
  <si>
    <t>Prospecção ao mercado Reino Unido 2019 - Deslocação e alojamento</t>
  </si>
  <si>
    <t>2019-09</t>
  </si>
  <si>
    <t>Prospecção ao mercado Reino Unido 2020 - Deslocação e alojamento</t>
  </si>
  <si>
    <t>Prospecção ao mercado Reino Unido  2020 - Deslocação e alojamento</t>
  </si>
  <si>
    <t>2020-09</t>
  </si>
  <si>
    <t>Prospecção ao mercado Reino Unido  2021 - Deslocação e alojamento</t>
  </si>
  <si>
    <t>Prospecção ao mercado Alemanha 2019 - Deslocação e alojamento</t>
  </si>
  <si>
    <t>Prospecção ao mercado Alemanha 2020 - Deslocação e alojamento</t>
  </si>
  <si>
    <t>Prospecção ao mercado Alemanha  2020 - Deslocação e alojamento</t>
  </si>
  <si>
    <t>Prospecção ao mercado Alemanha  2021 - Deslocação e alojamento</t>
  </si>
  <si>
    <t>Prospecção ao mercado Kosovo 2019 - Deslocação e alojamento</t>
  </si>
  <si>
    <t>Prospecção ao mercado Kosovo 2020 - Deslocação e alojamento</t>
  </si>
  <si>
    <t>Prospecção ao mercado Kosovo  2020 - Deslocação e alojamento</t>
  </si>
  <si>
    <t>Prospecção ao mercado Kosovo  2021 - Deslocação e alojamento</t>
  </si>
  <si>
    <t>Prospecção ao mercado Brasil 2019 - Deslocação e alojamento</t>
  </si>
  <si>
    <t>Prospecção ao mercado Brasil  2020 - Deslocação e alojamento</t>
  </si>
  <si>
    <t>Prospecção ao mercado Brasil  2021  - Deslocação e alojamento</t>
  </si>
  <si>
    <t>Prospecção ao mercado USA 2019 - Deslocação e alojamento</t>
  </si>
  <si>
    <t>Prospecção ao mercado USA  2020 - Deslocação e alojamento</t>
  </si>
  <si>
    <t>Prospecção ao mercado USA  2021  - Deslocação e alojamento</t>
  </si>
  <si>
    <t>Levantamento do mercado da Espanha para fins de prospeção com bases de dados incluída</t>
  </si>
  <si>
    <t>Levantamento do mercado da Reino Unido para fins de prospeção com bases de dados incluída</t>
  </si>
  <si>
    <t>Levantamento do mercado da Alemanha para fins de prospeção com bases de dados incluída</t>
  </si>
  <si>
    <t>Levantamento do mercado da Brasil para fins de prospeção com bases de dados incluída</t>
  </si>
  <si>
    <t>Levantamento do mercado da Kosovo para fins de prospeção com bases de dados incluída</t>
  </si>
  <si>
    <t>Levantamento do mercado dos EUA para fins de prospeção com bases de dados incluída</t>
  </si>
  <si>
    <t>Contratação RH 2 - Vencimento 2019 - Entrada a 01-07-2019 (vencimento 1500)</t>
  </si>
  <si>
    <t>Contratação RH 2 - Encargos Sociais - 2019</t>
  </si>
  <si>
    <t>Contratação RH 2 - Vencimento 2020</t>
  </si>
  <si>
    <t>Contratação RH 2 - Encargos Sociais - 2020</t>
  </si>
  <si>
    <t>Contratação RH 2 - Vencimento 2021</t>
  </si>
  <si>
    <t>Contratação RH 2 - Encargos Sociais - 2021</t>
  </si>
  <si>
    <t>Computador portátil para o RH2</t>
  </si>
  <si>
    <t xml:space="preserve">CRM </t>
  </si>
  <si>
    <t>Desenvolvimento e produção de material promocional (catálogos, brochuras, rollups, etc)</t>
  </si>
  <si>
    <t>Despesas com TOC 2020</t>
  </si>
  <si>
    <t>Despesas com TOC 2021</t>
  </si>
  <si>
    <t>Feira IDTECHEX - Alemanha</t>
  </si>
  <si>
    <t>Feira Wearable Technology Show - Reino Unido</t>
  </si>
  <si>
    <t>Feira Medica-Trade Fair - Alemanha</t>
  </si>
  <si>
    <t>Feira IDTECHEX - USA - California</t>
  </si>
  <si>
    <t xml:space="preserve">Feira Medica-Trade Fair - Alemanha </t>
  </si>
  <si>
    <t>Feira MWC Barcelona em Espanha</t>
  </si>
  <si>
    <t>Feira BONUS Hospitalar S. Paulo em Brasil</t>
  </si>
  <si>
    <t xml:space="preserve">Feira CES Las vegas em USA </t>
  </si>
  <si>
    <t xml:space="preserve">Feira BONUS Hospitalar S. Paulo em Brasil </t>
  </si>
  <si>
    <t>Contratação RH 1</t>
  </si>
  <si>
    <t xml:space="preserve">Web site </t>
  </si>
  <si>
    <t xml:space="preserve">Publicidade Internacional Online </t>
  </si>
  <si>
    <t>Showroom em USA Silicon valley 2021</t>
  </si>
  <si>
    <t>Marcas e Patentes</t>
  </si>
  <si>
    <t xml:space="preserve">Showroom em USA Silicon valley 2020 </t>
  </si>
  <si>
    <t>Showroom em Alemanha 2020</t>
  </si>
  <si>
    <t>Showroom em Alemanha 2021</t>
  </si>
  <si>
    <t>Showroom em Espanha 2019</t>
  </si>
  <si>
    <t>Showroom em Espanha 2020</t>
  </si>
  <si>
    <t xml:space="preserve">Showroom em Espanha 2020 </t>
  </si>
  <si>
    <t>Viagens de  Prospeção</t>
  </si>
  <si>
    <t>Estudos e Bases de Dados</t>
  </si>
  <si>
    <t xml:space="preserve">Contratação RH 2 </t>
  </si>
  <si>
    <t>Plano de Marketing e acção comercial Internacional</t>
  </si>
  <si>
    <t>Plano de Marketing</t>
  </si>
  <si>
    <t>Material promocional</t>
  </si>
  <si>
    <t>TOC/ROC</t>
  </si>
  <si>
    <t>Showroom em USA Silicon valley 2022</t>
  </si>
  <si>
    <t>Showroom em USA Silicon valley 2023</t>
  </si>
  <si>
    <t>Showroom em USA Silicon valley 2024</t>
  </si>
  <si>
    <t>Showroom em USA Silicon valley 2025</t>
  </si>
  <si>
    <t>Showroom em USA Silicon valley 2026</t>
  </si>
  <si>
    <t>Showroom em USA Silicon valley 2027</t>
  </si>
  <si>
    <t>Showroom em Alemanha 2022</t>
  </si>
  <si>
    <t>Showroom em Alemanha 2023</t>
  </si>
  <si>
    <t>Showroom em Alemanha 2024</t>
  </si>
  <si>
    <t>Showroom em Alemanha 2025</t>
  </si>
  <si>
    <t>Showroom em Alemanha 2026</t>
  </si>
  <si>
    <t>Showroom em Alemanha 2027</t>
  </si>
  <si>
    <t>Showroom em Espanha 2021</t>
  </si>
  <si>
    <t>Showroom em Espanha 2022</t>
  </si>
  <si>
    <t>Showroom em Espanha 2023</t>
  </si>
  <si>
    <t>Showroom em Espanha 2024</t>
  </si>
  <si>
    <t>Showroom em Espanha 2025</t>
  </si>
  <si>
    <t>Showroom em Espanha 2026</t>
  </si>
  <si>
    <t>Incentivo Inter</t>
  </si>
  <si>
    <t>Incentivo Inov</t>
  </si>
  <si>
    <t>Investimento Total</t>
  </si>
  <si>
    <t>Investimento Intern</t>
  </si>
  <si>
    <t>Investimento Inov</t>
  </si>
  <si>
    <t>Taxa de Comparticipação Internacionalização</t>
  </si>
  <si>
    <t>Taxa de Comparticipação Inovação (fundo Perdido)</t>
  </si>
  <si>
    <t>TOTAL INVESTIMENTOS GLOBAL</t>
  </si>
  <si>
    <t>Incentivo Inovação</t>
  </si>
  <si>
    <t>Incentivo Internacion</t>
  </si>
  <si>
    <t>Incentivo inter</t>
  </si>
  <si>
    <t>Despesa Internacionalização</t>
  </si>
  <si>
    <t>Incentivo Total</t>
  </si>
  <si>
    <t>MAPA DE FINANCIAMENTO - INTERNACIONALIZAÇÃO</t>
  </si>
  <si>
    <t>MAPA DE FINANCIAMENTO - INOVAÇÃO</t>
  </si>
  <si>
    <t>INTERNACIONALIZAÇÃO - MAPA</t>
  </si>
  <si>
    <t>INOVAÇÃO - MAPA</t>
  </si>
  <si>
    <t>MAPA GLOBAL</t>
  </si>
  <si>
    <t>AGRITORRES</t>
  </si>
  <si>
    <t>INTERNACIONALIZAÇÃO</t>
  </si>
  <si>
    <t>Ativos 2020</t>
  </si>
  <si>
    <t>Ativos 2021</t>
  </si>
  <si>
    <t>Ativos 2022</t>
  </si>
  <si>
    <t>FSE 2020</t>
  </si>
  <si>
    <t>FSE 2021</t>
  </si>
  <si>
    <t>FSE 2022</t>
  </si>
  <si>
    <t xml:space="preserve">Valor de Investimento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</si>
</sst>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(* #,##0.00_);_(* \(#,##0.00\);_(* &quot;-&quot;??_);_(@_)"/>
    <numFmt numFmtId="165" formatCode="0.0%"/>
    <numFmt numFmtId="166" formatCode="0.0000%"/>
    <numFmt numFmtId="167" formatCode="General_)"/>
    <numFmt numFmtId="168" formatCode="yyyy/mm"/>
    <numFmt numFmtId="169" formatCode="0_ ;\-0\ "/>
    <numFmt numFmtId="170" formatCode="[$-816]mmm/yy;@"/>
    <numFmt numFmtId="171" formatCode="#,##0.0"/>
    <numFmt numFmtId="172" formatCode="0.0"/>
    <numFmt numFmtId="173" formatCode="#,##0.000"/>
    <numFmt numFmtId="174" formatCode="0.0000"/>
    <numFmt numFmtId="175" formatCode="0.000"/>
    <numFmt numFmtId="176" formatCode="yyyy\-mm"/>
    <numFmt numFmtId="177" formatCode="0.00_ ;\-0.00\ "/>
    <numFmt numFmtId="178" formatCode="yyyy\-mm\-dd;@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9"/>
      <color indexed="81"/>
      <name val="Tahoma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indexed="9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u val="singleAccounting"/>
      <sz val="9"/>
      <name val="Calibri"/>
      <family val="2"/>
      <scheme val="minor"/>
    </font>
    <font>
      <b/>
      <u val="singleAccounting"/>
      <sz val="8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u val="singleAccounting"/>
      <sz val="8"/>
      <name val="Calibri"/>
      <family val="2"/>
      <scheme val="minor"/>
    </font>
    <font>
      <sz val="7"/>
      <name val="Arial"/>
      <family val="2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i/>
      <u val="singleAccounting"/>
      <sz val="8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16"/>
      <name val="Calibri"/>
      <family val="2"/>
      <scheme val="minor"/>
    </font>
    <font>
      <sz val="8"/>
      <color indexed="81"/>
      <name val="Tahoma"/>
      <family val="2"/>
    </font>
    <font>
      <b/>
      <sz val="9"/>
      <color indexed="9"/>
      <name val="Calibri"/>
      <family val="2"/>
      <scheme val="minor"/>
    </font>
    <font>
      <sz val="9"/>
      <color indexed="9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u/>
      <sz val="8"/>
      <name val="Calibri"/>
      <family val="2"/>
      <scheme val="minor"/>
    </font>
    <font>
      <b/>
      <u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9"/>
      <name val="Calibri"/>
      <family val="2"/>
      <scheme val="minor"/>
    </font>
    <font>
      <sz val="9"/>
      <color indexed="10"/>
      <name val="Calibri"/>
      <family val="2"/>
      <scheme val="minor"/>
    </font>
    <font>
      <b/>
      <sz val="9"/>
      <color indexed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3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4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hair">
        <color rgb="FF0070C0"/>
      </left>
      <right style="hair">
        <color rgb="FF0070C0"/>
      </right>
      <top style="thin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thin">
        <color rgb="FF0070C0"/>
      </bottom>
      <diagonal/>
    </border>
    <border>
      <left style="hair">
        <color rgb="FF0070C0"/>
      </left>
      <right style="hair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hair">
        <color rgb="FF0070C0"/>
      </right>
      <top style="thin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rgb="FF0070C0"/>
      </right>
      <top style="thin">
        <color rgb="FF0070C0"/>
      </top>
      <bottom style="hair">
        <color rgb="FF0070C0"/>
      </bottom>
      <diagonal/>
    </border>
    <border>
      <left style="medium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rgb="FF0070C0"/>
      </right>
      <top style="hair">
        <color rgb="FF0070C0"/>
      </top>
      <bottom style="hair">
        <color rgb="FF0070C0"/>
      </bottom>
      <diagonal/>
    </border>
    <border>
      <left style="medium">
        <color rgb="FF0070C0"/>
      </left>
      <right style="hair">
        <color rgb="FF0070C0"/>
      </right>
      <top style="hair">
        <color rgb="FF0070C0"/>
      </top>
      <bottom style="thin">
        <color rgb="FF0070C0"/>
      </bottom>
      <diagonal/>
    </border>
    <border>
      <left style="hair">
        <color rgb="FF0070C0"/>
      </left>
      <right style="medium">
        <color rgb="FF0070C0"/>
      </right>
      <top style="hair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hair">
        <color rgb="FF0070C0"/>
      </right>
      <top style="thin">
        <color rgb="FF0070C0"/>
      </top>
      <bottom style="thin">
        <color rgb="FF0070C0"/>
      </bottom>
      <diagonal/>
    </border>
    <border>
      <left style="hair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 style="hair">
        <color rgb="FF0070C0"/>
      </right>
      <top/>
      <bottom style="hair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hair">
        <color rgb="FF0070C0"/>
      </bottom>
      <diagonal/>
    </border>
    <border>
      <left style="thin">
        <color rgb="FF0070C0"/>
      </left>
      <right/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hair">
        <color rgb="FF0070C0"/>
      </bottom>
      <diagonal/>
    </border>
    <border>
      <left style="medium">
        <color rgb="FF0070C0"/>
      </left>
      <right style="thin">
        <color auto="1"/>
      </right>
      <top style="medium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n">
        <color rgb="FF0070C0"/>
      </bottom>
      <diagonal/>
    </border>
    <border>
      <left style="thin">
        <color indexed="64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auto="1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thin">
        <color rgb="FF0070C0"/>
      </top>
      <bottom style="hair">
        <color rgb="FF0070C0"/>
      </bottom>
      <diagonal/>
    </border>
    <border>
      <left style="medium">
        <color rgb="FF0070C0"/>
      </left>
      <right/>
      <top style="hair">
        <color rgb="FF0070C0"/>
      </top>
      <bottom style="hair">
        <color rgb="FF0070C0"/>
      </bottom>
      <diagonal/>
    </border>
    <border>
      <left style="medium">
        <color rgb="FF0070C0"/>
      </left>
      <right/>
      <top style="hair">
        <color rgb="FF0070C0"/>
      </top>
      <bottom style="thin">
        <color rgb="FF0070C0"/>
      </bottom>
      <diagonal/>
    </border>
    <border>
      <left style="medium">
        <color rgb="FF0070C0"/>
      </left>
      <right/>
      <top/>
      <bottom style="thin">
        <color rgb="FF0070C0"/>
      </bottom>
      <diagonal/>
    </border>
    <border>
      <left/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hair">
        <color rgb="FF0070C0"/>
      </bottom>
      <diagonal/>
    </border>
    <border>
      <left style="medium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medium">
        <color rgb="FF0070C0"/>
      </right>
      <top style="hair">
        <color rgb="FF0070C0"/>
      </top>
      <bottom style="hair">
        <color rgb="FF0070C0"/>
      </bottom>
      <diagonal/>
    </border>
    <border>
      <left style="medium">
        <color rgb="FF0070C0"/>
      </left>
      <right style="thin">
        <color rgb="FF0070C0"/>
      </right>
      <top style="hair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hair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hair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hair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rgb="FF0070C0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/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hair">
        <color rgb="FF0070C0"/>
      </bottom>
      <diagonal/>
    </border>
    <border>
      <left style="medium">
        <color rgb="FF0070C0"/>
      </left>
      <right/>
      <top/>
      <bottom style="hair">
        <color rgb="FF0070C0"/>
      </bottom>
      <diagonal/>
    </border>
    <border>
      <left style="medium">
        <color rgb="FF0070C0"/>
      </left>
      <right/>
      <top style="hair">
        <color rgb="FF0070C0"/>
      </top>
      <bottom style="medium">
        <color rgb="FF0070C0"/>
      </bottom>
      <diagonal/>
    </border>
    <border>
      <left style="thin">
        <color rgb="FF0070C0"/>
      </left>
      <right/>
      <top style="medium">
        <color rgb="FF0070C0"/>
      </top>
      <bottom style="thin">
        <color rgb="FF0070C0"/>
      </bottom>
      <diagonal/>
    </border>
    <border>
      <left style="thin">
        <color rgb="FF0070C0"/>
      </left>
      <right/>
      <top style="hair">
        <color rgb="FF0070C0"/>
      </top>
      <bottom style="medium">
        <color rgb="FF0070C0"/>
      </bottom>
      <diagonal/>
    </border>
    <border>
      <left/>
      <right style="medium">
        <color rgb="FF0070C0"/>
      </right>
      <top style="thin">
        <color rgb="FF0070C0"/>
      </top>
      <bottom style="hair">
        <color rgb="FF0070C0"/>
      </bottom>
      <diagonal/>
    </border>
    <border>
      <left/>
      <right style="medium">
        <color rgb="FF0070C0"/>
      </right>
      <top style="hair">
        <color rgb="FF0070C0"/>
      </top>
      <bottom style="hair">
        <color rgb="FF0070C0"/>
      </bottom>
      <diagonal/>
    </border>
    <border>
      <left/>
      <right style="medium">
        <color rgb="FF0070C0"/>
      </right>
      <top style="hair">
        <color rgb="FF0070C0"/>
      </top>
      <bottom style="medium">
        <color rgb="FF0070C0"/>
      </bottom>
      <diagonal/>
    </border>
    <border>
      <left style="medium">
        <color rgb="FF0070C0"/>
      </left>
      <right/>
      <top style="hair">
        <color rgb="FF0070C0"/>
      </top>
      <bottom/>
      <diagonal/>
    </border>
    <border>
      <left/>
      <right style="medium">
        <color rgb="FF0070C0"/>
      </right>
      <top style="hair">
        <color rgb="FF0070C0"/>
      </top>
      <bottom style="thin">
        <color rgb="FF0070C0"/>
      </bottom>
      <diagonal/>
    </border>
    <border>
      <left/>
      <right style="medium">
        <color rgb="FF0070C0"/>
      </right>
      <top style="hair">
        <color rgb="FF0070C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/>
      <top style="thin">
        <color indexed="30"/>
      </top>
      <bottom/>
      <diagonal/>
    </border>
    <border>
      <left style="medium">
        <color indexed="30"/>
      </left>
      <right style="medium">
        <color indexed="30"/>
      </right>
      <top style="thin">
        <color indexed="30"/>
      </top>
      <bottom/>
      <diagonal/>
    </border>
    <border>
      <left/>
      <right style="thin">
        <color indexed="30"/>
      </right>
      <top style="thin">
        <color indexed="30"/>
      </top>
      <bottom/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indexed="30"/>
      </left>
      <right/>
      <top/>
      <bottom/>
      <diagonal/>
    </border>
    <border>
      <left style="medium">
        <color indexed="30"/>
      </left>
      <right style="medium">
        <color indexed="30"/>
      </right>
      <top/>
      <bottom/>
      <diagonal/>
    </border>
    <border>
      <left/>
      <right style="thin">
        <color indexed="30"/>
      </right>
      <top/>
      <bottom/>
      <diagonal/>
    </border>
    <border>
      <left style="thin">
        <color indexed="30"/>
      </left>
      <right style="thin">
        <color indexed="30"/>
      </right>
      <top/>
      <bottom/>
      <diagonal/>
    </border>
    <border>
      <left style="thin">
        <color indexed="30"/>
      </left>
      <right/>
      <top style="hair">
        <color indexed="30"/>
      </top>
      <bottom style="hair">
        <color indexed="30"/>
      </bottom>
      <diagonal/>
    </border>
    <border>
      <left style="medium">
        <color indexed="30"/>
      </left>
      <right style="medium">
        <color indexed="30"/>
      </right>
      <top style="hair">
        <color indexed="30"/>
      </top>
      <bottom style="hair">
        <color indexed="30"/>
      </bottom>
      <diagonal/>
    </border>
    <border>
      <left/>
      <right style="thin">
        <color indexed="30"/>
      </right>
      <top style="hair">
        <color indexed="30"/>
      </top>
      <bottom style="hair">
        <color indexed="30"/>
      </bottom>
      <diagonal/>
    </border>
    <border>
      <left style="thin">
        <color indexed="30"/>
      </left>
      <right style="thin">
        <color indexed="30"/>
      </right>
      <top style="hair">
        <color indexed="30"/>
      </top>
      <bottom style="hair">
        <color indexed="30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 style="medium">
        <color indexed="30"/>
      </left>
      <right style="medium">
        <color indexed="30"/>
      </right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/>
      <top style="hair">
        <color indexed="30"/>
      </top>
      <bottom style="thin">
        <color indexed="30"/>
      </bottom>
      <diagonal/>
    </border>
    <border>
      <left style="medium">
        <color indexed="30"/>
      </left>
      <right style="medium">
        <color indexed="30"/>
      </right>
      <top style="hair">
        <color indexed="30"/>
      </top>
      <bottom style="thin">
        <color indexed="30"/>
      </bottom>
      <diagonal/>
    </border>
    <border>
      <left/>
      <right style="thin">
        <color indexed="30"/>
      </right>
      <top style="hair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hair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medium">
        <color indexed="30"/>
      </left>
      <right style="medium">
        <color indexed="30"/>
      </right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/>
      <top/>
      <bottom style="hair">
        <color indexed="30"/>
      </bottom>
      <diagonal/>
    </border>
    <border>
      <left style="medium">
        <color indexed="30"/>
      </left>
      <right style="medium">
        <color indexed="30"/>
      </right>
      <top/>
      <bottom style="hair">
        <color indexed="30"/>
      </bottom>
      <diagonal/>
    </border>
    <border>
      <left/>
      <right style="thin">
        <color indexed="30"/>
      </right>
      <top/>
      <bottom style="hair">
        <color indexed="30"/>
      </bottom>
      <diagonal/>
    </border>
    <border>
      <left style="thin">
        <color indexed="30"/>
      </left>
      <right style="thin">
        <color indexed="30"/>
      </right>
      <top/>
      <bottom style="hair">
        <color indexed="3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30"/>
      </left>
      <right/>
      <top style="medium">
        <color indexed="30"/>
      </top>
      <bottom style="thin">
        <color indexed="30"/>
      </bottom>
      <diagonal/>
    </border>
    <border>
      <left/>
      <right/>
      <top style="medium">
        <color indexed="30"/>
      </top>
      <bottom style="thin">
        <color indexed="30"/>
      </bottom>
      <diagonal/>
    </border>
    <border>
      <left/>
      <right style="medium">
        <color indexed="30"/>
      </right>
      <top style="medium">
        <color indexed="30"/>
      </top>
      <bottom style="thin">
        <color indexed="30"/>
      </bottom>
      <diagonal/>
    </border>
    <border>
      <left style="medium">
        <color indexed="30"/>
      </left>
      <right style="thin">
        <color indexed="30"/>
      </right>
      <top style="thin">
        <color indexed="30"/>
      </top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medium">
        <color indexed="30"/>
      </bottom>
      <diagonal/>
    </border>
    <border>
      <left style="thin">
        <color indexed="30"/>
      </left>
      <right/>
      <top style="thin">
        <color indexed="30"/>
      </top>
      <bottom style="medium">
        <color indexed="30"/>
      </bottom>
      <diagonal/>
    </border>
    <border>
      <left style="thin">
        <color indexed="30"/>
      </left>
      <right style="medium">
        <color indexed="30"/>
      </right>
      <top style="thin">
        <color indexed="30"/>
      </top>
      <bottom style="medium">
        <color indexed="30"/>
      </bottom>
      <diagonal/>
    </border>
    <border>
      <left style="medium">
        <color indexed="30"/>
      </left>
      <right/>
      <top style="medium">
        <color indexed="30"/>
      </top>
      <bottom/>
      <diagonal/>
    </border>
    <border>
      <left style="medium">
        <color indexed="30"/>
      </left>
      <right style="thin">
        <color indexed="30"/>
      </right>
      <top/>
      <bottom/>
      <diagonal/>
    </border>
    <border>
      <left style="medium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medium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indexed="30"/>
      </left>
      <right/>
      <top style="thin">
        <color indexed="30"/>
      </top>
      <bottom/>
      <diagonal/>
    </border>
    <border>
      <left style="thin">
        <color indexed="30"/>
      </left>
      <right style="medium">
        <color indexed="30"/>
      </right>
      <top style="thin">
        <color indexed="30"/>
      </top>
      <bottom/>
      <diagonal/>
    </border>
    <border>
      <left style="thin">
        <color indexed="30"/>
      </left>
      <right style="medium">
        <color indexed="30"/>
      </right>
      <top/>
      <bottom/>
      <diagonal/>
    </border>
    <border>
      <left style="medium">
        <color indexed="30"/>
      </left>
      <right/>
      <top/>
      <bottom/>
      <diagonal/>
    </border>
    <border>
      <left style="medium">
        <color indexed="30"/>
      </left>
      <right/>
      <top/>
      <bottom style="thin">
        <color indexed="30"/>
      </bottom>
      <diagonal/>
    </border>
    <border>
      <left style="medium">
        <color indexed="30"/>
      </left>
      <right style="thin">
        <color indexed="30"/>
      </right>
      <top/>
      <bottom style="thin">
        <color indexed="30"/>
      </bottom>
      <diagonal/>
    </border>
    <border>
      <left style="medium">
        <color indexed="30"/>
      </left>
      <right style="thin">
        <color indexed="30"/>
      </right>
      <top/>
      <bottom style="medium">
        <color indexed="30"/>
      </bottom>
      <diagonal/>
    </border>
    <border>
      <left style="thin">
        <color indexed="30"/>
      </left>
      <right style="thin">
        <color indexed="30"/>
      </right>
      <top/>
      <bottom style="medium">
        <color indexed="30"/>
      </bottom>
      <diagonal/>
    </border>
    <border>
      <left style="thin">
        <color indexed="30"/>
      </left>
      <right style="medium">
        <color indexed="30"/>
      </right>
      <top/>
      <bottom style="medium">
        <color indexed="30"/>
      </bottom>
      <diagonal/>
    </border>
    <border>
      <left style="medium">
        <color indexed="30"/>
      </left>
      <right style="medium">
        <color indexed="30"/>
      </right>
      <top style="thin">
        <color rgb="FF0070C0"/>
      </top>
      <bottom style="hair">
        <color rgb="FF0070C0"/>
      </bottom>
      <diagonal/>
    </border>
    <border>
      <left/>
      <right style="thin">
        <color indexed="30"/>
      </right>
      <top style="thin">
        <color rgb="FF0070C0"/>
      </top>
      <bottom style="hair">
        <color rgb="FF0070C0"/>
      </bottom>
      <diagonal/>
    </border>
    <border>
      <left style="thin">
        <color indexed="30"/>
      </left>
      <right style="thin">
        <color indexed="30"/>
      </right>
      <top style="thin">
        <color rgb="FF0070C0"/>
      </top>
      <bottom style="hair">
        <color rgb="FF0070C0"/>
      </bottom>
      <diagonal/>
    </border>
    <border>
      <left style="medium">
        <color indexed="30"/>
      </left>
      <right style="medium">
        <color indexed="30"/>
      </right>
      <top style="hair">
        <color rgb="FF0070C0"/>
      </top>
      <bottom style="hair">
        <color rgb="FF0070C0"/>
      </bottom>
      <diagonal/>
    </border>
    <border>
      <left/>
      <right style="thin">
        <color indexed="30"/>
      </right>
      <top style="hair">
        <color rgb="FF0070C0"/>
      </top>
      <bottom style="hair">
        <color rgb="FF0070C0"/>
      </bottom>
      <diagonal/>
    </border>
    <border>
      <left style="thin">
        <color indexed="30"/>
      </left>
      <right style="thin">
        <color indexed="30"/>
      </right>
      <top style="hair">
        <color rgb="FF0070C0"/>
      </top>
      <bottom style="hair">
        <color rgb="FF0070C0"/>
      </bottom>
      <diagonal/>
    </border>
    <border>
      <left style="medium">
        <color indexed="30"/>
      </left>
      <right style="medium">
        <color indexed="30"/>
      </right>
      <top style="hair">
        <color rgb="FF0070C0"/>
      </top>
      <bottom style="thin">
        <color rgb="FF0070C0"/>
      </bottom>
      <diagonal/>
    </border>
    <border>
      <left/>
      <right style="thin">
        <color indexed="30"/>
      </right>
      <top style="hair">
        <color rgb="FF0070C0"/>
      </top>
      <bottom style="thin">
        <color rgb="FF0070C0"/>
      </bottom>
      <diagonal/>
    </border>
    <border>
      <left style="thin">
        <color indexed="30"/>
      </left>
      <right style="thin">
        <color indexed="30"/>
      </right>
      <top style="hair">
        <color rgb="FF0070C0"/>
      </top>
      <bottom style="thin">
        <color rgb="FF0070C0"/>
      </bottom>
      <diagonal/>
    </border>
    <border>
      <left style="thin">
        <color rgb="FF0070C0"/>
      </left>
      <right/>
      <top style="hair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indexed="3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 style="medium">
        <color indexed="3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medium">
        <color indexed="30"/>
      </right>
      <top style="hair">
        <color rgb="FF0070C0"/>
      </top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 style="hair">
        <color rgb="FF0070C0"/>
      </bottom>
      <diagonal/>
    </border>
    <border>
      <left style="medium">
        <color rgb="FF0070C0"/>
      </left>
      <right style="medium">
        <color rgb="FF0070C0"/>
      </right>
      <top style="hair">
        <color rgb="FF0070C0"/>
      </top>
      <bottom style="hair">
        <color rgb="FF0070C0"/>
      </bottom>
      <diagonal/>
    </border>
    <border>
      <left style="medium">
        <color rgb="FF0070C0"/>
      </left>
      <right style="medium">
        <color rgb="FF0070C0"/>
      </right>
      <top style="hair">
        <color rgb="FF0070C0"/>
      </top>
      <bottom style="thin">
        <color rgb="FF0070C0"/>
      </bottom>
      <diagonal/>
    </border>
    <border>
      <left style="thin">
        <color indexed="30"/>
      </left>
      <right/>
      <top style="thin">
        <color indexed="30"/>
      </top>
      <bottom style="hair">
        <color indexed="30"/>
      </bottom>
      <diagonal/>
    </border>
    <border>
      <left style="medium">
        <color indexed="30"/>
      </left>
      <right style="medium">
        <color indexed="30"/>
      </right>
      <top style="thin">
        <color indexed="30"/>
      </top>
      <bottom style="hair">
        <color indexed="30"/>
      </bottom>
      <diagonal/>
    </border>
    <border>
      <left/>
      <right style="thin">
        <color indexed="30"/>
      </right>
      <top style="thin">
        <color indexed="30"/>
      </top>
      <bottom style="hair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hair">
        <color indexed="30"/>
      </bottom>
      <diagonal/>
    </border>
    <border>
      <left style="thin">
        <color indexed="30"/>
      </left>
      <right style="thin">
        <color indexed="30"/>
      </right>
      <top style="hair">
        <color indexed="30"/>
      </top>
      <bottom/>
      <diagonal/>
    </border>
    <border>
      <left style="medium">
        <color indexed="30"/>
      </left>
      <right/>
      <top style="medium">
        <color indexed="30"/>
      </top>
      <bottom style="medium">
        <color indexed="30"/>
      </bottom>
      <diagonal/>
    </border>
    <border>
      <left/>
      <right/>
      <top style="medium">
        <color indexed="30"/>
      </top>
      <bottom style="medium">
        <color indexed="30"/>
      </bottom>
      <diagonal/>
    </border>
    <border>
      <left/>
      <right style="medium">
        <color indexed="30"/>
      </right>
      <top style="medium">
        <color indexed="30"/>
      </top>
      <bottom style="medium">
        <color indexed="30"/>
      </bottom>
      <diagonal/>
    </border>
    <border>
      <left/>
      <right/>
      <top style="medium">
        <color indexed="30"/>
      </top>
      <bottom/>
      <diagonal/>
    </border>
    <border>
      <left/>
      <right style="medium">
        <color indexed="30"/>
      </right>
      <top/>
      <bottom/>
      <diagonal/>
    </border>
    <border>
      <left style="medium">
        <color indexed="30"/>
      </left>
      <right/>
      <top style="thin">
        <color indexed="30"/>
      </top>
      <bottom/>
      <diagonal/>
    </border>
    <border>
      <left/>
      <right style="medium">
        <color indexed="30"/>
      </right>
      <top style="thin">
        <color indexed="30"/>
      </top>
      <bottom/>
      <diagonal/>
    </border>
    <border>
      <left/>
      <right/>
      <top/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/>
      <diagonal/>
    </border>
    <border>
      <left style="medium">
        <color indexed="30"/>
      </left>
      <right style="thin">
        <color indexed="30"/>
      </right>
      <top style="thin">
        <color indexed="30"/>
      </top>
      <bottom style="hair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hair">
        <color indexed="30"/>
      </bottom>
      <diagonal/>
    </border>
    <border>
      <left style="thin">
        <color indexed="30"/>
      </left>
      <right style="medium">
        <color indexed="30"/>
      </right>
      <top style="thin">
        <color indexed="30"/>
      </top>
      <bottom style="hair">
        <color indexed="30"/>
      </bottom>
      <diagonal/>
    </border>
    <border>
      <left/>
      <right/>
      <top style="thin">
        <color indexed="30"/>
      </top>
      <bottom/>
      <diagonal/>
    </border>
    <border>
      <left style="medium">
        <color indexed="30"/>
      </left>
      <right style="thin">
        <color indexed="30"/>
      </right>
      <top style="hair">
        <color indexed="30"/>
      </top>
      <bottom style="thin">
        <color indexed="30"/>
      </bottom>
      <diagonal/>
    </border>
    <border>
      <left style="thin">
        <color indexed="30"/>
      </left>
      <right style="medium">
        <color indexed="30"/>
      </right>
      <top style="hair">
        <color indexed="30"/>
      </top>
      <bottom style="thin">
        <color indexed="30"/>
      </bottom>
      <diagonal/>
    </border>
    <border>
      <left/>
      <right style="medium">
        <color indexed="30"/>
      </right>
      <top/>
      <bottom style="thin">
        <color indexed="30"/>
      </bottom>
      <diagonal/>
    </border>
    <border>
      <left style="medium">
        <color indexed="30"/>
      </left>
      <right style="thin">
        <color indexed="30"/>
      </right>
      <top style="medium">
        <color indexed="30"/>
      </top>
      <bottom/>
      <diagonal/>
    </border>
    <border>
      <left/>
      <right style="thin">
        <color indexed="30"/>
      </right>
      <top style="medium">
        <color indexed="30"/>
      </top>
      <bottom/>
      <diagonal/>
    </border>
    <border>
      <left style="thin">
        <color indexed="30"/>
      </left>
      <right style="thin">
        <color indexed="30"/>
      </right>
      <top style="medium">
        <color indexed="30"/>
      </top>
      <bottom/>
      <diagonal/>
    </border>
    <border>
      <left style="thin">
        <color indexed="30"/>
      </left>
      <right style="medium">
        <color indexed="30"/>
      </right>
      <top style="medium">
        <color indexed="30"/>
      </top>
      <bottom/>
      <diagonal/>
    </border>
    <border>
      <left style="medium">
        <color indexed="30"/>
      </left>
      <right style="thin">
        <color indexed="30"/>
      </right>
      <top style="hair">
        <color indexed="30"/>
      </top>
      <bottom/>
      <diagonal/>
    </border>
    <border>
      <left style="thin">
        <color indexed="30"/>
      </left>
      <right style="medium">
        <color indexed="30"/>
      </right>
      <top style="hair">
        <color indexed="30"/>
      </top>
      <bottom/>
      <diagonal/>
    </border>
    <border>
      <left style="thin">
        <color indexed="30"/>
      </left>
      <right style="medium">
        <color indexed="30"/>
      </right>
      <top/>
      <bottom style="thin">
        <color indexed="30"/>
      </bottom>
      <diagonal/>
    </border>
    <border>
      <left style="medium">
        <color indexed="30"/>
      </left>
      <right style="thin">
        <color indexed="30"/>
      </right>
      <top/>
      <bottom style="hair">
        <color indexed="30"/>
      </bottom>
      <diagonal/>
    </border>
    <border>
      <left style="thin">
        <color indexed="30"/>
      </left>
      <right style="medium">
        <color indexed="30"/>
      </right>
      <top/>
      <bottom style="hair">
        <color indexed="30"/>
      </bottom>
      <diagonal/>
    </border>
    <border>
      <left style="medium">
        <color indexed="30"/>
      </left>
      <right style="thin">
        <color indexed="30"/>
      </right>
      <top style="hair">
        <color indexed="30"/>
      </top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hair">
        <color indexed="30"/>
      </top>
      <bottom style="medium">
        <color indexed="30"/>
      </bottom>
      <diagonal/>
    </border>
    <border>
      <left style="thin">
        <color indexed="30"/>
      </left>
      <right style="medium">
        <color indexed="30"/>
      </right>
      <top style="hair">
        <color indexed="30"/>
      </top>
      <bottom style="medium">
        <color indexed="30"/>
      </bottom>
      <diagonal/>
    </border>
    <border>
      <left/>
      <right style="thin">
        <color indexed="30"/>
      </right>
      <top/>
      <bottom style="medium">
        <color indexed="30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dashed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dashed">
        <color indexed="30"/>
      </right>
      <top style="thin">
        <color indexed="30"/>
      </top>
      <bottom style="hair">
        <color indexed="30"/>
      </bottom>
      <diagonal/>
    </border>
    <border>
      <left style="thin">
        <color indexed="30"/>
      </left>
      <right style="dashed">
        <color indexed="30"/>
      </right>
      <top style="hair">
        <color indexed="30"/>
      </top>
      <bottom style="hair">
        <color indexed="30"/>
      </bottom>
      <diagonal/>
    </border>
    <border>
      <left style="hair">
        <color indexed="30"/>
      </left>
      <right style="hair">
        <color indexed="30"/>
      </right>
      <top style="hair">
        <color indexed="30"/>
      </top>
      <bottom style="hair">
        <color indexed="30"/>
      </bottom>
      <diagonal/>
    </border>
    <border>
      <left style="thin">
        <color indexed="30"/>
      </left>
      <right/>
      <top style="thin">
        <color indexed="30"/>
      </top>
      <bottom style="hair">
        <color indexed="30"/>
      </bottom>
      <diagonal/>
    </border>
    <border>
      <left style="thin">
        <color indexed="30"/>
      </left>
      <right/>
      <top style="hair">
        <color indexed="30"/>
      </top>
      <bottom/>
      <diagonal/>
    </border>
    <border>
      <left style="thin">
        <color indexed="30"/>
      </left>
      <right style="dashed">
        <color indexed="30"/>
      </right>
      <top style="thin">
        <color indexed="30"/>
      </top>
      <bottom/>
      <diagonal/>
    </border>
    <border>
      <left/>
      <right style="thin">
        <color indexed="30"/>
      </right>
      <top style="thin">
        <color indexed="30"/>
      </top>
      <bottom style="hair">
        <color indexed="30"/>
      </bottom>
      <diagonal/>
    </border>
    <border>
      <left style="thin">
        <color rgb="FF0070C0"/>
      </left>
      <right style="dashed">
        <color rgb="FF0070C0"/>
      </right>
      <top style="thin">
        <color rgb="FF0070C0"/>
      </top>
      <bottom style="dashed">
        <color rgb="FF0070C0"/>
      </bottom>
      <diagonal/>
    </border>
    <border>
      <left style="thin">
        <color rgb="FF0070C0"/>
      </left>
      <right style="dashed">
        <color rgb="FF0070C0"/>
      </right>
      <top style="dashed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ashed">
        <color rgb="FF0070C0"/>
      </bottom>
      <diagonal/>
    </border>
    <border>
      <left style="thin">
        <color rgb="FF0070C0"/>
      </left>
      <right/>
      <top/>
      <bottom/>
      <diagonal/>
    </border>
    <border>
      <left style="thin">
        <color rgb="FF0070C0"/>
      </left>
      <right style="hair">
        <color rgb="FF0070C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hair">
        <color rgb="FF0070C0"/>
      </right>
      <top style="hair">
        <color rgb="FF0070C0"/>
      </top>
      <bottom style="thin">
        <color rgb="FF0070C0"/>
      </bottom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/>
      <top style="thin">
        <color indexed="30"/>
      </top>
      <bottom style="thin">
        <color indexed="30"/>
      </bottom>
      <diagonal/>
    </border>
    <border>
      <left style="dashed">
        <color rgb="FF0070C0"/>
      </left>
      <right style="thin">
        <color rgb="FF0070C0"/>
      </right>
      <top style="thin">
        <color rgb="FF0070C0"/>
      </top>
      <bottom style="dashed">
        <color rgb="FF0070C0"/>
      </bottom>
      <diagonal/>
    </border>
    <border>
      <left style="thin">
        <color rgb="FF0070C0"/>
      </left>
      <right style="dashed">
        <color rgb="FF0070C0"/>
      </right>
      <top style="dashed">
        <color rgb="FF0070C0"/>
      </top>
      <bottom style="dashed">
        <color rgb="FF0070C0"/>
      </bottom>
      <diagonal/>
    </border>
    <border>
      <left style="dashed">
        <color rgb="FF0070C0"/>
      </left>
      <right style="thin">
        <color rgb="FF0070C0"/>
      </right>
      <top style="dashed">
        <color rgb="FF0070C0"/>
      </top>
      <bottom style="dashed">
        <color rgb="FF0070C0"/>
      </bottom>
      <diagonal/>
    </border>
    <border>
      <left style="dashed">
        <color rgb="FF0070C0"/>
      </left>
      <right style="thin">
        <color rgb="FF0070C0"/>
      </right>
      <top style="dashed">
        <color rgb="FF0070C0"/>
      </top>
      <bottom style="thin">
        <color rgb="FF0070C0"/>
      </bottom>
      <diagonal/>
    </border>
    <border>
      <left style="dashed">
        <color rgb="FF0070C0"/>
      </left>
      <right style="dashed">
        <color rgb="FF0070C0"/>
      </right>
      <top style="thin">
        <color rgb="FF0070C0"/>
      </top>
      <bottom style="dashed">
        <color rgb="FF0070C0"/>
      </bottom>
      <diagonal/>
    </border>
    <border>
      <left style="dashed">
        <color rgb="FF0070C0"/>
      </left>
      <right style="dashed">
        <color rgb="FF0070C0"/>
      </right>
      <top style="dashed">
        <color rgb="FF0070C0"/>
      </top>
      <bottom style="thin">
        <color rgb="FF0070C0"/>
      </bottom>
      <diagonal/>
    </border>
    <border>
      <left style="medium">
        <color indexed="30"/>
      </left>
      <right style="medium">
        <color indexed="30"/>
      </right>
      <top style="thin">
        <color indexed="30"/>
      </top>
      <bottom style="thin">
        <color indexed="30"/>
      </bottom>
      <diagonal/>
    </border>
    <border>
      <left/>
      <right style="thin">
        <color rgb="FF0070C0"/>
      </right>
      <top style="thin">
        <color rgb="FF0070C0"/>
      </top>
      <bottom style="hair">
        <color rgb="FF0070C0"/>
      </bottom>
      <diagonal/>
    </border>
    <border>
      <left/>
      <right style="thin">
        <color rgb="FF0070C0"/>
      </right>
      <top style="hair">
        <color rgb="FF0070C0"/>
      </top>
      <bottom style="hair">
        <color rgb="FF0070C0"/>
      </bottom>
      <diagonal/>
    </border>
    <border>
      <left/>
      <right style="thin">
        <color rgb="FF0070C0"/>
      </right>
      <top style="hair">
        <color rgb="FF0070C0"/>
      </top>
      <bottom style="thin">
        <color rgb="FF0070C0"/>
      </bottom>
      <diagonal/>
    </border>
    <border>
      <left style="medium">
        <color indexed="30"/>
      </left>
      <right style="medium">
        <color indexed="30"/>
      </right>
      <top style="thin">
        <color indexed="30"/>
      </top>
      <bottom/>
      <diagonal/>
    </border>
    <border>
      <left style="medium">
        <color indexed="30"/>
      </left>
      <right style="medium">
        <color indexed="30"/>
      </right>
      <top style="thin">
        <color indexed="30"/>
      </top>
      <bottom style="hair">
        <color indexed="30"/>
      </bottom>
      <diagonal/>
    </border>
    <border>
      <left/>
      <right style="medium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0070C0"/>
      </left>
      <right style="thin">
        <color rgb="FF0070C0"/>
      </right>
      <top style="dashed">
        <color rgb="FF0070C0"/>
      </top>
      <bottom style="dashed">
        <color rgb="FF0070C0"/>
      </bottom>
      <diagonal/>
    </border>
    <border>
      <left style="thin">
        <color rgb="FF0070C0"/>
      </left>
      <right style="thin">
        <color rgb="FF0070C0"/>
      </right>
      <top style="dashed">
        <color rgb="FF0070C0"/>
      </top>
      <bottom/>
      <diagonal/>
    </border>
    <border>
      <left style="medium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30"/>
      </left>
      <right style="thin">
        <color indexed="30"/>
      </right>
      <top style="hair">
        <color indexed="30"/>
      </top>
      <bottom style="hair">
        <color indexed="30"/>
      </bottom>
      <diagonal/>
    </border>
    <border>
      <left/>
      <right/>
      <top style="thin">
        <color indexed="30"/>
      </top>
      <bottom style="thin">
        <color rgb="FF0070C0"/>
      </bottom>
      <diagonal/>
    </border>
    <border>
      <left style="thin">
        <color rgb="FF0070C0"/>
      </left>
      <right/>
      <top/>
      <bottom style="hair">
        <color rgb="FF0070C0"/>
      </bottom>
      <diagonal/>
    </border>
    <border>
      <left style="thin">
        <color indexed="30"/>
      </left>
      <right style="thin">
        <color rgb="FF0070C0"/>
      </right>
      <top/>
      <bottom style="thin">
        <color indexed="30"/>
      </bottom>
      <diagonal/>
    </border>
    <border>
      <left style="thin">
        <color indexed="30"/>
      </left>
      <right style="thin">
        <color rgb="FF0070C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medium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/>
      <diagonal/>
    </border>
    <border>
      <left style="thin">
        <color rgb="FF0070C0"/>
      </left>
      <right/>
      <top style="hair">
        <color rgb="FF0070C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30"/>
      </top>
      <bottom style="hair">
        <color indexed="30"/>
      </bottom>
      <diagonal/>
    </border>
    <border>
      <left/>
      <right/>
      <top style="hair">
        <color indexed="30"/>
      </top>
      <bottom style="hair">
        <color indexed="30"/>
      </bottom>
      <diagonal/>
    </border>
    <border>
      <left/>
      <right/>
      <top style="hair">
        <color indexed="30"/>
      </top>
      <bottom style="thin">
        <color indexed="30"/>
      </bottom>
      <diagonal/>
    </border>
    <border>
      <left style="thin">
        <color rgb="FF0070C0"/>
      </left>
      <right/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/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indexed="30"/>
      </left>
      <right style="medium">
        <color indexed="30"/>
      </right>
      <top style="hair">
        <color indexed="30"/>
      </top>
      <bottom style="hair">
        <color indexed="30"/>
      </bottom>
      <diagonal/>
    </border>
    <border>
      <left/>
      <right style="medium">
        <color indexed="30"/>
      </right>
      <top style="medium">
        <color indexed="30"/>
      </top>
      <bottom/>
      <diagonal/>
    </border>
    <border>
      <left style="medium">
        <color indexed="30"/>
      </left>
      <right/>
      <top/>
      <bottom style="medium">
        <color indexed="30"/>
      </bottom>
      <diagonal/>
    </border>
    <border>
      <left style="medium">
        <color indexed="30"/>
      </left>
      <right style="hair">
        <color indexed="30"/>
      </right>
      <top/>
      <bottom style="hair">
        <color indexed="30"/>
      </bottom>
      <diagonal/>
    </border>
    <border>
      <left style="hair">
        <color indexed="30"/>
      </left>
      <right style="hair">
        <color indexed="30"/>
      </right>
      <top/>
      <bottom style="hair">
        <color indexed="30"/>
      </bottom>
      <diagonal/>
    </border>
    <border>
      <left style="hair">
        <color indexed="30"/>
      </left>
      <right style="medium">
        <color indexed="30"/>
      </right>
      <top/>
      <bottom style="hair">
        <color indexed="30"/>
      </bottom>
      <diagonal/>
    </border>
    <border>
      <left style="medium">
        <color indexed="30"/>
      </left>
      <right style="hair">
        <color indexed="30"/>
      </right>
      <top style="medium">
        <color indexed="30"/>
      </top>
      <bottom style="hair">
        <color indexed="30"/>
      </bottom>
      <diagonal/>
    </border>
    <border>
      <left style="hair">
        <color indexed="30"/>
      </left>
      <right style="hair">
        <color indexed="30"/>
      </right>
      <top style="medium">
        <color indexed="30"/>
      </top>
      <bottom style="hair">
        <color indexed="30"/>
      </bottom>
      <diagonal/>
    </border>
    <border>
      <left style="hair">
        <color indexed="30"/>
      </left>
      <right style="medium">
        <color indexed="30"/>
      </right>
      <top style="medium">
        <color indexed="30"/>
      </top>
      <bottom style="hair">
        <color indexed="30"/>
      </bottom>
      <diagonal/>
    </border>
    <border>
      <left style="medium">
        <color indexed="30"/>
      </left>
      <right style="hair">
        <color indexed="30"/>
      </right>
      <top style="hair">
        <color indexed="30"/>
      </top>
      <bottom style="hair">
        <color indexed="30"/>
      </bottom>
      <diagonal/>
    </border>
    <border>
      <left style="hair">
        <color indexed="30"/>
      </left>
      <right style="medium">
        <color indexed="30"/>
      </right>
      <top style="hair">
        <color indexed="30"/>
      </top>
      <bottom style="hair">
        <color indexed="30"/>
      </bottom>
      <diagonal/>
    </border>
    <border>
      <left style="medium">
        <color indexed="30"/>
      </left>
      <right style="hair">
        <color indexed="30"/>
      </right>
      <top style="hair">
        <color indexed="30"/>
      </top>
      <bottom style="medium">
        <color indexed="30"/>
      </bottom>
      <diagonal/>
    </border>
    <border>
      <left style="hair">
        <color indexed="30"/>
      </left>
      <right style="hair">
        <color indexed="30"/>
      </right>
      <top style="hair">
        <color indexed="30"/>
      </top>
      <bottom style="medium">
        <color indexed="30"/>
      </bottom>
      <diagonal/>
    </border>
    <border>
      <left style="hair">
        <color indexed="30"/>
      </left>
      <right style="medium">
        <color indexed="30"/>
      </right>
      <top style="hair">
        <color indexed="30"/>
      </top>
      <bottom style="medium">
        <color indexed="30"/>
      </bottom>
      <diagonal/>
    </border>
    <border>
      <left style="medium">
        <color indexed="30"/>
      </left>
      <right style="medium">
        <color indexed="30"/>
      </right>
      <top style="medium">
        <color indexed="30"/>
      </top>
      <bottom style="medium">
        <color indexed="30"/>
      </bottom>
      <diagonal/>
    </border>
    <border>
      <left style="medium">
        <color indexed="30"/>
      </left>
      <right style="thin">
        <color indexed="30"/>
      </right>
      <top style="medium">
        <color indexed="30"/>
      </top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medium">
        <color indexed="30"/>
      </top>
      <bottom style="medium">
        <color indexed="30"/>
      </bottom>
      <diagonal/>
    </border>
    <border>
      <left style="thin">
        <color indexed="30"/>
      </left>
      <right style="medium">
        <color indexed="30"/>
      </right>
      <top style="medium">
        <color indexed="30"/>
      </top>
      <bottom style="medium">
        <color indexed="30"/>
      </bottom>
      <diagonal/>
    </border>
    <border>
      <left style="medium">
        <color indexed="30"/>
      </left>
      <right style="thin">
        <color indexed="30"/>
      </right>
      <top style="medium">
        <color indexed="30"/>
      </top>
      <bottom style="hair">
        <color indexed="30"/>
      </bottom>
      <diagonal/>
    </border>
    <border>
      <left style="thin">
        <color indexed="30"/>
      </left>
      <right style="thin">
        <color indexed="30"/>
      </right>
      <top style="medium">
        <color indexed="30"/>
      </top>
      <bottom style="hair">
        <color indexed="30"/>
      </bottom>
      <diagonal/>
    </border>
    <border>
      <left style="thin">
        <color indexed="30"/>
      </left>
      <right style="medium">
        <color indexed="30"/>
      </right>
      <top style="medium">
        <color indexed="30"/>
      </top>
      <bottom style="hair">
        <color indexed="30"/>
      </bottom>
      <diagonal/>
    </border>
    <border>
      <left style="medium">
        <color indexed="30"/>
      </left>
      <right/>
      <top style="hair">
        <color indexed="30"/>
      </top>
      <bottom style="hair">
        <color indexed="30"/>
      </bottom>
      <diagonal/>
    </border>
    <border>
      <left style="medium">
        <color indexed="30"/>
      </left>
      <right/>
      <top style="thin">
        <color indexed="30"/>
      </top>
      <bottom style="thin">
        <color indexed="30"/>
      </bottom>
      <diagonal/>
    </border>
    <border>
      <left style="medium">
        <color indexed="30"/>
      </left>
      <right/>
      <top style="medium">
        <color indexed="30"/>
      </top>
      <bottom style="hair">
        <color indexed="30"/>
      </bottom>
      <diagonal/>
    </border>
    <border>
      <left style="medium">
        <color indexed="30"/>
      </left>
      <right style="medium">
        <color indexed="30"/>
      </right>
      <top style="medium">
        <color indexed="30"/>
      </top>
      <bottom style="hair">
        <color indexed="30"/>
      </bottom>
      <diagonal/>
    </border>
    <border>
      <left/>
      <right/>
      <top style="medium">
        <color indexed="30"/>
      </top>
      <bottom style="hair">
        <color indexed="30"/>
      </bottom>
      <diagonal/>
    </border>
    <border>
      <left style="medium">
        <color indexed="30"/>
      </left>
      <right/>
      <top style="hair">
        <color indexed="30"/>
      </top>
      <bottom style="thin">
        <color indexed="30"/>
      </bottom>
      <diagonal/>
    </border>
    <border>
      <left style="medium">
        <color indexed="30"/>
      </left>
      <right style="medium">
        <color indexed="30"/>
      </right>
      <top style="hair">
        <color indexed="30"/>
      </top>
      <bottom/>
      <diagonal/>
    </border>
    <border>
      <left/>
      <right/>
      <top style="hair">
        <color indexed="3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indexed="64"/>
      </bottom>
      <diagonal/>
    </border>
    <border>
      <left/>
      <right style="thin">
        <color rgb="FF0070C0"/>
      </right>
      <top style="thin">
        <color indexed="64"/>
      </top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/>
      <top style="hair">
        <color rgb="FF0070C0"/>
      </top>
      <bottom style="hair">
        <color rgb="FF0070C0"/>
      </bottom>
      <diagonal/>
    </border>
    <border>
      <left style="medium">
        <color indexed="30"/>
      </left>
      <right style="dashed">
        <color indexed="30"/>
      </right>
      <top style="thin">
        <color indexed="30"/>
      </top>
      <bottom style="dashed">
        <color indexed="30"/>
      </bottom>
      <diagonal/>
    </border>
    <border>
      <left style="dashed">
        <color indexed="30"/>
      </left>
      <right style="dashed">
        <color indexed="30"/>
      </right>
      <top style="thin">
        <color indexed="30"/>
      </top>
      <bottom style="dashed">
        <color indexed="30"/>
      </bottom>
      <diagonal/>
    </border>
    <border>
      <left style="dashed">
        <color indexed="30"/>
      </left>
      <right style="medium">
        <color indexed="30"/>
      </right>
      <top style="thin">
        <color indexed="30"/>
      </top>
      <bottom style="dashed">
        <color indexed="30"/>
      </bottom>
      <diagonal/>
    </border>
    <border>
      <left style="medium">
        <color indexed="30"/>
      </left>
      <right style="dashed">
        <color indexed="30"/>
      </right>
      <top style="medium">
        <color indexed="30"/>
      </top>
      <bottom style="dashed">
        <color indexed="30"/>
      </bottom>
      <diagonal/>
    </border>
    <border>
      <left style="dashed">
        <color indexed="30"/>
      </left>
      <right style="dashed">
        <color indexed="30"/>
      </right>
      <top style="medium">
        <color indexed="30"/>
      </top>
      <bottom style="dashed">
        <color indexed="30"/>
      </bottom>
      <diagonal/>
    </border>
    <border>
      <left style="dashed">
        <color indexed="30"/>
      </left>
      <right style="medium">
        <color indexed="30"/>
      </right>
      <top style="medium">
        <color indexed="30"/>
      </top>
      <bottom style="dashed">
        <color indexed="30"/>
      </bottom>
      <diagonal/>
    </border>
    <border>
      <left style="medium">
        <color indexed="30"/>
      </left>
      <right style="dashed">
        <color indexed="30"/>
      </right>
      <top style="dashed">
        <color indexed="30"/>
      </top>
      <bottom style="dashed">
        <color indexed="30"/>
      </bottom>
      <diagonal/>
    </border>
    <border>
      <left style="dashed">
        <color indexed="30"/>
      </left>
      <right style="dashed">
        <color indexed="30"/>
      </right>
      <top style="dashed">
        <color indexed="30"/>
      </top>
      <bottom style="dashed">
        <color indexed="30"/>
      </bottom>
      <diagonal/>
    </border>
    <border>
      <left style="dashed">
        <color indexed="30"/>
      </left>
      <right style="medium">
        <color indexed="30"/>
      </right>
      <top style="dashed">
        <color indexed="30"/>
      </top>
      <bottom style="dashed">
        <color indexed="30"/>
      </bottom>
      <diagonal/>
    </border>
    <border>
      <left style="medium">
        <color indexed="30"/>
      </left>
      <right style="dashed">
        <color indexed="30"/>
      </right>
      <top style="dashed">
        <color indexed="30"/>
      </top>
      <bottom style="medium">
        <color indexed="30"/>
      </bottom>
      <diagonal/>
    </border>
    <border>
      <left style="dashed">
        <color indexed="30"/>
      </left>
      <right style="dashed">
        <color indexed="30"/>
      </right>
      <top style="dashed">
        <color indexed="30"/>
      </top>
      <bottom style="medium">
        <color indexed="30"/>
      </bottom>
      <diagonal/>
    </border>
    <border>
      <left style="dashed">
        <color indexed="30"/>
      </left>
      <right style="medium">
        <color indexed="30"/>
      </right>
      <top style="dashed">
        <color indexed="30"/>
      </top>
      <bottom style="medium">
        <color indexed="3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dashed">
        <color indexed="30"/>
      </right>
      <top style="dashed">
        <color indexed="30"/>
      </top>
      <bottom style="thin">
        <color indexed="30"/>
      </bottom>
      <diagonal/>
    </border>
    <border>
      <left style="thin">
        <color indexed="30"/>
      </left>
      <right style="dashed">
        <color indexed="30"/>
      </right>
      <top style="dashed">
        <color indexed="30"/>
      </top>
      <bottom style="dashed">
        <color indexed="30"/>
      </bottom>
      <diagonal/>
    </border>
    <border>
      <left style="thin">
        <color indexed="30"/>
      </left>
      <right style="dashed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/>
      <bottom style="dashed">
        <color indexed="30"/>
      </bottom>
      <diagonal/>
    </border>
    <border>
      <left style="thin">
        <color indexed="30"/>
      </left>
      <right/>
      <top/>
      <bottom style="dashed">
        <color indexed="30"/>
      </bottom>
      <diagonal/>
    </border>
    <border>
      <left style="medium">
        <color indexed="30"/>
      </left>
      <right style="medium">
        <color indexed="30"/>
      </right>
      <top style="thin">
        <color indexed="30"/>
      </top>
      <bottom style="hair">
        <color indexed="30"/>
      </bottom>
      <diagonal/>
    </border>
    <border>
      <left style="medium">
        <color indexed="30"/>
      </left>
      <right style="medium">
        <color indexed="30"/>
      </right>
      <top style="dashed">
        <color indexed="30"/>
      </top>
      <bottom style="dashed">
        <color indexed="30"/>
      </bottom>
      <diagonal/>
    </border>
    <border>
      <left/>
      <right/>
      <top style="dashed">
        <color indexed="30"/>
      </top>
      <bottom style="dashed">
        <color indexed="30"/>
      </bottom>
      <diagonal/>
    </border>
    <border>
      <left style="medium">
        <color indexed="30"/>
      </left>
      <right style="medium">
        <color indexed="30"/>
      </right>
      <top style="dashed">
        <color indexed="30"/>
      </top>
      <bottom/>
      <diagonal/>
    </border>
    <border>
      <left/>
      <right/>
      <top style="dashed">
        <color indexed="30"/>
      </top>
      <bottom/>
      <diagonal/>
    </border>
    <border>
      <left style="medium">
        <color indexed="30"/>
      </left>
      <right/>
      <top style="thin">
        <color indexed="30"/>
      </top>
      <bottom style="thin">
        <color indexed="30"/>
      </bottom>
      <diagonal/>
    </border>
    <border>
      <left style="medium">
        <color indexed="30"/>
      </left>
      <right style="medium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30"/>
      </left>
      <right style="thin">
        <color indexed="30"/>
      </right>
      <top style="thin">
        <color indexed="30"/>
      </top>
      <bottom style="hair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hair">
        <color indexed="30"/>
      </bottom>
      <diagonal/>
    </border>
    <border>
      <left style="thin">
        <color indexed="30"/>
      </left>
      <right style="medium">
        <color indexed="30"/>
      </right>
      <top style="thin">
        <color indexed="30"/>
      </top>
      <bottom style="hair">
        <color indexed="30"/>
      </bottom>
      <diagonal/>
    </border>
    <border>
      <left style="medium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medium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dashed">
        <color indexed="30"/>
      </right>
      <top/>
      <bottom style="dashed">
        <color indexed="30"/>
      </bottom>
      <diagonal/>
    </border>
    <border>
      <left style="thin">
        <color indexed="30"/>
      </left>
      <right style="dashed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dashed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/>
      <top style="dashed">
        <color indexed="30"/>
      </top>
      <bottom style="dashed">
        <color indexed="30"/>
      </bottom>
      <diagonal/>
    </border>
    <border>
      <left style="thin">
        <color indexed="30"/>
      </left>
      <right/>
      <top style="dashed">
        <color indexed="30"/>
      </top>
      <bottom style="thin">
        <color indexed="30"/>
      </bottom>
      <diagonal/>
    </border>
    <border>
      <left style="dashed">
        <color indexed="30"/>
      </left>
      <right/>
      <top style="dashed">
        <color indexed="30"/>
      </top>
      <bottom style="dashed">
        <color indexed="30"/>
      </bottom>
      <diagonal/>
    </border>
    <border>
      <left style="thin">
        <color indexed="30"/>
      </left>
      <right style="thin">
        <color indexed="30"/>
      </right>
      <top style="dashed">
        <color indexed="30"/>
      </top>
      <bottom style="dashed">
        <color indexed="30"/>
      </bottom>
      <diagonal/>
    </border>
    <border>
      <left style="thin">
        <color indexed="30"/>
      </left>
      <right style="thin">
        <color indexed="30"/>
      </right>
      <top style="dashed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 style="dashed">
        <color theme="3"/>
      </left>
      <right style="dashed">
        <color theme="3"/>
      </right>
      <top/>
      <bottom style="thick">
        <color theme="3"/>
      </bottom>
      <diagonal/>
    </border>
    <border>
      <left style="thick">
        <color theme="3"/>
      </left>
      <right style="dashed">
        <color theme="3"/>
      </right>
      <top style="thick">
        <color theme="3"/>
      </top>
      <bottom style="dashed">
        <color theme="3"/>
      </bottom>
      <diagonal/>
    </border>
    <border>
      <left style="dashed">
        <color theme="3"/>
      </left>
      <right style="dashed">
        <color theme="3"/>
      </right>
      <top style="thick">
        <color theme="3"/>
      </top>
      <bottom style="dashed">
        <color theme="3"/>
      </bottom>
      <diagonal/>
    </border>
    <border>
      <left style="thick">
        <color theme="3"/>
      </left>
      <right style="dashed">
        <color theme="3"/>
      </right>
      <top style="dashed">
        <color theme="3"/>
      </top>
      <bottom style="dashed">
        <color theme="3"/>
      </bottom>
      <diagonal/>
    </border>
    <border>
      <left style="dashed">
        <color theme="3"/>
      </left>
      <right style="dashed">
        <color theme="3"/>
      </right>
      <top style="dashed">
        <color theme="3"/>
      </top>
      <bottom style="dashed">
        <color theme="3"/>
      </bottom>
      <diagonal/>
    </border>
    <border>
      <left style="thick">
        <color theme="3"/>
      </left>
      <right style="dashed">
        <color theme="3"/>
      </right>
      <top style="dashed">
        <color theme="3"/>
      </top>
      <bottom style="thick">
        <color theme="3"/>
      </bottom>
      <diagonal/>
    </border>
    <border>
      <left style="dashed">
        <color theme="3"/>
      </left>
      <right style="dashed">
        <color theme="3"/>
      </right>
      <top style="dashed">
        <color theme="3"/>
      </top>
      <bottom style="thick">
        <color theme="3"/>
      </bottom>
      <diagonal/>
    </border>
    <border>
      <left style="dashed">
        <color theme="3"/>
      </left>
      <right style="thick">
        <color theme="3"/>
      </right>
      <top style="dashed">
        <color theme="3"/>
      </top>
      <bottom style="thick">
        <color theme="3"/>
      </bottom>
      <diagonal/>
    </border>
    <border>
      <left/>
      <right style="dashed">
        <color theme="3"/>
      </right>
      <top style="thick">
        <color theme="3"/>
      </top>
      <bottom style="dashed">
        <color theme="3"/>
      </bottom>
      <diagonal/>
    </border>
    <border>
      <left/>
      <right style="dashed">
        <color theme="3"/>
      </right>
      <top style="dashed">
        <color theme="3"/>
      </top>
      <bottom style="dashed">
        <color theme="3"/>
      </bottom>
      <diagonal/>
    </border>
    <border>
      <left/>
      <right style="dashed">
        <color theme="3"/>
      </right>
      <top style="dashed">
        <color theme="3"/>
      </top>
      <bottom style="thick">
        <color theme="3"/>
      </bottom>
      <diagonal/>
    </border>
    <border>
      <left style="thick">
        <color theme="1" tint="0.14996795556505021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ck">
        <color theme="1" tint="0.14996795556505021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ck">
        <color theme="1" tint="0.14996795556505021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1" tint="0.14996795556505021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ck">
        <color theme="1" tint="0.14996795556505021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1" tint="0.14996795556505021"/>
      </left>
      <right style="medium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ck">
        <color theme="1" tint="0.14996795556505021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thick">
        <color theme="1" tint="0.14996795556505021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thick">
        <color theme="1" tint="0.14996795556505021"/>
      </left>
      <right style="medium">
        <color theme="0" tint="-0.499984740745262"/>
      </right>
      <top/>
      <bottom style="thick">
        <color theme="1" tint="0.1499679555650502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ck">
        <color theme="1" tint="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1" tint="0.14996795556505021"/>
      </bottom>
      <diagonal/>
    </border>
    <border>
      <left style="thin">
        <color indexed="30"/>
      </left>
      <right style="dashed">
        <color indexed="30"/>
      </right>
      <top style="hair">
        <color indexed="30"/>
      </top>
      <bottom style="thin">
        <color indexed="30"/>
      </bottom>
      <diagonal/>
    </border>
    <border>
      <left style="thick">
        <color indexed="30"/>
      </left>
      <right/>
      <top style="thick">
        <color indexed="30"/>
      </top>
      <bottom style="thin">
        <color indexed="30"/>
      </bottom>
      <diagonal/>
    </border>
    <border>
      <left/>
      <right/>
      <top style="thick">
        <color indexed="30"/>
      </top>
      <bottom style="thin">
        <color indexed="30"/>
      </bottom>
      <diagonal/>
    </border>
    <border>
      <left style="thick">
        <color indexed="30"/>
      </left>
      <right/>
      <top style="thin">
        <color indexed="3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30"/>
      </left>
      <right/>
      <top/>
      <bottom/>
      <diagonal/>
    </border>
    <border>
      <left style="thick">
        <color indexed="3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30"/>
      </bottom>
      <diagonal/>
    </border>
    <border>
      <left style="thick">
        <color indexed="30"/>
      </left>
      <right style="thin">
        <color indexed="30"/>
      </right>
      <top style="thin">
        <color indexed="30"/>
      </top>
      <bottom style="hair">
        <color indexed="30"/>
      </bottom>
      <diagonal/>
    </border>
    <border>
      <left style="thick">
        <color indexed="30"/>
      </left>
      <right style="thin">
        <color indexed="30"/>
      </right>
      <top style="hair">
        <color indexed="30"/>
      </top>
      <bottom style="hair">
        <color indexed="30"/>
      </bottom>
      <diagonal/>
    </border>
    <border>
      <left style="thick">
        <color indexed="30"/>
      </left>
      <right style="thin">
        <color indexed="30"/>
      </right>
      <top style="hair">
        <color indexed="30"/>
      </top>
      <bottom style="thin">
        <color indexed="30"/>
      </bottom>
      <diagonal/>
    </border>
    <border>
      <left style="thick">
        <color indexed="30"/>
      </left>
      <right style="thin">
        <color indexed="30"/>
      </right>
      <top style="hair">
        <color indexed="30"/>
      </top>
      <bottom/>
      <diagonal/>
    </border>
    <border>
      <left style="thick">
        <color indexed="30"/>
      </left>
      <right style="thin">
        <color indexed="30"/>
      </right>
      <top style="thick">
        <color indexed="30"/>
      </top>
      <bottom style="hair">
        <color indexed="30"/>
      </bottom>
      <diagonal/>
    </border>
    <border>
      <left style="thin">
        <color indexed="30"/>
      </left>
      <right style="thin">
        <color indexed="30"/>
      </right>
      <top style="thick">
        <color indexed="30"/>
      </top>
      <bottom style="hair">
        <color indexed="30"/>
      </bottom>
      <diagonal/>
    </border>
    <border>
      <left style="thick">
        <color indexed="30"/>
      </left>
      <right style="thin">
        <color indexed="30"/>
      </right>
      <top/>
      <bottom style="hair">
        <color indexed="30"/>
      </bottom>
      <diagonal/>
    </border>
    <border>
      <left style="thin">
        <color indexed="30"/>
      </left>
      <right style="thick">
        <color indexed="30"/>
      </right>
      <top style="thick">
        <color indexed="30"/>
      </top>
      <bottom style="hair">
        <color indexed="30"/>
      </bottom>
      <diagonal/>
    </border>
    <border>
      <left style="thick">
        <color indexed="30"/>
      </left>
      <right style="thin">
        <color indexed="30"/>
      </right>
      <top style="hair">
        <color indexed="30"/>
      </top>
      <bottom style="thick">
        <color indexed="30"/>
      </bottom>
      <diagonal/>
    </border>
    <border>
      <left style="thin">
        <color indexed="30"/>
      </left>
      <right style="thin">
        <color indexed="30"/>
      </right>
      <top style="hair">
        <color indexed="30"/>
      </top>
      <bottom style="thick">
        <color indexed="30"/>
      </bottom>
      <diagonal/>
    </border>
    <border>
      <left style="thin">
        <color indexed="30"/>
      </left>
      <right style="thick">
        <color indexed="30"/>
      </right>
      <top style="hair">
        <color indexed="30"/>
      </top>
      <bottom style="thick">
        <color indexed="30"/>
      </bottom>
      <diagonal/>
    </border>
    <border>
      <left/>
      <right style="thick">
        <color indexed="30"/>
      </right>
      <top style="thick">
        <color indexed="30"/>
      </top>
      <bottom style="thin">
        <color indexed="30"/>
      </bottom>
      <diagonal/>
    </border>
    <border>
      <left/>
      <right style="thick">
        <color indexed="30"/>
      </right>
      <top style="thin">
        <color indexed="30"/>
      </top>
      <bottom/>
      <diagonal/>
    </border>
    <border>
      <left style="thick">
        <color indexed="3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30"/>
      </right>
      <top/>
      <bottom/>
      <diagonal/>
    </border>
    <border>
      <left style="thin">
        <color indexed="30"/>
      </left>
      <right style="thick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ck">
        <color indexed="30"/>
      </right>
      <top style="thin">
        <color indexed="30"/>
      </top>
      <bottom style="hair">
        <color indexed="30"/>
      </bottom>
      <diagonal/>
    </border>
    <border>
      <left style="thin">
        <color indexed="30"/>
      </left>
      <right style="thick">
        <color indexed="30"/>
      </right>
      <top style="hair">
        <color indexed="30"/>
      </top>
      <bottom style="hair">
        <color indexed="30"/>
      </bottom>
      <diagonal/>
    </border>
    <border>
      <left style="thin">
        <color indexed="30"/>
      </left>
      <right style="thick">
        <color indexed="30"/>
      </right>
      <top style="hair">
        <color indexed="30"/>
      </top>
      <bottom/>
      <diagonal/>
    </border>
    <border>
      <left style="thin">
        <color indexed="30"/>
      </left>
      <right style="thick">
        <color indexed="30"/>
      </right>
      <top/>
      <bottom style="hair">
        <color indexed="30"/>
      </bottom>
      <diagonal/>
    </border>
    <border>
      <left style="thin">
        <color indexed="30"/>
      </left>
      <right style="thick">
        <color indexed="30"/>
      </right>
      <top style="hair">
        <color indexed="30"/>
      </top>
      <bottom style="thin">
        <color indexed="30"/>
      </bottom>
      <diagonal/>
    </border>
    <border>
      <left style="thick">
        <color indexed="30"/>
      </left>
      <right style="thin">
        <color indexed="64"/>
      </right>
      <top style="thin">
        <color indexed="64"/>
      </top>
      <bottom style="thick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30"/>
      </bottom>
      <diagonal/>
    </border>
    <border>
      <left/>
      <right style="thick">
        <color indexed="30"/>
      </right>
      <top/>
      <bottom style="thick">
        <color indexed="30"/>
      </bottom>
      <diagonal/>
    </border>
    <border>
      <left style="thick">
        <color indexed="30"/>
      </left>
      <right style="thin">
        <color indexed="64"/>
      </right>
      <top/>
      <bottom style="thin">
        <color indexed="64"/>
      </bottom>
      <diagonal/>
    </border>
    <border>
      <left style="thick">
        <color indexed="30"/>
      </left>
      <right style="thin">
        <color indexed="30"/>
      </right>
      <top style="medium">
        <color indexed="30"/>
      </top>
      <bottom style="hair">
        <color indexed="30"/>
      </bottom>
      <diagonal/>
    </border>
    <border>
      <left style="thin">
        <color indexed="30"/>
      </left>
      <right style="thick">
        <color indexed="30"/>
      </right>
      <top style="medium">
        <color indexed="30"/>
      </top>
      <bottom style="hair">
        <color indexed="30"/>
      </bottom>
      <diagonal/>
    </border>
    <border>
      <left style="thick">
        <color indexed="30"/>
      </left>
      <right style="thin">
        <color indexed="30"/>
      </right>
      <top style="hair">
        <color indexed="30"/>
      </top>
      <bottom style="medium">
        <color indexed="30"/>
      </bottom>
      <diagonal/>
    </border>
    <border>
      <left style="thin">
        <color indexed="30"/>
      </left>
      <right style="thick">
        <color indexed="30"/>
      </right>
      <top style="hair">
        <color indexed="30"/>
      </top>
      <bottom style="medium">
        <color indexed="30"/>
      </bottom>
      <diagonal/>
    </border>
    <border>
      <left style="thick">
        <color indexed="30"/>
      </left>
      <right style="thin">
        <color indexed="30"/>
      </right>
      <top style="thick">
        <color indexed="30"/>
      </top>
      <bottom style="thick">
        <color indexed="30"/>
      </bottom>
      <diagonal/>
    </border>
    <border>
      <left style="thin">
        <color indexed="30"/>
      </left>
      <right style="thin">
        <color indexed="30"/>
      </right>
      <top style="thick">
        <color indexed="30"/>
      </top>
      <bottom style="thick">
        <color indexed="30"/>
      </bottom>
      <diagonal/>
    </border>
    <border>
      <left style="thin">
        <color indexed="30"/>
      </left>
      <right style="thick">
        <color indexed="30"/>
      </right>
      <top style="thick">
        <color indexed="30"/>
      </top>
      <bottom style="thick">
        <color indexed="3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/>
      <diagonal/>
    </border>
    <border>
      <left style="thin">
        <color theme="0" tint="-0.49998474074526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thin">
        <color theme="0" tint="-0.499984740745262"/>
      </top>
      <bottom style="dashed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ck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medium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hair">
        <color rgb="FF00B0F0"/>
      </top>
      <bottom style="hair">
        <color rgb="FF00B0F0"/>
      </bottom>
      <diagonal/>
    </border>
    <border>
      <left style="thick">
        <color theme="1" tint="0.14996795556505021"/>
      </left>
      <right style="medium">
        <color theme="0" tint="-0.499984740745262"/>
      </right>
      <top style="thin">
        <color indexed="64"/>
      </top>
      <bottom style="thin">
        <color theme="1" tint="0.14993743705557422"/>
      </bottom>
      <diagonal/>
    </border>
    <border>
      <left/>
      <right/>
      <top style="thin">
        <color indexed="64"/>
      </top>
      <bottom style="thin">
        <color theme="1" tint="0.14993743705557422"/>
      </bottom>
      <diagonal/>
    </border>
    <border>
      <left/>
      <right style="thin">
        <color theme="1" tint="0.14993743705557422"/>
      </right>
      <top style="thin">
        <color indexed="64"/>
      </top>
      <bottom style="thin">
        <color theme="1" tint="0.14993743705557422"/>
      </bottom>
      <diagonal/>
    </border>
    <border>
      <left style="thick">
        <color theme="1" tint="0.14996795556505021"/>
      </left>
      <right style="medium">
        <color theme="0" tint="-0.499984740745262"/>
      </right>
      <top style="thin">
        <color theme="1" tint="0.14993743705557422"/>
      </top>
      <bottom style="thin">
        <color theme="1" tint="0.14993743705557422"/>
      </bottom>
      <diagonal/>
    </border>
    <border>
      <left style="hair">
        <color rgb="FF0070C0"/>
      </left>
      <right style="medium">
        <color rgb="FF0070C0"/>
      </right>
      <top style="medium">
        <color rgb="FF0070C0"/>
      </top>
      <bottom style="hair">
        <color rgb="FF0070C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ck">
        <color rgb="FF00B0F0"/>
      </left>
      <right style="thin">
        <color rgb="FF00B0F0"/>
      </right>
      <top style="thick">
        <color rgb="FF00B0F0"/>
      </top>
      <bottom style="hair">
        <color rgb="FF00B0F0"/>
      </bottom>
      <diagonal/>
    </border>
    <border>
      <left style="thin">
        <color rgb="FF00B0F0"/>
      </left>
      <right style="thin">
        <color rgb="FF00B0F0"/>
      </right>
      <top style="thick">
        <color rgb="FF00B0F0"/>
      </top>
      <bottom style="hair">
        <color rgb="FF00B0F0"/>
      </bottom>
      <diagonal/>
    </border>
    <border>
      <left style="thin">
        <color rgb="FF00B0F0"/>
      </left>
      <right style="thick">
        <color rgb="FF00B0F0"/>
      </right>
      <top style="thick">
        <color rgb="FF00B0F0"/>
      </top>
      <bottom style="hair">
        <color rgb="FF00B0F0"/>
      </bottom>
      <diagonal/>
    </border>
    <border>
      <left style="thick">
        <color rgb="FF00B0F0"/>
      </left>
      <right style="thin">
        <color rgb="FF00B0F0"/>
      </right>
      <top style="hair">
        <color rgb="FF00B0F0"/>
      </top>
      <bottom style="hair">
        <color rgb="FF00B0F0"/>
      </bottom>
      <diagonal/>
    </border>
    <border>
      <left style="thin">
        <color rgb="FF00B0F0"/>
      </left>
      <right style="thick">
        <color rgb="FF00B0F0"/>
      </right>
      <top style="hair">
        <color rgb="FF00B0F0"/>
      </top>
      <bottom style="hair">
        <color rgb="FF00B0F0"/>
      </bottom>
      <diagonal/>
    </border>
    <border>
      <left style="thick">
        <color rgb="FF00B0F0"/>
      </left>
      <right style="thin">
        <color rgb="FF00B0F0"/>
      </right>
      <top style="hair">
        <color rgb="FF00B0F0"/>
      </top>
      <bottom style="thick">
        <color rgb="FF00B0F0"/>
      </bottom>
      <diagonal/>
    </border>
    <border>
      <left style="thin">
        <color rgb="FF00B0F0"/>
      </left>
      <right style="thin">
        <color rgb="FF00B0F0"/>
      </right>
      <top style="hair">
        <color rgb="FF00B0F0"/>
      </top>
      <bottom style="thick">
        <color rgb="FF00B0F0"/>
      </bottom>
      <diagonal/>
    </border>
    <border>
      <left style="thin">
        <color rgb="FF00B0F0"/>
      </left>
      <right style="thick">
        <color rgb="FF00B0F0"/>
      </right>
      <top style="hair">
        <color rgb="FF00B0F0"/>
      </top>
      <bottom style="thick">
        <color rgb="FF00B0F0"/>
      </bottom>
      <diagonal/>
    </border>
    <border>
      <left/>
      <right style="thin">
        <color indexed="30"/>
      </right>
      <top style="thin">
        <color indexed="30"/>
      </top>
      <bottom style="hair">
        <color indexed="30"/>
      </bottom>
      <diagonal/>
    </border>
    <border>
      <left style="thin">
        <color rgb="FF0070C0"/>
      </left>
      <right/>
      <top style="thin">
        <color indexed="30"/>
      </top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/>
      <top style="thin">
        <color indexed="30"/>
      </top>
      <bottom style="hair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rgb="FF0070C0"/>
      </bottom>
      <diagonal/>
    </border>
    <border>
      <left/>
      <right/>
      <top/>
      <bottom style="thin">
        <color rgb="FF00B0F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17" fillId="0" borderId="0"/>
    <xf numFmtId="0" fontId="2" fillId="0" borderId="0"/>
    <xf numFmtId="0" fontId="2" fillId="0" borderId="0">
      <alignment wrapText="1"/>
    </xf>
  </cellStyleXfs>
  <cellXfs count="2054">
    <xf numFmtId="0" fontId="0" fillId="0" borderId="0" xfId="0"/>
    <xf numFmtId="0" fontId="3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6" fillId="2" borderId="0" xfId="2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0" fontId="6" fillId="2" borderId="0" xfId="0" applyNumberFormat="1" applyFont="1" applyFill="1" applyBorder="1" applyAlignment="1">
      <alignment vertical="center"/>
    </xf>
    <xf numFmtId="0" fontId="6" fillId="4" borderId="0" xfId="0" applyFont="1" applyFill="1" applyBorder="1" applyAlignment="1">
      <alignment vertical="center"/>
    </xf>
    <xf numFmtId="0" fontId="8" fillId="4" borderId="0" xfId="0" applyFont="1" applyFill="1" applyBorder="1" applyAlignment="1">
      <alignment horizontal="right" vertical="center"/>
    </xf>
    <xf numFmtId="166" fontId="6" fillId="4" borderId="0" xfId="2" applyNumberFormat="1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49" fontId="3" fillId="4" borderId="0" xfId="0" applyNumberFormat="1" applyFont="1" applyFill="1" applyAlignment="1">
      <alignment vertical="center"/>
    </xf>
    <xf numFmtId="49" fontId="4" fillId="2" borderId="7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64" fontId="3" fillId="0" borderId="10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0" fontId="3" fillId="3" borderId="12" xfId="1" applyNumberFormat="1" applyFont="1" applyFill="1" applyBorder="1" applyAlignment="1">
      <alignment vertical="center"/>
    </xf>
    <xf numFmtId="4" fontId="3" fillId="4" borderId="0" xfId="0" applyNumberFormat="1" applyFont="1" applyFill="1" applyAlignment="1">
      <alignment vertical="center"/>
    </xf>
    <xf numFmtId="0" fontId="3" fillId="0" borderId="13" xfId="0" applyFont="1" applyBorder="1" applyAlignment="1">
      <alignment vertical="center"/>
    </xf>
    <xf numFmtId="164" fontId="3" fillId="0" borderId="13" xfId="0" applyNumberFormat="1" applyFont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164" fontId="4" fillId="3" borderId="12" xfId="0" applyNumberFormat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3" borderId="12" xfId="0" applyNumberFormat="1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164" fontId="3" fillId="3" borderId="6" xfId="0" applyNumberFormat="1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164" fontId="3" fillId="0" borderId="12" xfId="0" applyNumberFormat="1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164" fontId="3" fillId="0" borderId="8" xfId="0" applyNumberFormat="1" applyFont="1" applyFill="1" applyBorder="1" applyAlignment="1">
      <alignment vertical="center"/>
    </xf>
    <xf numFmtId="164" fontId="3" fillId="4" borderId="0" xfId="0" applyNumberFormat="1" applyFont="1" applyFill="1" applyAlignment="1">
      <alignment vertical="center"/>
    </xf>
    <xf numFmtId="10" fontId="3" fillId="3" borderId="5" xfId="1" applyNumberFormat="1" applyFont="1" applyFill="1" applyBorder="1" applyAlignment="1">
      <alignment vertical="center"/>
    </xf>
    <xf numFmtId="49" fontId="4" fillId="2" borderId="18" xfId="0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4" fontId="3" fillId="0" borderId="24" xfId="0" applyNumberFormat="1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164" fontId="10" fillId="0" borderId="26" xfId="0" applyNumberFormat="1" applyFont="1" applyFill="1" applyBorder="1" applyAlignment="1">
      <alignment horizontal="right" vertical="center" shrinkToFit="1"/>
    </xf>
    <xf numFmtId="164" fontId="11" fillId="0" borderId="26" xfId="0" applyNumberFormat="1" applyFont="1" applyFill="1" applyBorder="1" applyAlignment="1">
      <alignment horizontal="left" vertical="top" wrapText="1"/>
    </xf>
    <xf numFmtId="0" fontId="3" fillId="0" borderId="27" xfId="0" applyFont="1" applyBorder="1" applyAlignment="1">
      <alignment vertical="center"/>
    </xf>
    <xf numFmtId="164" fontId="10" fillId="0" borderId="28" xfId="0" applyNumberFormat="1" applyFont="1" applyFill="1" applyBorder="1" applyAlignment="1">
      <alignment horizontal="right" vertical="center" shrinkToFit="1"/>
    </xf>
    <xf numFmtId="0" fontId="4" fillId="3" borderId="29" xfId="0" applyFont="1" applyFill="1" applyBorder="1" applyAlignment="1">
      <alignment horizontal="right" vertical="center"/>
    </xf>
    <xf numFmtId="164" fontId="4" fillId="3" borderId="30" xfId="0" applyNumberFormat="1" applyFont="1" applyFill="1" applyBorder="1" applyAlignment="1">
      <alignment vertical="center"/>
    </xf>
    <xf numFmtId="164" fontId="3" fillId="0" borderId="28" xfId="0" applyNumberFormat="1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64" fontId="3" fillId="0" borderId="32" xfId="0" applyNumberFormat="1" applyFont="1" applyBorder="1" applyAlignment="1">
      <alignment vertical="center"/>
    </xf>
    <xf numFmtId="0" fontId="4" fillId="3" borderId="33" xfId="0" applyFont="1" applyFill="1" applyBorder="1" applyAlignment="1">
      <alignment horizontal="right" vertical="center"/>
    </xf>
    <xf numFmtId="0" fontId="3" fillId="3" borderId="34" xfId="0" applyFont="1" applyFill="1" applyBorder="1" applyAlignment="1">
      <alignment vertical="center"/>
    </xf>
    <xf numFmtId="164" fontId="4" fillId="3" borderId="34" xfId="0" applyNumberFormat="1" applyFont="1" applyFill="1" applyBorder="1" applyAlignment="1">
      <alignment vertical="center"/>
    </xf>
    <xf numFmtId="164" fontId="4" fillId="3" borderId="35" xfId="0" applyNumberFormat="1" applyFont="1" applyFill="1" applyBorder="1" applyAlignment="1">
      <alignment vertical="center"/>
    </xf>
    <xf numFmtId="0" fontId="3" fillId="0" borderId="37" xfId="0" applyFont="1" applyBorder="1" applyAlignment="1">
      <alignment vertical="center"/>
    </xf>
    <xf numFmtId="49" fontId="4" fillId="2" borderId="39" xfId="0" applyNumberFormat="1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vertical="center"/>
    </xf>
    <xf numFmtId="0" fontId="3" fillId="0" borderId="43" xfId="0" applyFont="1" applyBorder="1" applyAlignment="1">
      <alignment vertical="center"/>
    </xf>
    <xf numFmtId="164" fontId="3" fillId="0" borderId="43" xfId="0" applyNumberFormat="1" applyFont="1" applyBorder="1" applyAlignment="1">
      <alignment vertical="center"/>
    </xf>
    <xf numFmtId="164" fontId="3" fillId="0" borderId="44" xfId="0" applyNumberFormat="1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46" xfId="0" applyNumberFormat="1" applyFont="1" applyBorder="1" applyAlignment="1">
      <alignment vertical="center"/>
    </xf>
    <xf numFmtId="0" fontId="4" fillId="3" borderId="29" xfId="0" applyFont="1" applyFill="1" applyBorder="1" applyAlignment="1">
      <alignment vertical="center"/>
    </xf>
    <xf numFmtId="164" fontId="3" fillId="3" borderId="30" xfId="0" applyNumberFormat="1" applyFont="1" applyFill="1" applyBorder="1" applyAlignment="1">
      <alignment vertical="center"/>
    </xf>
    <xf numFmtId="0" fontId="4" fillId="3" borderId="20" xfId="0" applyFont="1" applyFill="1" applyBorder="1" applyAlignment="1">
      <alignment vertical="center"/>
    </xf>
    <xf numFmtId="164" fontId="3" fillId="3" borderId="21" xfId="0" applyNumberFormat="1" applyFont="1" applyFill="1" applyBorder="1" applyAlignment="1">
      <alignment vertical="center"/>
    </xf>
    <xf numFmtId="0" fontId="3" fillId="3" borderId="29" xfId="0" applyFont="1" applyFill="1" applyBorder="1" applyAlignment="1">
      <alignment vertical="center"/>
    </xf>
    <xf numFmtId="164" fontId="3" fillId="0" borderId="30" xfId="0" applyNumberFormat="1" applyFont="1" applyFill="1" applyBorder="1" applyAlignment="1">
      <alignment vertical="center"/>
    </xf>
    <xf numFmtId="0" fontId="4" fillId="3" borderId="47" xfId="0" applyFont="1" applyFill="1" applyBorder="1" applyAlignment="1">
      <alignment vertical="center"/>
    </xf>
    <xf numFmtId="0" fontId="3" fillId="3" borderId="33" xfId="0" applyFont="1" applyFill="1" applyBorder="1" applyAlignment="1">
      <alignment horizontal="right" vertical="center"/>
    </xf>
    <xf numFmtId="0" fontId="3" fillId="4" borderId="39" xfId="0" applyFont="1" applyFill="1" applyBorder="1" applyAlignment="1">
      <alignment vertical="center"/>
    </xf>
    <xf numFmtId="164" fontId="3" fillId="3" borderId="34" xfId="0" applyNumberFormat="1" applyFont="1" applyFill="1" applyBorder="1" applyAlignment="1">
      <alignment vertical="center"/>
    </xf>
    <xf numFmtId="164" fontId="3" fillId="3" borderId="35" xfId="0" applyNumberFormat="1" applyFont="1" applyFill="1" applyBorder="1" applyAlignment="1">
      <alignment vertical="center"/>
    </xf>
    <xf numFmtId="49" fontId="3" fillId="2" borderId="0" xfId="0" applyNumberFormat="1" applyFont="1" applyFill="1" applyAlignment="1">
      <alignment vertical="center"/>
    </xf>
    <xf numFmtId="4" fontId="3" fillId="2" borderId="0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1" fontId="4" fillId="2" borderId="12" xfId="0" applyNumberFormat="1" applyFont="1" applyFill="1" applyBorder="1" applyAlignment="1" applyProtection="1">
      <alignment horizontal="center" vertical="center"/>
      <protection locked="0"/>
    </xf>
    <xf numFmtId="164" fontId="13" fillId="3" borderId="12" xfId="0" applyNumberFormat="1" applyFont="1" applyFill="1" applyBorder="1" applyAlignment="1">
      <alignment vertical="center"/>
    </xf>
    <xf numFmtId="164" fontId="14" fillId="3" borderId="12" xfId="0" applyNumberFormat="1" applyFont="1" applyFill="1" applyBorder="1" applyAlignment="1">
      <alignment vertical="center"/>
    </xf>
    <xf numFmtId="164" fontId="15" fillId="3" borderId="12" xfId="0" applyNumberFormat="1" applyFont="1" applyFill="1" applyBorder="1" applyAlignment="1">
      <alignment vertical="center"/>
    </xf>
    <xf numFmtId="164" fontId="16" fillId="3" borderId="52" xfId="0" applyNumberFormat="1" applyFont="1" applyFill="1" applyBorder="1" applyAlignment="1">
      <alignment vertical="center"/>
    </xf>
    <xf numFmtId="164" fontId="3" fillId="3" borderId="52" xfId="0" applyNumberFormat="1" applyFont="1" applyFill="1" applyBorder="1" applyAlignment="1">
      <alignment vertical="center"/>
    </xf>
    <xf numFmtId="164" fontId="3" fillId="3" borderId="54" xfId="0" applyNumberFormat="1" applyFont="1" applyFill="1" applyBorder="1" applyAlignment="1">
      <alignment vertical="center"/>
    </xf>
    <xf numFmtId="49" fontId="4" fillId="2" borderId="29" xfId="0" applyNumberFormat="1" applyFont="1" applyFill="1" applyBorder="1" applyAlignment="1">
      <alignment vertical="center"/>
    </xf>
    <xf numFmtId="1" fontId="4" fillId="2" borderId="30" xfId="0" applyNumberFormat="1" applyFont="1" applyFill="1" applyBorder="1" applyAlignment="1" applyProtection="1">
      <alignment horizontal="center" vertical="center"/>
      <protection locked="0"/>
    </xf>
    <xf numFmtId="0" fontId="3" fillId="0" borderId="60" xfId="0" applyFont="1" applyBorder="1" applyAlignment="1">
      <alignment vertical="center"/>
    </xf>
    <xf numFmtId="0" fontId="3" fillId="0" borderId="61" xfId="0" applyFont="1" applyBorder="1" applyAlignment="1">
      <alignment vertical="center"/>
    </xf>
    <xf numFmtId="0" fontId="3" fillId="0" borderId="62" xfId="0" applyFont="1" applyBorder="1" applyAlignment="1">
      <alignment vertical="center"/>
    </xf>
    <xf numFmtId="164" fontId="14" fillId="3" borderId="30" xfId="0" applyNumberFormat="1" applyFont="1" applyFill="1" applyBorder="1" applyAlignment="1">
      <alignment vertical="center"/>
    </xf>
    <xf numFmtId="0" fontId="4" fillId="3" borderId="65" xfId="0" applyFont="1" applyFill="1" applyBorder="1" applyAlignment="1">
      <alignment horizontal="right" vertical="center"/>
    </xf>
    <xf numFmtId="0" fontId="4" fillId="3" borderId="67" xfId="0" applyFont="1" applyFill="1" applyBorder="1" applyAlignment="1">
      <alignment vertical="center"/>
    </xf>
    <xf numFmtId="164" fontId="16" fillId="3" borderId="68" xfId="0" applyNumberFormat="1" applyFont="1" applyFill="1" applyBorder="1" applyAlignment="1">
      <alignment vertical="center"/>
    </xf>
    <xf numFmtId="0" fontId="4" fillId="3" borderId="69" xfId="0" applyFont="1" applyFill="1" applyBorder="1" applyAlignment="1">
      <alignment vertical="center"/>
    </xf>
    <xf numFmtId="0" fontId="4" fillId="4" borderId="16" xfId="0" applyFont="1" applyFill="1" applyBorder="1" applyAlignment="1">
      <alignment vertical="center"/>
    </xf>
    <xf numFmtId="0" fontId="3" fillId="3" borderId="72" xfId="0" applyFont="1" applyFill="1" applyBorder="1" applyAlignment="1">
      <alignment vertical="center"/>
    </xf>
    <xf numFmtId="164" fontId="3" fillId="3" borderId="73" xfId="0" applyNumberFormat="1" applyFont="1" applyFill="1" applyBorder="1" applyAlignment="1">
      <alignment vertical="center"/>
    </xf>
    <xf numFmtId="164" fontId="3" fillId="3" borderId="74" xfId="0" applyNumberFormat="1" applyFont="1" applyFill="1" applyBorder="1" applyAlignment="1">
      <alignment vertical="center"/>
    </xf>
    <xf numFmtId="0" fontId="3" fillId="3" borderId="69" xfId="0" applyFont="1" applyFill="1" applyBorder="1" applyAlignment="1">
      <alignment vertical="center"/>
    </xf>
    <xf numFmtId="10" fontId="3" fillId="3" borderId="70" xfId="1" applyNumberFormat="1" applyFont="1" applyFill="1" applyBorder="1" applyAlignment="1">
      <alignment vertical="center"/>
    </xf>
    <xf numFmtId="10" fontId="3" fillId="3" borderId="71" xfId="1" applyNumberFormat="1" applyFont="1" applyFill="1" applyBorder="1" applyAlignment="1">
      <alignment vertical="center"/>
    </xf>
    <xf numFmtId="164" fontId="3" fillId="3" borderId="78" xfId="0" applyNumberFormat="1" applyFont="1" applyFill="1" applyBorder="1" applyAlignment="1">
      <alignment vertical="center"/>
    </xf>
    <xf numFmtId="164" fontId="3" fillId="3" borderId="68" xfId="0" applyNumberFormat="1" applyFont="1" applyFill="1" applyBorder="1" applyAlignment="1">
      <alignment vertical="center"/>
    </xf>
    <xf numFmtId="164" fontId="3" fillId="3" borderId="70" xfId="0" applyNumberFormat="1" applyFont="1" applyFill="1" applyBorder="1" applyAlignment="1">
      <alignment vertical="center"/>
    </xf>
    <xf numFmtId="164" fontId="3" fillId="3" borderId="71" xfId="0" applyNumberFormat="1" applyFont="1" applyFill="1" applyBorder="1" applyAlignment="1">
      <alignment vertical="center"/>
    </xf>
    <xf numFmtId="164" fontId="3" fillId="3" borderId="43" xfId="0" applyNumberFormat="1" applyFont="1" applyFill="1" applyBorder="1" applyAlignment="1">
      <alignment vertical="center"/>
    </xf>
    <xf numFmtId="0" fontId="4" fillId="3" borderId="72" xfId="0" applyFont="1" applyFill="1" applyBorder="1" applyAlignment="1">
      <alignment vertical="center"/>
    </xf>
    <xf numFmtId="0" fontId="4" fillId="3" borderId="69" xfId="0" applyFont="1" applyFill="1" applyBorder="1" applyAlignment="1">
      <alignment horizontal="left" vertical="center"/>
    </xf>
    <xf numFmtId="0" fontId="3" fillId="3" borderId="79" xfId="0" applyFont="1" applyFill="1" applyBorder="1" applyAlignment="1">
      <alignment vertical="center"/>
    </xf>
    <xf numFmtId="0" fontId="3" fillId="3" borderId="61" xfId="0" applyFont="1" applyFill="1" applyBorder="1" applyAlignment="1">
      <alignment vertical="center"/>
    </xf>
    <xf numFmtId="0" fontId="3" fillId="3" borderId="80" xfId="0" applyFont="1" applyFill="1" applyBorder="1" applyAlignment="1">
      <alignment vertical="center"/>
    </xf>
    <xf numFmtId="0" fontId="4" fillId="3" borderId="75" xfId="0" applyFont="1" applyFill="1" applyBorder="1" applyAlignment="1">
      <alignment vertical="center"/>
    </xf>
    <xf numFmtId="0" fontId="3" fillId="2" borderId="60" xfId="0" applyFont="1" applyFill="1" applyBorder="1" applyAlignment="1">
      <alignment vertical="center"/>
    </xf>
    <xf numFmtId="0" fontId="3" fillId="2" borderId="61" xfId="0" applyFont="1" applyFill="1" applyBorder="1" applyAlignment="1">
      <alignment vertical="center"/>
    </xf>
    <xf numFmtId="0" fontId="3" fillId="2" borderId="80" xfId="0" applyFont="1" applyFill="1" applyBorder="1" applyAlignment="1">
      <alignment vertical="center"/>
    </xf>
    <xf numFmtId="164" fontId="3" fillId="3" borderId="81" xfId="0" applyNumberFormat="1" applyFont="1" applyFill="1" applyBorder="1" applyAlignment="1">
      <alignment vertical="center"/>
    </xf>
    <xf numFmtId="164" fontId="3" fillId="0" borderId="49" xfId="0" applyNumberFormat="1" applyFont="1" applyBorder="1" applyAlignment="1">
      <alignment vertical="center"/>
    </xf>
    <xf numFmtId="164" fontId="3" fillId="0" borderId="50" xfId="0" applyNumberFormat="1" applyFont="1" applyBorder="1" applyAlignment="1">
      <alignment vertical="center"/>
    </xf>
    <xf numFmtId="164" fontId="3" fillId="0" borderId="82" xfId="0" applyNumberFormat="1" applyFont="1" applyBorder="1" applyAlignment="1">
      <alignment vertical="center"/>
    </xf>
    <xf numFmtId="164" fontId="3" fillId="3" borderId="77" xfId="0" applyNumberFormat="1" applyFont="1" applyFill="1" applyBorder="1" applyAlignment="1">
      <alignment vertical="center"/>
    </xf>
    <xf numFmtId="164" fontId="3" fillId="0" borderId="83" xfId="0" applyNumberFormat="1" applyFont="1" applyBorder="1" applyAlignment="1">
      <alignment vertical="center"/>
    </xf>
    <xf numFmtId="164" fontId="3" fillId="0" borderId="84" xfId="0" applyNumberFormat="1" applyFont="1" applyBorder="1" applyAlignment="1">
      <alignment vertical="center"/>
    </xf>
    <xf numFmtId="164" fontId="3" fillId="0" borderId="85" xfId="0" applyNumberFormat="1" applyFont="1" applyBorder="1" applyAlignment="1">
      <alignment vertical="center"/>
    </xf>
    <xf numFmtId="164" fontId="3" fillId="0" borderId="51" xfId="0" applyNumberFormat="1" applyFont="1" applyBorder="1" applyAlignment="1">
      <alignment vertical="center"/>
    </xf>
    <xf numFmtId="164" fontId="3" fillId="0" borderId="52" xfId="0" applyNumberFormat="1" applyFont="1" applyBorder="1" applyAlignment="1">
      <alignment vertical="center"/>
    </xf>
    <xf numFmtId="164" fontId="3" fillId="0" borderId="70" xfId="0" applyNumberFormat="1" applyFont="1" applyBorder="1" applyAlignment="1">
      <alignment vertical="center"/>
    </xf>
    <xf numFmtId="164" fontId="3" fillId="0" borderId="53" xfId="0" applyNumberFormat="1" applyFont="1" applyBorder="1" applyAlignment="1">
      <alignment vertical="center"/>
    </xf>
    <xf numFmtId="0" fontId="3" fillId="0" borderId="86" xfId="0" applyFont="1" applyBorder="1" applyAlignment="1">
      <alignment vertical="center"/>
    </xf>
    <xf numFmtId="164" fontId="3" fillId="0" borderId="87" xfId="0" applyNumberFormat="1" applyFont="1" applyBorder="1" applyAlignment="1">
      <alignment vertical="center"/>
    </xf>
    <xf numFmtId="164" fontId="3" fillId="0" borderId="88" xfId="0" applyNumberFormat="1" applyFont="1" applyBorder="1" applyAlignment="1">
      <alignment vertical="center"/>
    </xf>
    <xf numFmtId="167" fontId="3" fillId="2" borderId="0" xfId="3" applyFont="1" applyFill="1" applyAlignment="1">
      <alignment vertical="center"/>
    </xf>
    <xf numFmtId="167" fontId="3" fillId="4" borderId="0" xfId="3" applyFont="1" applyFill="1" applyAlignment="1">
      <alignment vertical="center"/>
    </xf>
    <xf numFmtId="167" fontId="3" fillId="2" borderId="0" xfId="3" applyFont="1" applyFill="1" applyBorder="1" applyAlignment="1">
      <alignment vertical="center"/>
    </xf>
    <xf numFmtId="167" fontId="12" fillId="4" borderId="0" xfId="3" applyFont="1" applyFill="1" applyBorder="1" applyAlignment="1">
      <alignment horizontal="centerContinuous" vertical="center"/>
    </xf>
    <xf numFmtId="167" fontId="18" fillId="2" borderId="0" xfId="3" applyFont="1" applyFill="1" applyBorder="1" applyAlignment="1">
      <alignment vertical="center"/>
    </xf>
    <xf numFmtId="167" fontId="18" fillId="2" borderId="0" xfId="3" quotePrefix="1" applyFont="1" applyFill="1" applyBorder="1" applyAlignment="1">
      <alignment horizontal="right" vertical="center"/>
    </xf>
    <xf numFmtId="167" fontId="18" fillId="4" borderId="0" xfId="3" quotePrefix="1" applyFont="1" applyFill="1" applyBorder="1" applyAlignment="1">
      <alignment horizontal="right" vertical="center"/>
    </xf>
    <xf numFmtId="167" fontId="19" fillId="4" borderId="0" xfId="3" applyFont="1" applyFill="1" applyBorder="1" applyAlignment="1">
      <alignment horizontal="center" vertical="center"/>
    </xf>
    <xf numFmtId="167" fontId="9" fillId="2" borderId="0" xfId="3" applyFont="1" applyFill="1" applyBorder="1" applyAlignment="1">
      <alignment vertical="center"/>
    </xf>
    <xf numFmtId="167" fontId="19" fillId="3" borderId="1" xfId="3" quotePrefix="1" applyFont="1" applyFill="1" applyBorder="1" applyAlignment="1">
      <alignment horizontal="left" vertical="center"/>
    </xf>
    <xf numFmtId="167" fontId="18" fillId="4" borderId="0" xfId="3" applyFont="1" applyFill="1" applyBorder="1" applyAlignment="1">
      <alignment vertical="center"/>
    </xf>
    <xf numFmtId="4" fontId="18" fillId="4" borderId="0" xfId="0" applyNumberFormat="1" applyFont="1" applyFill="1" applyBorder="1" applyAlignment="1">
      <alignment horizontal="center" vertical="center"/>
    </xf>
    <xf numFmtId="167" fontId="18" fillId="2" borderId="0" xfId="3" applyFont="1" applyFill="1" applyBorder="1" applyAlignment="1">
      <alignment horizontal="center" vertical="center"/>
    </xf>
    <xf numFmtId="167" fontId="19" fillId="0" borderId="0" xfId="3" applyFont="1" applyBorder="1" applyAlignment="1">
      <alignment horizontal="right" vertical="center"/>
    </xf>
    <xf numFmtId="168" fontId="18" fillId="2" borderId="0" xfId="3" applyNumberFormat="1" applyFont="1" applyFill="1" applyBorder="1" applyAlignment="1">
      <alignment horizontal="left" vertical="center"/>
    </xf>
    <xf numFmtId="167" fontId="18" fillId="4" borderId="0" xfId="3" quotePrefix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67" fontId="3" fillId="4" borderId="0" xfId="3" applyFont="1" applyFill="1" applyBorder="1" applyAlignment="1">
      <alignment vertical="center"/>
    </xf>
    <xf numFmtId="168" fontId="18" fillId="2" borderId="0" xfId="3" applyNumberFormat="1" applyFont="1" applyFill="1" applyBorder="1" applyAlignment="1">
      <alignment vertical="center"/>
    </xf>
    <xf numFmtId="167" fontId="18" fillId="4" borderId="0" xfId="3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0" fontId="18" fillId="4" borderId="0" xfId="0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right" vertical="center"/>
    </xf>
    <xf numFmtId="168" fontId="18" fillId="2" borderId="0" xfId="0" applyNumberFormat="1" applyFont="1" applyFill="1" applyBorder="1" applyAlignment="1">
      <alignment vertical="center"/>
    </xf>
    <xf numFmtId="0" fontId="19" fillId="0" borderId="0" xfId="0" applyFont="1" applyBorder="1" applyAlignment="1">
      <alignment horizontal="right" vertical="center"/>
    </xf>
    <xf numFmtId="167" fontId="4" fillId="3" borderId="2" xfId="3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19" fillId="4" borderId="0" xfId="0" applyFont="1" applyFill="1" applyBorder="1" applyAlignment="1">
      <alignment horizontal="center" vertical="center"/>
    </xf>
    <xf numFmtId="168" fontId="18" fillId="4" borderId="0" xfId="0" applyNumberFormat="1" applyFont="1" applyFill="1" applyBorder="1" applyAlignment="1">
      <alignment horizontal="center" vertical="center"/>
    </xf>
    <xf numFmtId="3" fontId="18" fillId="4" borderId="0" xfId="0" applyNumberFormat="1" applyFont="1" applyFill="1" applyBorder="1" applyAlignment="1">
      <alignment vertical="center"/>
    </xf>
    <xf numFmtId="167" fontId="3" fillId="0" borderId="0" xfId="3" applyFont="1" applyFill="1" applyAlignment="1">
      <alignment vertical="center"/>
    </xf>
    <xf numFmtId="167" fontId="4" fillId="3" borderId="1" xfId="3" applyFont="1" applyFill="1" applyBorder="1" applyAlignment="1">
      <alignment vertical="center"/>
    </xf>
    <xf numFmtId="4" fontId="19" fillId="4" borderId="0" xfId="0" applyNumberFormat="1" applyFont="1" applyFill="1" applyBorder="1" applyAlignment="1">
      <alignment horizontal="center" vertical="center"/>
    </xf>
    <xf numFmtId="167" fontId="3" fillId="4" borderId="0" xfId="3" applyFont="1" applyFill="1" applyAlignment="1">
      <alignment horizontal="center" vertical="center"/>
    </xf>
    <xf numFmtId="167" fontId="3" fillId="4" borderId="0" xfId="3" applyFont="1" applyFill="1" applyBorder="1" applyAlignment="1">
      <alignment vertical="center" wrapText="1"/>
    </xf>
    <xf numFmtId="167" fontId="3" fillId="2" borderId="0" xfId="3" applyFont="1" applyFill="1" applyAlignment="1">
      <alignment horizontal="right" vertical="center"/>
    </xf>
    <xf numFmtId="43" fontId="3" fillId="4" borderId="0" xfId="3" applyNumberFormat="1" applyFont="1" applyFill="1" applyAlignment="1">
      <alignment horizontal="center" vertical="center"/>
    </xf>
    <xf numFmtId="167" fontId="4" fillId="3" borderId="1" xfId="3" applyFont="1" applyFill="1" applyBorder="1" applyAlignment="1">
      <alignment horizontal="center" vertical="center"/>
    </xf>
    <xf numFmtId="10" fontId="3" fillId="2" borderId="0" xfId="2" applyNumberFormat="1" applyFont="1" applyFill="1" applyAlignment="1">
      <alignment vertical="center"/>
    </xf>
    <xf numFmtId="167" fontId="3" fillId="3" borderId="1" xfId="3" applyFont="1" applyFill="1" applyBorder="1" applyAlignment="1">
      <alignment horizontal="left" vertical="center"/>
    </xf>
    <xf numFmtId="167" fontId="3" fillId="4" borderId="0" xfId="3" applyFont="1" applyFill="1" applyAlignment="1">
      <alignment horizontal="right" vertical="center"/>
    </xf>
    <xf numFmtId="167" fontId="4" fillId="4" borderId="0" xfId="3" applyFont="1" applyFill="1" applyBorder="1" applyAlignment="1">
      <alignment horizontal="right" vertical="center"/>
    </xf>
    <xf numFmtId="43" fontId="3" fillId="4" borderId="0" xfId="3" applyNumberFormat="1" applyFont="1" applyFill="1" applyBorder="1" applyAlignment="1">
      <alignment horizontal="center" vertical="center"/>
    </xf>
    <xf numFmtId="167" fontId="3" fillId="4" borderId="0" xfId="3" applyNumberFormat="1" applyFont="1" applyFill="1" applyBorder="1" applyAlignment="1">
      <alignment horizontal="center" vertical="center"/>
    </xf>
    <xf numFmtId="167" fontId="3" fillId="2" borderId="0" xfId="3" applyFont="1" applyFill="1" applyAlignment="1">
      <alignment horizontal="center" vertical="center"/>
    </xf>
    <xf numFmtId="167" fontId="4" fillId="4" borderId="0" xfId="3" applyFont="1" applyFill="1" applyAlignment="1">
      <alignment horizontal="right" vertical="center"/>
    </xf>
    <xf numFmtId="4" fontId="19" fillId="4" borderId="0" xfId="3" applyNumberFormat="1" applyFont="1" applyFill="1" applyBorder="1" applyAlignment="1">
      <alignment horizontal="center" vertical="center"/>
    </xf>
    <xf numFmtId="167" fontId="19" fillId="4" borderId="0" xfId="3" applyFont="1" applyFill="1" applyBorder="1" applyAlignment="1">
      <alignment horizontal="right" vertical="center"/>
    </xf>
    <xf numFmtId="167" fontId="3" fillId="4" borderId="0" xfId="3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4" fontId="10" fillId="4" borderId="0" xfId="0" applyNumberFormat="1" applyFont="1" applyFill="1" applyBorder="1" applyAlignment="1">
      <alignment horizontal="right" vertical="center" shrinkToFit="1"/>
    </xf>
    <xf numFmtId="0" fontId="3" fillId="4" borderId="91" xfId="0" applyFont="1" applyFill="1" applyBorder="1" applyAlignment="1">
      <alignment horizontal="center" vertical="center"/>
    </xf>
    <xf numFmtId="0" fontId="3" fillId="4" borderId="89" xfId="0" applyFont="1" applyFill="1" applyBorder="1" applyAlignment="1">
      <alignment horizontal="center" vertical="center"/>
    </xf>
    <xf numFmtId="0" fontId="3" fillId="4" borderId="92" xfId="0" applyFont="1" applyFill="1" applyBorder="1" applyAlignment="1">
      <alignment horizontal="center" vertical="center"/>
    </xf>
    <xf numFmtId="0" fontId="3" fillId="4" borderId="91" xfId="0" applyNumberFormat="1" applyFont="1" applyFill="1" applyBorder="1" applyAlignment="1">
      <alignment horizontal="left" vertical="center"/>
    </xf>
    <xf numFmtId="170" fontId="3" fillId="4" borderId="91" xfId="0" applyNumberFormat="1" applyFont="1" applyFill="1" applyBorder="1" applyAlignment="1" applyProtection="1">
      <alignment horizontal="center" vertical="center"/>
    </xf>
    <xf numFmtId="0" fontId="3" fillId="4" borderId="89" xfId="0" applyNumberFormat="1" applyFont="1" applyFill="1" applyBorder="1" applyAlignment="1">
      <alignment horizontal="left" vertical="center"/>
    </xf>
    <xf numFmtId="170" fontId="3" fillId="4" borderId="89" xfId="0" applyNumberFormat="1" applyFont="1" applyFill="1" applyBorder="1" applyAlignment="1" applyProtection="1">
      <alignment horizontal="center" vertical="center"/>
    </xf>
    <xf numFmtId="0" fontId="3" fillId="4" borderId="92" xfId="0" applyNumberFormat="1" applyFont="1" applyFill="1" applyBorder="1" applyAlignment="1">
      <alignment horizontal="left" vertical="center"/>
    </xf>
    <xf numFmtId="170" fontId="3" fillId="4" borderId="92" xfId="0" applyNumberFormat="1" applyFont="1" applyFill="1" applyBorder="1" applyAlignment="1" applyProtection="1">
      <alignment horizontal="center" vertical="center"/>
    </xf>
    <xf numFmtId="0" fontId="18" fillId="4" borderId="91" xfId="0" applyFont="1" applyFill="1" applyBorder="1" applyAlignment="1">
      <alignment horizontal="center" vertical="center"/>
    </xf>
    <xf numFmtId="167" fontId="3" fillId="9" borderId="91" xfId="3" applyFont="1" applyFill="1" applyBorder="1" applyAlignment="1">
      <alignment vertical="center"/>
    </xf>
    <xf numFmtId="0" fontId="18" fillId="4" borderId="89" xfId="0" applyFont="1" applyFill="1" applyBorder="1" applyAlignment="1">
      <alignment horizontal="center" vertical="center"/>
    </xf>
    <xf numFmtId="167" fontId="3" fillId="9" borderId="89" xfId="3" applyFont="1" applyFill="1" applyBorder="1" applyAlignment="1">
      <alignment vertical="center"/>
    </xf>
    <xf numFmtId="0" fontId="18" fillId="4" borderId="92" xfId="0" applyFont="1" applyFill="1" applyBorder="1" applyAlignment="1">
      <alignment horizontal="center" vertical="center"/>
    </xf>
    <xf numFmtId="167" fontId="3" fillId="9" borderId="92" xfId="3" applyFont="1" applyFill="1" applyBorder="1" applyAlignment="1">
      <alignment vertical="center"/>
    </xf>
    <xf numFmtId="167" fontId="19" fillId="3" borderId="1" xfId="3" applyFont="1" applyFill="1" applyBorder="1" applyAlignment="1">
      <alignment horizontal="center" vertical="center"/>
    </xf>
    <xf numFmtId="0" fontId="3" fillId="4" borderId="91" xfId="0" applyFont="1" applyFill="1" applyBorder="1" applyAlignment="1" applyProtection="1">
      <alignment vertical="center"/>
      <protection locked="0"/>
    </xf>
    <xf numFmtId="0" fontId="3" fillId="4" borderId="89" xfId="0" applyFont="1" applyFill="1" applyBorder="1" applyAlignment="1" applyProtection="1">
      <alignment vertical="center"/>
      <protection locked="0"/>
    </xf>
    <xf numFmtId="170" fontId="3" fillId="4" borderId="89" xfId="0" applyNumberFormat="1" applyFont="1" applyFill="1" applyBorder="1" applyAlignment="1">
      <alignment horizontal="center" vertical="center"/>
    </xf>
    <xf numFmtId="0" fontId="3" fillId="4" borderId="92" xfId="0" applyFont="1" applyFill="1" applyBorder="1" applyAlignment="1" applyProtection="1">
      <alignment vertical="center"/>
      <protection locked="0"/>
    </xf>
    <xf numFmtId="170" fontId="3" fillId="4" borderId="92" xfId="0" applyNumberFormat="1" applyFont="1" applyFill="1" applyBorder="1" applyAlignment="1">
      <alignment horizontal="center" vertical="center"/>
    </xf>
    <xf numFmtId="170" fontId="3" fillId="4" borderId="91" xfId="0" applyNumberFormat="1" applyFont="1" applyFill="1" applyBorder="1" applyAlignment="1">
      <alignment horizontal="center" vertical="center"/>
    </xf>
    <xf numFmtId="167" fontId="3" fillId="3" borderId="3" xfId="3" applyFont="1" applyFill="1" applyBorder="1" applyAlignment="1">
      <alignment horizontal="left" vertical="center"/>
    </xf>
    <xf numFmtId="167" fontId="4" fillId="3" borderId="93" xfId="3" applyFont="1" applyFill="1" applyBorder="1" applyAlignment="1">
      <alignment horizontal="right" vertical="center"/>
    </xf>
    <xf numFmtId="164" fontId="18" fillId="4" borderId="91" xfId="0" applyNumberFormat="1" applyFont="1" applyFill="1" applyBorder="1" applyAlignment="1">
      <alignment horizontal="center" vertical="center"/>
    </xf>
    <xf numFmtId="164" fontId="18" fillId="4" borderId="89" xfId="0" applyNumberFormat="1" applyFont="1" applyFill="1" applyBorder="1" applyAlignment="1">
      <alignment horizontal="center" vertical="center"/>
    </xf>
    <xf numFmtId="164" fontId="18" fillId="4" borderId="92" xfId="0" applyNumberFormat="1" applyFont="1" applyFill="1" applyBorder="1" applyAlignment="1">
      <alignment horizontal="center" vertical="center"/>
    </xf>
    <xf numFmtId="164" fontId="19" fillId="3" borderId="90" xfId="3" applyNumberFormat="1" applyFont="1" applyFill="1" applyBorder="1" applyAlignment="1">
      <alignment horizontal="center" vertical="center"/>
    </xf>
    <xf numFmtId="164" fontId="3" fillId="4" borderId="89" xfId="0" applyNumberFormat="1" applyFont="1" applyFill="1" applyBorder="1" applyAlignment="1">
      <alignment horizontal="center" vertical="center"/>
    </xf>
    <xf numFmtId="164" fontId="3" fillId="4" borderId="92" xfId="0" applyNumberFormat="1" applyFont="1" applyFill="1" applyBorder="1" applyAlignment="1">
      <alignment horizontal="center" vertical="center"/>
    </xf>
    <xf numFmtId="164" fontId="19" fillId="3" borderId="90" xfId="0" applyNumberFormat="1" applyFont="1" applyFill="1" applyBorder="1" applyAlignment="1">
      <alignment horizontal="center" vertical="center"/>
    </xf>
    <xf numFmtId="164" fontId="3" fillId="4" borderId="91" xfId="0" applyNumberFormat="1" applyFont="1" applyFill="1" applyBorder="1" applyAlignment="1" applyProtection="1">
      <alignment horizontal="center" vertical="center"/>
    </xf>
    <xf numFmtId="164" fontId="3" fillId="4" borderId="89" xfId="0" applyNumberFormat="1" applyFont="1" applyFill="1" applyBorder="1" applyAlignment="1" applyProtection="1">
      <alignment horizontal="center" vertical="center"/>
    </xf>
    <xf numFmtId="164" fontId="3" fillId="4" borderId="92" xfId="0" applyNumberFormat="1" applyFont="1" applyFill="1" applyBorder="1" applyAlignment="1" applyProtection="1">
      <alignment horizontal="center" vertical="center"/>
    </xf>
    <xf numFmtId="164" fontId="3" fillId="3" borderId="1" xfId="3" applyNumberFormat="1" applyFont="1" applyFill="1" applyBorder="1" applyAlignment="1">
      <alignment horizontal="center" vertical="center"/>
    </xf>
    <xf numFmtId="164" fontId="3" fillId="3" borderId="1" xfId="3" applyNumberFormat="1" applyFont="1" applyFill="1" applyBorder="1" applyAlignment="1">
      <alignment vertical="center"/>
    </xf>
    <xf numFmtId="164" fontId="3" fillId="3" borderId="3" xfId="3" applyNumberFormat="1" applyFont="1" applyFill="1" applyBorder="1" applyAlignment="1">
      <alignment horizontal="center" vertical="center"/>
    </xf>
    <xf numFmtId="164" fontId="3" fillId="3" borderId="3" xfId="3" applyNumberFormat="1" applyFont="1" applyFill="1" applyBorder="1" applyAlignment="1">
      <alignment vertical="center"/>
    </xf>
    <xf numFmtId="164" fontId="3" fillId="3" borderId="93" xfId="3" applyNumberFormat="1" applyFont="1" applyFill="1" applyBorder="1" applyAlignment="1">
      <alignment horizontal="center" vertical="center"/>
    </xf>
    <xf numFmtId="164" fontId="20" fillId="2" borderId="0" xfId="3" applyNumberFormat="1" applyFont="1" applyFill="1" applyAlignment="1">
      <alignment vertical="center"/>
    </xf>
    <xf numFmtId="49" fontId="4" fillId="2" borderId="94" xfId="0" applyNumberFormat="1" applyFont="1" applyFill="1" applyBorder="1" applyAlignment="1">
      <alignment horizontal="left" vertical="center"/>
    </xf>
    <xf numFmtId="49" fontId="3" fillId="2" borderId="95" xfId="0" applyNumberFormat="1" applyFont="1" applyFill="1" applyBorder="1" applyAlignment="1">
      <alignment vertical="center"/>
    </xf>
    <xf numFmtId="49" fontId="4" fillId="2" borderId="95" xfId="0" quotePrefix="1" applyNumberFormat="1" applyFont="1" applyFill="1" applyBorder="1" applyAlignment="1">
      <alignment horizontal="left" vertical="center"/>
    </xf>
    <xf numFmtId="0" fontId="3" fillId="4" borderId="0" xfId="0" applyFont="1" applyFill="1" applyBorder="1" applyAlignment="1">
      <alignment vertical="center"/>
    </xf>
    <xf numFmtId="49" fontId="4" fillId="2" borderId="97" xfId="0" applyNumberFormat="1" applyFont="1" applyFill="1" applyBorder="1" applyAlignment="1">
      <alignment vertical="center"/>
    </xf>
    <xf numFmtId="49" fontId="4" fillId="2" borderId="97" xfId="0" applyNumberFormat="1" applyFont="1" applyFill="1" applyBorder="1" applyAlignment="1">
      <alignment horizontal="center" vertical="center"/>
    </xf>
    <xf numFmtId="1" fontId="4" fillId="2" borderId="97" xfId="0" applyNumberFormat="1" applyFont="1" applyFill="1" applyBorder="1" applyAlignment="1">
      <alignment horizontal="center" vertical="center"/>
    </xf>
    <xf numFmtId="0" fontId="3" fillId="2" borderId="98" xfId="0" applyNumberFormat="1" applyFont="1" applyFill="1" applyBorder="1" applyAlignment="1">
      <alignment vertical="center"/>
    </xf>
    <xf numFmtId="49" fontId="3" fillId="2" borderId="98" xfId="0" applyNumberFormat="1" applyFont="1" applyFill="1" applyBorder="1" applyAlignment="1">
      <alignment vertical="center"/>
    </xf>
    <xf numFmtId="3" fontId="3" fillId="2" borderId="100" xfId="0" applyNumberFormat="1" applyFont="1" applyFill="1" applyBorder="1" applyAlignment="1" applyProtection="1">
      <alignment horizontal="right" vertical="center"/>
    </xf>
    <xf numFmtId="3" fontId="3" fillId="2" borderId="101" xfId="0" applyNumberFormat="1" applyFont="1" applyFill="1" applyBorder="1" applyAlignment="1" applyProtection="1">
      <alignment horizontal="right" vertical="center"/>
    </xf>
    <xf numFmtId="3" fontId="3" fillId="2" borderId="98" xfId="0" applyNumberFormat="1" applyFont="1" applyFill="1" applyBorder="1" applyAlignment="1" applyProtection="1">
      <alignment horizontal="right" vertical="center"/>
    </xf>
    <xf numFmtId="0" fontId="4" fillId="2" borderId="102" xfId="0" applyNumberFormat="1" applyFont="1" applyFill="1" applyBorder="1" applyAlignment="1">
      <alignment vertical="center"/>
    </xf>
    <xf numFmtId="49" fontId="3" fillId="2" borderId="102" xfId="0" applyNumberFormat="1" applyFont="1" applyFill="1" applyBorder="1" applyAlignment="1">
      <alignment vertical="center"/>
    </xf>
    <xf numFmtId="3" fontId="3" fillId="2" borderId="103" xfId="0" applyNumberFormat="1" applyFont="1" applyFill="1" applyBorder="1" applyAlignment="1" applyProtection="1">
      <alignment horizontal="right" vertical="center"/>
    </xf>
    <xf numFmtId="3" fontId="3" fillId="2" borderId="104" xfId="0" applyNumberFormat="1" applyFont="1" applyFill="1" applyBorder="1" applyAlignment="1" applyProtection="1">
      <alignment horizontal="right" vertical="center"/>
    </xf>
    <xf numFmtId="3" fontId="3" fillId="2" borderId="105" xfId="0" applyNumberFormat="1" applyFont="1" applyFill="1" applyBorder="1" applyAlignment="1" applyProtection="1">
      <alignment horizontal="right" vertical="center"/>
    </xf>
    <xf numFmtId="3" fontId="3" fillId="2" borderId="102" xfId="0" applyNumberFormat="1" applyFont="1" applyFill="1" applyBorder="1" applyAlignment="1" applyProtection="1">
      <alignment horizontal="right" vertical="center"/>
    </xf>
    <xf numFmtId="4" fontId="3" fillId="2" borderId="104" xfId="0" applyNumberFormat="1" applyFont="1" applyFill="1" applyBorder="1" applyAlignment="1" applyProtection="1">
      <alignment horizontal="right" vertical="center"/>
      <protection locked="0"/>
    </xf>
    <xf numFmtId="4" fontId="3" fillId="2" borderId="105" xfId="0" applyNumberFormat="1" applyFont="1" applyFill="1" applyBorder="1" applyAlignment="1" applyProtection="1">
      <alignment horizontal="right" vertical="center"/>
      <protection locked="0"/>
    </xf>
    <xf numFmtId="0" fontId="3" fillId="2" borderId="102" xfId="0" applyNumberFormat="1" applyFont="1" applyFill="1" applyBorder="1" applyAlignment="1">
      <alignment vertical="center"/>
    </xf>
    <xf numFmtId="10" fontId="3" fillId="2" borderId="102" xfId="2" applyNumberFormat="1" applyFont="1" applyFill="1" applyBorder="1" applyAlignment="1">
      <alignment vertical="center"/>
    </xf>
    <xf numFmtId="4" fontId="3" fillId="2" borderId="103" xfId="0" applyNumberFormat="1" applyFont="1" applyFill="1" applyBorder="1" applyAlignment="1" applyProtection="1">
      <alignment horizontal="right" vertical="center"/>
      <protection locked="0"/>
    </xf>
    <xf numFmtId="4" fontId="3" fillId="2" borderId="102" xfId="0" applyNumberFormat="1" applyFont="1" applyFill="1" applyBorder="1" applyAlignment="1" applyProtection="1">
      <alignment horizontal="right" vertical="center"/>
      <protection locked="0"/>
    </xf>
    <xf numFmtId="4" fontId="3" fillId="0" borderId="104" xfId="0" applyNumberFormat="1" applyFont="1" applyFill="1" applyBorder="1" applyAlignment="1" applyProtection="1">
      <alignment horizontal="right" vertical="center"/>
      <protection locked="0"/>
    </xf>
    <xf numFmtId="4" fontId="3" fillId="0" borderId="105" xfId="0" applyNumberFormat="1" applyFont="1" applyFill="1" applyBorder="1" applyAlignment="1" applyProtection="1">
      <alignment horizontal="right" vertical="center"/>
      <protection locked="0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02" xfId="0" applyNumberFormat="1" applyFont="1" applyFill="1" applyBorder="1" applyAlignment="1">
      <alignment vertical="center"/>
    </xf>
    <xf numFmtId="4" fontId="3" fillId="0" borderId="103" xfId="0" applyNumberFormat="1" applyFont="1" applyFill="1" applyBorder="1" applyAlignment="1" applyProtection="1">
      <alignment horizontal="right" vertical="center"/>
      <protection locked="0"/>
    </xf>
    <xf numFmtId="4" fontId="3" fillId="0" borderId="102" xfId="0" applyNumberFormat="1" applyFont="1" applyFill="1" applyBorder="1" applyAlignment="1" applyProtection="1">
      <alignment horizontal="right" vertical="center"/>
      <protection locked="0"/>
    </xf>
    <xf numFmtId="0" fontId="4" fillId="2" borderId="0" xfId="0" applyNumberFormat="1" applyFont="1" applyFill="1" applyBorder="1" applyAlignment="1">
      <alignment vertical="center"/>
    </xf>
    <xf numFmtId="165" fontId="3" fillId="2" borderId="0" xfId="2" applyNumberFormat="1" applyFont="1" applyFill="1" applyBorder="1" applyAlignment="1">
      <alignment vertical="center"/>
    </xf>
    <xf numFmtId="4" fontId="3" fillId="2" borderId="0" xfId="0" applyNumberFormat="1" applyFont="1" applyFill="1" applyBorder="1" applyAlignment="1" applyProtection="1">
      <alignment horizontal="right" vertical="center"/>
      <protection locked="0"/>
    </xf>
    <xf numFmtId="0" fontId="4" fillId="2" borderId="97" xfId="0" applyNumberFormat="1" applyFont="1" applyFill="1" applyBorder="1" applyAlignment="1">
      <alignment vertical="center"/>
    </xf>
    <xf numFmtId="165" fontId="3" fillId="2" borderId="97" xfId="2" applyNumberFormat="1" applyFont="1" applyFill="1" applyBorder="1" applyAlignment="1">
      <alignment vertical="center"/>
    </xf>
    <xf numFmtId="1" fontId="4" fillId="2" borderId="97" xfId="0" applyNumberFormat="1" applyFont="1" applyFill="1" applyBorder="1" applyAlignment="1" applyProtection="1">
      <alignment horizontal="center" vertical="center"/>
      <protection locked="0"/>
    </xf>
    <xf numFmtId="165" fontId="3" fillId="2" borderId="102" xfId="2" applyNumberFormat="1" applyFont="1" applyFill="1" applyBorder="1" applyAlignment="1">
      <alignment vertical="center"/>
    </xf>
    <xf numFmtId="164" fontId="3" fillId="2" borderId="103" xfId="0" applyNumberFormat="1" applyFont="1" applyFill="1" applyBorder="1" applyAlignment="1" applyProtection="1">
      <alignment horizontal="right" vertical="center"/>
      <protection locked="0"/>
    </xf>
    <xf numFmtId="164" fontId="3" fillId="2" borderId="104" xfId="0" applyNumberFormat="1" applyFont="1" applyFill="1" applyBorder="1" applyAlignment="1" applyProtection="1">
      <alignment horizontal="right" vertical="center"/>
      <protection locked="0"/>
    </xf>
    <xf numFmtId="164" fontId="3" fillId="2" borderId="105" xfId="0" applyNumberFormat="1" applyFont="1" applyFill="1" applyBorder="1" applyAlignment="1" applyProtection="1">
      <alignment horizontal="right" vertical="center"/>
      <protection locked="0"/>
    </xf>
    <xf numFmtId="164" fontId="3" fillId="2" borderId="102" xfId="0" applyNumberFormat="1" applyFont="1" applyFill="1" applyBorder="1" applyAlignment="1" applyProtection="1">
      <alignment horizontal="right" vertical="center"/>
      <protection locked="0"/>
    </xf>
    <xf numFmtId="165" fontId="3" fillId="2" borderId="106" xfId="2" applyNumberFormat="1" applyFont="1" applyFill="1" applyBorder="1" applyAlignment="1">
      <alignment vertical="center"/>
    </xf>
    <xf numFmtId="0" fontId="3" fillId="2" borderId="106" xfId="0" applyNumberFormat="1" applyFont="1" applyFill="1" applyBorder="1" applyAlignment="1">
      <alignment vertical="center"/>
    </xf>
    <xf numFmtId="164" fontId="3" fillId="3" borderId="107" xfId="0" applyNumberFormat="1" applyFont="1" applyFill="1" applyBorder="1" applyAlignment="1" applyProtection="1">
      <alignment horizontal="right" vertical="center"/>
      <protection locked="0"/>
    </xf>
    <xf numFmtId="164" fontId="3" fillId="2" borderId="108" xfId="0" applyNumberFormat="1" applyFont="1" applyFill="1" applyBorder="1" applyAlignment="1" applyProtection="1">
      <alignment horizontal="right" vertical="center"/>
      <protection locked="0"/>
    </xf>
    <xf numFmtId="164" fontId="3" fillId="2" borderId="109" xfId="0" applyNumberFormat="1" applyFont="1" applyFill="1" applyBorder="1" applyAlignment="1" applyProtection="1">
      <alignment horizontal="right" vertical="center"/>
      <protection locked="0"/>
    </xf>
    <xf numFmtId="165" fontId="3" fillId="0" borderId="106" xfId="2" applyNumberFormat="1" applyFont="1" applyFill="1" applyBorder="1" applyAlignment="1">
      <alignment vertical="center"/>
    </xf>
    <xf numFmtId="0" fontId="3" fillId="3" borderId="106" xfId="0" applyNumberFormat="1" applyFont="1" applyFill="1" applyBorder="1" applyAlignment="1">
      <alignment vertical="center"/>
    </xf>
    <xf numFmtId="164" fontId="3" fillId="3" borderId="108" xfId="0" applyNumberFormat="1" applyFont="1" applyFill="1" applyBorder="1" applyAlignment="1" applyProtection="1">
      <alignment horizontal="right" vertical="center"/>
      <protection locked="0"/>
    </xf>
    <xf numFmtId="164" fontId="3" fillId="3" borderId="109" xfId="0" applyNumberFormat="1" applyFont="1" applyFill="1" applyBorder="1" applyAlignment="1" applyProtection="1">
      <alignment horizontal="right" vertical="center"/>
      <protection locked="0"/>
    </xf>
    <xf numFmtId="165" fontId="3" fillId="2" borderId="102" xfId="0" applyNumberFormat="1" applyFont="1" applyFill="1" applyBorder="1" applyAlignment="1">
      <alignment vertical="center"/>
    </xf>
    <xf numFmtId="0" fontId="3" fillId="3" borderId="106" xfId="0" applyNumberFormat="1" applyFont="1" applyFill="1" applyBorder="1" applyAlignment="1" applyProtection="1">
      <alignment vertical="center"/>
    </xf>
    <xf numFmtId="164" fontId="3" fillId="3" borderId="108" xfId="0" applyNumberFormat="1" applyFont="1" applyFill="1" applyBorder="1" applyAlignment="1" applyProtection="1">
      <alignment horizontal="right" vertical="center"/>
    </xf>
    <xf numFmtId="164" fontId="3" fillId="3" borderId="109" xfId="0" applyNumberFormat="1" applyFont="1" applyFill="1" applyBorder="1" applyAlignment="1" applyProtection="1">
      <alignment horizontal="right" vertical="center"/>
    </xf>
    <xf numFmtId="3" fontId="3" fillId="4" borderId="0" xfId="0" applyNumberFormat="1" applyFont="1" applyFill="1" applyAlignment="1">
      <alignment vertical="center"/>
    </xf>
    <xf numFmtId="0" fontId="22" fillId="4" borderId="0" xfId="0" applyFont="1" applyFill="1" applyAlignment="1">
      <alignment vertical="center"/>
    </xf>
    <xf numFmtId="49" fontId="3" fillId="3" borderId="106" xfId="0" applyNumberFormat="1" applyFont="1" applyFill="1" applyBorder="1" applyAlignment="1">
      <alignment vertical="center"/>
    </xf>
    <xf numFmtId="0" fontId="3" fillId="2" borderId="110" xfId="0" applyNumberFormat="1" applyFont="1" applyFill="1" applyBorder="1" applyAlignment="1">
      <alignment vertical="center"/>
    </xf>
    <xf numFmtId="49" fontId="3" fillId="2" borderId="110" xfId="0" applyNumberFormat="1" applyFont="1" applyFill="1" applyBorder="1" applyAlignment="1">
      <alignment vertical="center"/>
    </xf>
    <xf numFmtId="164" fontId="3" fillId="2" borderId="111" xfId="0" applyNumberFormat="1" applyFont="1" applyFill="1" applyBorder="1" applyAlignment="1" applyProtection="1">
      <alignment horizontal="right" vertical="center"/>
    </xf>
    <xf numFmtId="164" fontId="3" fillId="2" borderId="112" xfId="0" applyNumberFormat="1" applyFont="1" applyFill="1" applyBorder="1" applyAlignment="1" applyProtection="1">
      <alignment horizontal="right" vertical="center"/>
    </xf>
    <xf numFmtId="164" fontId="3" fillId="2" borderId="113" xfId="0" applyNumberFormat="1" applyFont="1" applyFill="1" applyBorder="1" applyAlignment="1" applyProtection="1">
      <alignment horizontal="right" vertical="center"/>
    </xf>
    <xf numFmtId="0" fontId="3" fillId="3" borderId="114" xfId="0" applyNumberFormat="1" applyFont="1" applyFill="1" applyBorder="1" applyAlignment="1">
      <alignment vertical="center"/>
    </xf>
    <xf numFmtId="49" fontId="3" fillId="3" borderId="114" xfId="0" applyNumberFormat="1" applyFont="1" applyFill="1" applyBorder="1" applyAlignment="1">
      <alignment vertical="center"/>
    </xf>
    <xf numFmtId="164" fontId="3" fillId="3" borderId="115" xfId="0" applyNumberFormat="1" applyFont="1" applyFill="1" applyBorder="1" applyAlignment="1" applyProtection="1">
      <alignment horizontal="right" vertical="center"/>
      <protection locked="0"/>
    </xf>
    <xf numFmtId="164" fontId="3" fillId="3" borderId="116" xfId="0" applyNumberFormat="1" applyFont="1" applyFill="1" applyBorder="1" applyAlignment="1" applyProtection="1">
      <alignment horizontal="right" vertical="center"/>
      <protection locked="0"/>
    </xf>
    <xf numFmtId="164" fontId="3" fillId="3" borderId="117" xfId="0" applyNumberFormat="1" applyFont="1" applyFill="1" applyBorder="1" applyAlignment="1" applyProtection="1">
      <alignment horizontal="right" vertical="center"/>
      <protection locked="0"/>
    </xf>
    <xf numFmtId="0" fontId="3" fillId="3" borderId="123" xfId="0" applyNumberFormat="1" applyFont="1" applyFill="1" applyBorder="1" applyAlignment="1">
      <alignment vertical="center"/>
    </xf>
    <xf numFmtId="49" fontId="3" fillId="3" borderId="123" xfId="0" applyNumberFormat="1" applyFont="1" applyFill="1" applyBorder="1" applyAlignment="1">
      <alignment vertical="center"/>
    </xf>
    <xf numFmtId="164" fontId="3" fillId="3" borderId="125" xfId="0" applyNumberFormat="1" applyFont="1" applyFill="1" applyBorder="1" applyAlignment="1" applyProtection="1">
      <alignment horizontal="right" vertical="center"/>
    </xf>
    <xf numFmtId="164" fontId="3" fillId="3" borderId="126" xfId="0" applyNumberFormat="1" applyFont="1" applyFill="1" applyBorder="1" applyAlignment="1" applyProtection="1">
      <alignment horizontal="right" vertical="center"/>
    </xf>
    <xf numFmtId="0" fontId="4" fillId="3" borderId="120" xfId="0" applyNumberFormat="1" applyFont="1" applyFill="1" applyBorder="1" applyAlignment="1">
      <alignment vertical="center"/>
    </xf>
    <xf numFmtId="49" fontId="3" fillId="3" borderId="120" xfId="0" applyNumberFormat="1" applyFont="1" applyFill="1" applyBorder="1" applyAlignment="1">
      <alignment vertical="center"/>
    </xf>
    <xf numFmtId="164" fontId="4" fillId="3" borderId="122" xfId="0" applyNumberFormat="1" applyFont="1" applyFill="1" applyBorder="1" applyAlignment="1" applyProtection="1">
      <alignment horizontal="right" vertical="center"/>
    </xf>
    <xf numFmtId="164" fontId="4" fillId="3" borderId="119" xfId="0" applyNumberFormat="1" applyFont="1" applyFill="1" applyBorder="1" applyAlignment="1" applyProtection="1">
      <alignment horizontal="right" vertical="center"/>
    </xf>
    <xf numFmtId="164" fontId="3" fillId="3" borderId="125" xfId="0" applyNumberFormat="1" applyFont="1" applyFill="1" applyBorder="1" applyAlignment="1" applyProtection="1">
      <alignment horizontal="right" vertical="center"/>
      <protection locked="0"/>
    </xf>
    <xf numFmtId="164" fontId="3" fillId="3" borderId="126" xfId="0" applyNumberFormat="1" applyFont="1" applyFill="1" applyBorder="1" applyAlignment="1" applyProtection="1">
      <alignment horizontal="right" vertical="center"/>
      <protection locked="0"/>
    </xf>
    <xf numFmtId="164" fontId="4" fillId="3" borderId="122" xfId="0" applyNumberFormat="1" applyFont="1" applyFill="1" applyBorder="1" applyAlignment="1" applyProtection="1">
      <alignment horizontal="right" vertical="center"/>
      <protection locked="0"/>
    </xf>
    <xf numFmtId="164" fontId="4" fillId="3" borderId="119" xfId="0" applyNumberFormat="1" applyFont="1" applyFill="1" applyBorder="1" applyAlignment="1" applyProtection="1">
      <alignment horizontal="right" vertical="center"/>
      <protection locked="0"/>
    </xf>
    <xf numFmtId="0" fontId="3" fillId="3" borderId="120" xfId="0" applyNumberFormat="1" applyFont="1" applyFill="1" applyBorder="1" applyAlignment="1">
      <alignment vertical="center"/>
    </xf>
    <xf numFmtId="164" fontId="4" fillId="3" borderId="121" xfId="0" applyNumberFormat="1" applyFont="1" applyFill="1" applyBorder="1" applyAlignment="1" applyProtection="1">
      <alignment horizontal="right" vertical="center"/>
      <protection locked="0"/>
    </xf>
    <xf numFmtId="165" fontId="3" fillId="3" borderId="120" xfId="2" applyNumberFormat="1" applyFont="1" applyFill="1" applyBorder="1" applyAlignment="1">
      <alignment vertical="center"/>
    </xf>
    <xf numFmtId="0" fontId="0" fillId="0" borderId="0" xfId="0" applyBorder="1"/>
    <xf numFmtId="49" fontId="4" fillId="2" borderId="132" xfId="0" quotePrefix="1" applyNumberFormat="1" applyFont="1" applyFill="1" applyBorder="1" applyAlignment="1">
      <alignment horizontal="left" vertical="center"/>
    </xf>
    <xf numFmtId="49" fontId="12" fillId="2" borderId="133" xfId="0" applyNumberFormat="1" applyFont="1" applyFill="1" applyBorder="1" applyAlignment="1">
      <alignment vertical="center"/>
    </xf>
    <xf numFmtId="49" fontId="3" fillId="2" borderId="133" xfId="0" quotePrefix="1" applyNumberFormat="1" applyFont="1" applyFill="1" applyBorder="1" applyAlignment="1">
      <alignment horizontal="left" vertical="center"/>
    </xf>
    <xf numFmtId="49" fontId="3" fillId="2" borderId="133" xfId="0" quotePrefix="1" applyNumberFormat="1" applyFont="1" applyFill="1" applyBorder="1" applyAlignment="1">
      <alignment horizontal="right" vertical="center"/>
    </xf>
    <xf numFmtId="49" fontId="3" fillId="2" borderId="134" xfId="0" quotePrefix="1" applyNumberFormat="1" applyFont="1" applyFill="1" applyBorder="1" applyAlignment="1">
      <alignment horizontal="right" vertical="center"/>
    </xf>
    <xf numFmtId="49" fontId="4" fillId="2" borderId="135" xfId="0" applyNumberFormat="1" applyFont="1" applyFill="1" applyBorder="1" applyAlignment="1">
      <alignment horizontal="center" vertical="center"/>
    </xf>
    <xf numFmtId="1" fontId="4" fillId="2" borderId="136" xfId="0" applyNumberFormat="1" applyFont="1" applyFill="1" applyBorder="1" applyAlignment="1" applyProtection="1">
      <alignment horizontal="center" vertical="center"/>
      <protection locked="0"/>
    </xf>
    <xf numFmtId="1" fontId="4" fillId="2" borderId="137" xfId="0" applyNumberFormat="1" applyFont="1" applyFill="1" applyBorder="1" applyAlignment="1" applyProtection="1">
      <alignment horizontal="center" vertical="center"/>
      <protection locked="0"/>
    </xf>
    <xf numFmtId="1" fontId="4" fillId="2" borderId="138" xfId="0" applyNumberFormat="1" applyFont="1" applyFill="1" applyBorder="1" applyAlignment="1" applyProtection="1">
      <alignment horizontal="center" vertical="center"/>
      <protection locked="0"/>
    </xf>
    <xf numFmtId="49" fontId="4" fillId="2" borderId="139" xfId="0" applyNumberFormat="1" applyFont="1" applyFill="1" applyBorder="1" applyAlignment="1">
      <alignment horizontal="center" vertical="center"/>
    </xf>
    <xf numFmtId="171" fontId="3" fillId="2" borderId="133" xfId="0" applyNumberFormat="1" applyFont="1" applyFill="1" applyBorder="1" applyAlignment="1" applyProtection="1">
      <alignment horizontal="right" vertical="center"/>
    </xf>
    <xf numFmtId="171" fontId="3" fillId="2" borderId="134" xfId="0" applyNumberFormat="1" applyFont="1" applyFill="1" applyBorder="1" applyAlignment="1" applyProtection="1">
      <alignment horizontal="right" vertical="center"/>
    </xf>
    <xf numFmtId="49" fontId="3" fillId="2" borderId="140" xfId="0" applyNumberFormat="1" applyFont="1" applyFill="1" applyBorder="1" applyAlignment="1">
      <alignment vertical="center"/>
    </xf>
    <xf numFmtId="49" fontId="4" fillId="2" borderId="141" xfId="0" applyNumberFormat="1" applyFont="1" applyFill="1" applyBorder="1" applyAlignment="1">
      <alignment horizontal="center" vertical="center"/>
    </xf>
    <xf numFmtId="49" fontId="4" fillId="2" borderId="143" xfId="0" applyNumberFormat="1" applyFont="1" applyFill="1" applyBorder="1" applyAlignment="1">
      <alignment horizontal="center" vertical="center"/>
    </xf>
    <xf numFmtId="49" fontId="3" fillId="2" borderId="148" xfId="0" applyNumberFormat="1" applyFont="1" applyFill="1" applyBorder="1" applyAlignment="1">
      <alignment vertical="center"/>
    </xf>
    <xf numFmtId="49" fontId="4" fillId="2" borderId="149" xfId="0" applyNumberFormat="1" applyFont="1" applyFill="1" applyBorder="1" applyAlignment="1">
      <alignment vertical="center"/>
    </xf>
    <xf numFmtId="49" fontId="4" fillId="2" borderId="150" xfId="0" applyNumberFormat="1" applyFont="1" applyFill="1" applyBorder="1" applyAlignment="1">
      <alignment vertical="center"/>
    </xf>
    <xf numFmtId="49" fontId="4" fillId="2" borderId="151" xfId="0" applyNumberFormat="1" applyFont="1" applyFill="1" applyBorder="1" applyAlignment="1">
      <alignment vertical="center"/>
    </xf>
    <xf numFmtId="49" fontId="3" fillId="2" borderId="90" xfId="0" applyNumberFormat="1" applyFont="1" applyFill="1" applyBorder="1" applyAlignment="1">
      <alignment vertical="center"/>
    </xf>
    <xf numFmtId="4" fontId="3" fillId="2" borderId="129" xfId="0" applyNumberFormat="1" applyFont="1" applyFill="1" applyBorder="1" applyAlignment="1" applyProtection="1">
      <alignment horizontal="center" vertical="center"/>
      <protection locked="0"/>
    </xf>
    <xf numFmtId="4" fontId="3" fillId="2" borderId="90" xfId="0" applyNumberFormat="1" applyFont="1" applyFill="1" applyBorder="1" applyAlignment="1" applyProtection="1">
      <alignment horizontal="center" vertical="center"/>
      <protection locked="0"/>
    </xf>
    <xf numFmtId="4" fontId="3" fillId="2" borderId="128" xfId="0" applyNumberFormat="1" applyFont="1" applyFill="1" applyBorder="1" applyAlignment="1" applyProtection="1">
      <alignment horizontal="center" vertical="center"/>
      <protection locked="0"/>
    </xf>
    <xf numFmtId="49" fontId="4" fillId="2" borderId="0" xfId="0" applyNumberFormat="1" applyFont="1" applyFill="1" applyAlignment="1">
      <alignment vertical="center"/>
    </xf>
    <xf numFmtId="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Border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164" fontId="3" fillId="2" borderId="155" xfId="0" applyNumberFormat="1" applyFont="1" applyFill="1" applyBorder="1" applyAlignment="1" applyProtection="1">
      <alignment horizontal="right" vertical="center"/>
      <protection locked="0"/>
    </xf>
    <xf numFmtId="164" fontId="3" fillId="2" borderId="156" xfId="0" applyNumberFormat="1" applyFont="1" applyFill="1" applyBorder="1" applyAlignment="1" applyProtection="1">
      <alignment horizontal="right" vertical="center"/>
      <protection locked="0"/>
    </xf>
    <xf numFmtId="164" fontId="3" fillId="2" borderId="158" xfId="0" applyNumberFormat="1" applyFont="1" applyFill="1" applyBorder="1" applyAlignment="1" applyProtection="1">
      <alignment horizontal="right" vertical="center"/>
      <protection locked="0"/>
    </xf>
    <xf numFmtId="164" fontId="3" fillId="2" borderId="159" xfId="0" applyNumberFormat="1" applyFont="1" applyFill="1" applyBorder="1" applyAlignment="1" applyProtection="1">
      <alignment horizontal="right" vertical="center"/>
      <protection locked="0"/>
    </xf>
    <xf numFmtId="164" fontId="3" fillId="2" borderId="161" xfId="0" applyNumberFormat="1" applyFont="1" applyFill="1" applyBorder="1" applyAlignment="1" applyProtection="1">
      <alignment horizontal="right" vertical="center"/>
      <protection locked="0"/>
    </xf>
    <xf numFmtId="164" fontId="3" fillId="2" borderId="162" xfId="0" applyNumberFormat="1" applyFont="1" applyFill="1" applyBorder="1" applyAlignment="1" applyProtection="1">
      <alignment horizontal="right" vertical="center"/>
      <protection locked="0"/>
    </xf>
    <xf numFmtId="0" fontId="3" fillId="3" borderId="49" xfId="0" applyNumberFormat="1" applyFont="1" applyFill="1" applyBorder="1" applyAlignment="1">
      <alignment vertical="center"/>
    </xf>
    <xf numFmtId="0" fontId="3" fillId="3" borderId="50" xfId="0" applyNumberFormat="1" applyFont="1" applyFill="1" applyBorder="1" applyAlignment="1">
      <alignment vertical="center"/>
    </xf>
    <xf numFmtId="0" fontId="3" fillId="3" borderId="163" xfId="0" applyNumberFormat="1" applyFont="1" applyFill="1" applyBorder="1" applyAlignment="1">
      <alignment vertical="center"/>
    </xf>
    <xf numFmtId="10" fontId="3" fillId="9" borderId="164" xfId="2" applyNumberFormat="1" applyFont="1" applyFill="1" applyBorder="1" applyAlignment="1">
      <alignment vertical="center"/>
    </xf>
    <xf numFmtId="10" fontId="3" fillId="9" borderId="165" xfId="2" applyNumberFormat="1" applyFont="1" applyFill="1" applyBorder="1" applyAlignment="1">
      <alignment vertical="center"/>
    </xf>
    <xf numFmtId="10" fontId="3" fillId="9" borderId="166" xfId="2" applyNumberFormat="1" applyFont="1" applyFill="1" applyBorder="1" applyAlignment="1">
      <alignment vertical="center"/>
    </xf>
    <xf numFmtId="0" fontId="3" fillId="3" borderId="49" xfId="0" applyNumberFormat="1" applyFont="1" applyFill="1" applyBorder="1" applyAlignment="1">
      <alignment horizontal="left" vertical="center"/>
    </xf>
    <xf numFmtId="0" fontId="3" fillId="3" borderId="50" xfId="0" applyNumberFormat="1" applyFont="1" applyFill="1" applyBorder="1" applyAlignment="1">
      <alignment horizontal="left" vertical="center"/>
    </xf>
    <xf numFmtId="0" fontId="3" fillId="3" borderId="163" xfId="0" applyNumberFormat="1" applyFont="1" applyFill="1" applyBorder="1" applyAlignment="1">
      <alignment horizontal="left" vertical="center"/>
    </xf>
    <xf numFmtId="10" fontId="3" fillId="0" borderId="165" xfId="2" applyNumberFormat="1" applyFont="1" applyFill="1" applyBorder="1" applyAlignment="1">
      <alignment vertical="center"/>
    </xf>
    <xf numFmtId="10" fontId="3" fillId="0" borderId="166" xfId="2" applyNumberFormat="1" applyFont="1" applyFill="1" applyBorder="1" applyAlignment="1">
      <alignment vertical="center"/>
    </xf>
    <xf numFmtId="164" fontId="3" fillId="0" borderId="155" xfId="0" applyNumberFormat="1" applyFont="1" applyFill="1" applyBorder="1" applyAlignment="1" applyProtection="1">
      <alignment horizontal="right" vertical="center"/>
      <protection locked="0"/>
    </xf>
    <xf numFmtId="164" fontId="3" fillId="0" borderId="156" xfId="0" applyNumberFormat="1" applyFont="1" applyFill="1" applyBorder="1" applyAlignment="1" applyProtection="1">
      <alignment horizontal="right" vertical="center"/>
      <protection locked="0"/>
    </xf>
    <xf numFmtId="164" fontId="3" fillId="0" borderId="158" xfId="0" applyNumberFormat="1" applyFont="1" applyFill="1" applyBorder="1" applyAlignment="1" applyProtection="1">
      <alignment horizontal="right" vertical="center"/>
      <protection locked="0"/>
    </xf>
    <xf numFmtId="164" fontId="3" fillId="0" borderId="159" xfId="0" applyNumberFormat="1" applyFont="1" applyFill="1" applyBorder="1" applyAlignment="1" applyProtection="1">
      <alignment horizontal="right" vertical="center"/>
      <protection locked="0"/>
    </xf>
    <xf numFmtId="164" fontId="3" fillId="0" borderId="161" xfId="0" applyNumberFormat="1" applyFont="1" applyFill="1" applyBorder="1" applyAlignment="1" applyProtection="1">
      <alignment horizontal="right" vertical="center"/>
      <protection locked="0"/>
    </xf>
    <xf numFmtId="164" fontId="3" fillId="0" borderId="162" xfId="0" applyNumberFormat="1" applyFont="1" applyFill="1" applyBorder="1" applyAlignment="1" applyProtection="1">
      <alignment horizontal="right" vertical="center"/>
      <protection locked="0"/>
    </xf>
    <xf numFmtId="0" fontId="4" fillId="3" borderId="110" xfId="0" applyNumberFormat="1" applyFont="1" applyFill="1" applyBorder="1" applyAlignment="1">
      <alignment vertical="center"/>
    </xf>
    <xf numFmtId="49" fontId="3" fillId="3" borderId="110" xfId="0" applyNumberFormat="1" applyFont="1" applyFill="1" applyBorder="1" applyAlignment="1">
      <alignment vertical="center"/>
    </xf>
    <xf numFmtId="164" fontId="4" fillId="3" borderId="112" xfId="0" applyNumberFormat="1" applyFont="1" applyFill="1" applyBorder="1" applyAlignment="1" applyProtection="1">
      <alignment horizontal="center" vertical="center"/>
    </xf>
    <xf numFmtId="0" fontId="4" fillId="3" borderId="12" xfId="0" applyNumberFormat="1" applyFont="1" applyFill="1" applyBorder="1" applyAlignment="1">
      <alignment vertical="center"/>
    </xf>
    <xf numFmtId="10" fontId="3" fillId="3" borderId="168" xfId="2" applyNumberFormat="1" applyFont="1" applyFill="1" applyBorder="1" applyAlignment="1">
      <alignment vertical="center"/>
    </xf>
    <xf numFmtId="164" fontId="4" fillId="3" borderId="5" xfId="0" applyNumberFormat="1" applyFont="1" applyFill="1" applyBorder="1" applyAlignment="1" applyProtection="1">
      <alignment horizontal="center" vertical="center"/>
      <protection locked="0"/>
    </xf>
    <xf numFmtId="164" fontId="4" fillId="3" borderId="12" xfId="0" applyNumberFormat="1" applyFont="1" applyFill="1" applyBorder="1" applyAlignment="1" applyProtection="1">
      <alignment horizontal="center" vertical="center"/>
      <protection locked="0"/>
    </xf>
    <xf numFmtId="49" fontId="4" fillId="2" borderId="120" xfId="0" applyNumberFormat="1" applyFont="1" applyFill="1" applyBorder="1" applyAlignment="1">
      <alignment horizontal="center" vertical="center"/>
    </xf>
    <xf numFmtId="1" fontId="4" fillId="2" borderId="122" xfId="0" applyNumberFormat="1" applyFont="1" applyFill="1" applyBorder="1" applyAlignment="1">
      <alignment horizontal="center" vertical="center"/>
    </xf>
    <xf numFmtId="49" fontId="4" fillId="2" borderId="121" xfId="0" applyNumberFormat="1" applyFont="1" applyFill="1" applyBorder="1" applyAlignment="1">
      <alignment horizontal="center" vertical="center"/>
    </xf>
    <xf numFmtId="10" fontId="3" fillId="0" borderId="50" xfId="2" applyNumberFormat="1" applyFont="1" applyFill="1" applyBorder="1" applyAlignment="1">
      <alignment horizontal="right" vertical="center"/>
    </xf>
    <xf numFmtId="10" fontId="3" fillId="0" borderId="163" xfId="2" applyNumberFormat="1" applyFont="1" applyFill="1" applyBorder="1" applyAlignment="1">
      <alignment horizontal="right" vertical="center"/>
    </xf>
    <xf numFmtId="4" fontId="3" fillId="3" borderId="170" xfId="0" applyNumberFormat="1" applyFont="1" applyFill="1" applyBorder="1" applyAlignment="1" applyProtection="1">
      <alignment horizontal="right" vertical="center"/>
      <protection locked="0"/>
    </xf>
    <xf numFmtId="4" fontId="3" fillId="3" borderId="171" xfId="0" applyNumberFormat="1" applyFont="1" applyFill="1" applyBorder="1" applyAlignment="1" applyProtection="1">
      <alignment horizontal="right" vertical="center"/>
      <protection locked="0"/>
    </xf>
    <xf numFmtId="4" fontId="3" fillId="3" borderId="172" xfId="0" applyNumberFormat="1" applyFont="1" applyFill="1" applyBorder="1" applyAlignment="1" applyProtection="1">
      <alignment horizontal="right" vertical="center"/>
      <protection locked="0"/>
    </xf>
    <xf numFmtId="10" fontId="3" fillId="4" borderId="102" xfId="2" applyNumberFormat="1" applyFont="1" applyFill="1" applyBorder="1" applyAlignment="1">
      <alignment vertical="center"/>
    </xf>
    <xf numFmtId="10" fontId="3" fillId="4" borderId="102" xfId="2" applyNumberFormat="1" applyFont="1" applyFill="1" applyBorder="1" applyAlignment="1">
      <alignment horizontal="right" vertical="center"/>
    </xf>
    <xf numFmtId="165" fontId="3" fillId="3" borderId="168" xfId="2" applyNumberFormat="1" applyFont="1" applyFill="1" applyBorder="1" applyAlignment="1">
      <alignment vertical="center"/>
    </xf>
    <xf numFmtId="164" fontId="3" fillId="3" borderId="5" xfId="0" applyNumberFormat="1" applyFont="1" applyFill="1" applyBorder="1" applyAlignment="1" applyProtection="1">
      <alignment horizontal="right" vertical="center"/>
      <protection locked="0"/>
    </xf>
    <xf numFmtId="0" fontId="3" fillId="2" borderId="173" xfId="0" applyNumberFormat="1" applyFont="1" applyFill="1" applyBorder="1" applyAlignment="1">
      <alignment vertical="center"/>
    </xf>
    <xf numFmtId="165" fontId="3" fillId="2" borderId="173" xfId="2" applyNumberFormat="1" applyFont="1" applyFill="1" applyBorder="1" applyAlignment="1">
      <alignment vertical="center"/>
    </xf>
    <xf numFmtId="164" fontId="3" fillId="2" borderId="175" xfId="0" applyNumberFormat="1" applyFont="1" applyFill="1" applyBorder="1" applyAlignment="1" applyProtection="1">
      <alignment horizontal="right" vertical="center"/>
      <protection locked="0"/>
    </xf>
    <xf numFmtId="164" fontId="3" fillId="2" borderId="176" xfId="0" applyNumberFormat="1" applyFont="1" applyFill="1" applyBorder="1" applyAlignment="1" applyProtection="1">
      <alignment horizontal="right" vertical="center"/>
      <protection locked="0"/>
    </xf>
    <xf numFmtId="164" fontId="3" fillId="2" borderId="173" xfId="0" applyNumberFormat="1" applyFont="1" applyFill="1" applyBorder="1" applyAlignment="1" applyProtection="1">
      <alignment horizontal="right" vertical="center"/>
      <protection locked="0"/>
    </xf>
    <xf numFmtId="164" fontId="3" fillId="2" borderId="106" xfId="0" applyNumberFormat="1" applyFont="1" applyFill="1" applyBorder="1" applyAlignment="1" applyProtection="1">
      <alignment horizontal="right" vertical="center"/>
      <protection locked="0"/>
    </xf>
    <xf numFmtId="4" fontId="3" fillId="2" borderId="109" xfId="0" applyNumberFormat="1" applyFont="1" applyFill="1" applyBorder="1" applyAlignment="1" applyProtection="1">
      <alignment horizontal="right" vertical="center"/>
      <protection locked="0"/>
    </xf>
    <xf numFmtId="0" fontId="3" fillId="2" borderId="114" xfId="0" applyNumberFormat="1" applyFont="1" applyFill="1" applyBorder="1" applyAlignment="1">
      <alignment vertical="center"/>
    </xf>
    <xf numFmtId="165" fontId="3" fillId="2" borderId="114" xfId="2" applyNumberFormat="1" applyFont="1" applyFill="1" applyBorder="1" applyAlignment="1">
      <alignment vertical="center"/>
    </xf>
    <xf numFmtId="164" fontId="3" fillId="2" borderId="116" xfId="0" applyNumberFormat="1" applyFont="1" applyFill="1" applyBorder="1" applyAlignment="1" applyProtection="1">
      <alignment horizontal="right" vertical="center"/>
      <protection locked="0"/>
    </xf>
    <xf numFmtId="164" fontId="3" fillId="2" borderId="117" xfId="0" applyNumberFormat="1" applyFont="1" applyFill="1" applyBorder="1" applyAlignment="1" applyProtection="1">
      <alignment horizontal="right" vertical="center"/>
      <protection locked="0"/>
    </xf>
    <xf numFmtId="164" fontId="3" fillId="2" borderId="114" xfId="0" applyNumberFormat="1" applyFont="1" applyFill="1" applyBorder="1" applyAlignment="1" applyProtection="1">
      <alignment horizontal="right" vertical="center"/>
      <protection locked="0"/>
    </xf>
    <xf numFmtId="164" fontId="3" fillId="2" borderId="105" xfId="0" applyNumberFormat="1" applyFont="1" applyFill="1" applyBorder="1" applyAlignment="1" applyProtection="1">
      <alignment horizontal="right" vertical="center"/>
    </xf>
    <xf numFmtId="0" fontId="3" fillId="3" borderId="173" xfId="0" applyNumberFormat="1" applyFont="1" applyFill="1" applyBorder="1" applyAlignment="1">
      <alignment vertical="center"/>
    </xf>
    <xf numFmtId="0" fontId="3" fillId="3" borderId="173" xfId="0" applyNumberFormat="1" applyFont="1" applyFill="1" applyBorder="1" applyAlignment="1" applyProtection="1">
      <alignment vertical="center"/>
    </xf>
    <xf numFmtId="164" fontId="3" fillId="3" borderId="175" xfId="0" applyNumberFormat="1" applyFont="1" applyFill="1" applyBorder="1" applyAlignment="1" applyProtection="1">
      <alignment horizontal="right" vertical="center"/>
    </xf>
    <xf numFmtId="164" fontId="3" fillId="3" borderId="176" xfId="0" applyNumberFormat="1" applyFont="1" applyFill="1" applyBorder="1" applyAlignment="1" applyProtection="1">
      <alignment horizontal="right" vertical="center"/>
    </xf>
    <xf numFmtId="164" fontId="3" fillId="3" borderId="116" xfId="0" applyNumberFormat="1" applyFont="1" applyFill="1" applyBorder="1" applyAlignment="1" applyProtection="1">
      <alignment horizontal="right" vertical="center"/>
    </xf>
    <xf numFmtId="164" fontId="3" fillId="3" borderId="117" xfId="0" applyNumberFormat="1" applyFont="1" applyFill="1" applyBorder="1" applyAlignment="1" applyProtection="1">
      <alignment horizontal="right" vertical="center"/>
    </xf>
    <xf numFmtId="164" fontId="3" fillId="3" borderId="113" xfId="0" applyNumberFormat="1" applyFont="1" applyFill="1" applyBorder="1" applyAlignment="1" applyProtection="1">
      <alignment horizontal="right" vertical="center"/>
    </xf>
    <xf numFmtId="49" fontId="3" fillId="3" borderId="173" xfId="0" applyNumberFormat="1" applyFont="1" applyFill="1" applyBorder="1" applyAlignment="1">
      <alignment vertical="center"/>
    </xf>
    <xf numFmtId="164" fontId="3" fillId="3" borderId="175" xfId="0" applyNumberFormat="1" applyFont="1" applyFill="1" applyBorder="1" applyAlignment="1" applyProtection="1">
      <alignment horizontal="right" vertical="center"/>
      <protection locked="0"/>
    </xf>
    <xf numFmtId="164" fontId="3" fillId="3" borderId="112" xfId="0" applyNumberFormat="1" applyFont="1" applyFill="1" applyBorder="1" applyAlignment="1" applyProtection="1">
      <alignment horizontal="right" vertical="center"/>
      <protection locked="0"/>
    </xf>
    <xf numFmtId="164" fontId="3" fillId="3" borderId="176" xfId="0" applyNumberFormat="1" applyFont="1" applyFill="1" applyBorder="1" applyAlignment="1" applyProtection="1">
      <alignment horizontal="right" vertical="center"/>
      <protection locked="0"/>
    </xf>
    <xf numFmtId="164" fontId="3" fillId="3" borderId="113" xfId="0" applyNumberFormat="1" applyFont="1" applyFill="1" applyBorder="1" applyAlignment="1" applyProtection="1">
      <alignment horizontal="right" vertical="center"/>
      <protection locked="0"/>
    </xf>
    <xf numFmtId="164" fontId="3" fillId="2" borderId="177" xfId="0" applyNumberFormat="1" applyFont="1" applyFill="1" applyBorder="1" applyAlignment="1" applyProtection="1">
      <alignment horizontal="right" vertical="center"/>
      <protection locked="0"/>
    </xf>
    <xf numFmtId="165" fontId="3" fillId="0" borderId="173" xfId="2" applyNumberFormat="1" applyFont="1" applyFill="1" applyBorder="1" applyAlignment="1">
      <alignment vertical="center"/>
    </xf>
    <xf numFmtId="165" fontId="3" fillId="0" borderId="114" xfId="2" applyNumberFormat="1" applyFont="1" applyFill="1" applyBorder="1" applyAlignment="1">
      <alignment vertical="center"/>
    </xf>
    <xf numFmtId="164" fontId="3" fillId="4" borderId="175" xfId="0" applyNumberFormat="1" applyFont="1" applyFill="1" applyBorder="1" applyAlignment="1" applyProtection="1">
      <alignment horizontal="right" vertical="center"/>
      <protection locked="0"/>
    </xf>
    <xf numFmtId="164" fontId="3" fillId="4" borderId="176" xfId="0" applyNumberFormat="1" applyFont="1" applyFill="1" applyBorder="1" applyAlignment="1" applyProtection="1">
      <alignment horizontal="right" vertical="center"/>
      <protection locked="0"/>
    </xf>
    <xf numFmtId="164" fontId="3" fillId="4" borderId="108" xfId="0" applyNumberFormat="1" applyFont="1" applyFill="1" applyBorder="1" applyAlignment="1" applyProtection="1">
      <alignment horizontal="right" vertical="center"/>
      <protection locked="0"/>
    </xf>
    <xf numFmtId="164" fontId="3" fillId="4" borderId="109" xfId="0" applyNumberFormat="1" applyFont="1" applyFill="1" applyBorder="1" applyAlignment="1" applyProtection="1">
      <alignment horizontal="right" vertical="center"/>
      <protection locked="0"/>
    </xf>
    <xf numFmtId="164" fontId="3" fillId="4" borderId="116" xfId="0" applyNumberFormat="1" applyFont="1" applyFill="1" applyBorder="1" applyAlignment="1" applyProtection="1">
      <alignment horizontal="right" vertical="center"/>
      <protection locked="0"/>
    </xf>
    <xf numFmtId="164" fontId="3" fillId="4" borderId="117" xfId="0" applyNumberFormat="1" applyFont="1" applyFill="1" applyBorder="1" applyAlignment="1" applyProtection="1">
      <alignment horizontal="right" vertical="center"/>
      <protection locked="0"/>
    </xf>
    <xf numFmtId="49" fontId="3" fillId="2" borderId="0" xfId="0" applyNumberFormat="1" applyFont="1" applyFill="1" applyProtection="1"/>
    <xf numFmtId="49" fontId="3" fillId="0" borderId="0" xfId="0" applyNumberFormat="1" applyFont="1" applyProtection="1"/>
    <xf numFmtId="49" fontId="4" fillId="2" borderId="178" xfId="0" applyNumberFormat="1" applyFont="1" applyFill="1" applyBorder="1" applyAlignment="1" applyProtection="1">
      <alignment horizontal="left"/>
    </xf>
    <xf numFmtId="49" fontId="3" fillId="2" borderId="179" xfId="0" applyNumberFormat="1" applyFont="1" applyFill="1" applyBorder="1" applyProtection="1"/>
    <xf numFmtId="49" fontId="4" fillId="2" borderId="180" xfId="0" applyNumberFormat="1" applyFont="1" applyFill="1" applyBorder="1" applyAlignment="1" applyProtection="1">
      <alignment horizontal="right"/>
    </xf>
    <xf numFmtId="49" fontId="4" fillId="2" borderId="0" xfId="0" applyNumberFormat="1" applyFont="1" applyFill="1" applyBorder="1" applyAlignment="1" applyProtection="1">
      <alignment horizontal="right"/>
    </xf>
    <xf numFmtId="49" fontId="3" fillId="2" borderId="0" xfId="0" applyNumberFormat="1" applyFont="1" applyFill="1" applyBorder="1" applyProtection="1"/>
    <xf numFmtId="49" fontId="4" fillId="2" borderId="133" xfId="0" quotePrefix="1" applyNumberFormat="1" applyFont="1" applyFill="1" applyBorder="1" applyAlignment="1" applyProtection="1">
      <alignment horizontal="left"/>
    </xf>
    <xf numFmtId="49" fontId="3" fillId="2" borderId="133" xfId="0" applyNumberFormat="1" applyFont="1" applyFill="1" applyBorder="1" applyProtection="1"/>
    <xf numFmtId="49" fontId="3" fillId="2" borderId="139" xfId="0" applyNumberFormat="1" applyFont="1" applyFill="1" applyBorder="1" applyProtection="1"/>
    <xf numFmtId="49" fontId="3" fillId="2" borderId="181" xfId="0" applyNumberFormat="1" applyFont="1" applyFill="1" applyBorder="1" applyProtection="1"/>
    <xf numFmtId="49" fontId="3" fillId="2" borderId="182" xfId="0" applyNumberFormat="1" applyFont="1" applyFill="1" applyBorder="1" applyProtection="1"/>
    <xf numFmtId="49" fontId="3" fillId="2" borderId="183" xfId="0" applyNumberFormat="1" applyFont="1" applyFill="1" applyBorder="1" applyProtection="1"/>
    <xf numFmtId="49" fontId="3" fillId="2" borderId="184" xfId="0" applyNumberFormat="1" applyFont="1" applyFill="1" applyBorder="1" applyProtection="1"/>
    <xf numFmtId="49" fontId="3" fillId="2" borderId="148" xfId="0" applyNumberFormat="1" applyFont="1" applyFill="1" applyBorder="1" applyProtection="1"/>
    <xf numFmtId="49" fontId="3" fillId="0" borderId="0" xfId="0" applyNumberFormat="1" applyFont="1" applyBorder="1" applyProtection="1"/>
    <xf numFmtId="172" fontId="3" fillId="2" borderId="0" xfId="0" applyNumberFormat="1" applyFont="1" applyFill="1" applyBorder="1" applyProtection="1"/>
    <xf numFmtId="1" fontId="3" fillId="2" borderId="185" xfId="0" applyNumberFormat="1" applyFont="1" applyFill="1" applyBorder="1" applyAlignment="1" applyProtection="1">
      <alignment horizontal="center"/>
      <protection locked="0"/>
    </xf>
    <xf numFmtId="49" fontId="3" fillId="2" borderId="148" xfId="0" quotePrefix="1" applyNumberFormat="1" applyFont="1" applyFill="1" applyBorder="1" applyAlignment="1" applyProtection="1">
      <alignment horizontal="left"/>
    </xf>
    <xf numFmtId="1" fontId="3" fillId="9" borderId="186" xfId="0" applyNumberFormat="1" applyFont="1" applyFill="1" applyBorder="1" applyAlignment="1" applyProtection="1">
      <alignment horizontal="center"/>
      <protection locked="0"/>
    </xf>
    <xf numFmtId="172" fontId="3" fillId="2" borderId="0" xfId="0" applyNumberFormat="1" applyFont="1" applyFill="1" applyBorder="1" applyAlignment="1" applyProtection="1">
      <alignment horizontal="left"/>
    </xf>
    <xf numFmtId="4" fontId="3" fillId="2" borderId="0" xfId="0" applyNumberFormat="1" applyFont="1" applyFill="1" applyBorder="1" applyAlignment="1" applyProtection="1">
      <alignment horizontal="center"/>
      <protection locked="0"/>
    </xf>
    <xf numFmtId="172" fontId="3" fillId="2" borderId="182" xfId="0" applyNumberFormat="1" applyFont="1" applyFill="1" applyBorder="1" applyProtection="1"/>
    <xf numFmtId="49" fontId="3" fillId="2" borderId="0" xfId="0" quotePrefix="1" applyNumberFormat="1" applyFont="1" applyFill="1" applyBorder="1" applyAlignment="1" applyProtection="1">
      <alignment horizontal="left"/>
    </xf>
    <xf numFmtId="49" fontId="3" fillId="2" borderId="148" xfId="0" applyNumberFormat="1" applyFont="1" applyFill="1" applyBorder="1" applyAlignment="1" applyProtection="1">
      <alignment horizontal="left"/>
    </xf>
    <xf numFmtId="49" fontId="3" fillId="2" borderId="149" xfId="0" applyNumberFormat="1" applyFont="1" applyFill="1" applyBorder="1" applyProtection="1"/>
    <xf numFmtId="49" fontId="3" fillId="2" borderId="185" xfId="0" applyNumberFormat="1" applyFont="1" applyFill="1" applyBorder="1" applyProtection="1"/>
    <xf numFmtId="49" fontId="3" fillId="2" borderId="0" xfId="0" applyNumberFormat="1" applyFont="1" applyFill="1" applyBorder="1" applyAlignment="1" applyProtection="1">
      <alignment horizontal="center" vertical="center"/>
    </xf>
    <xf numFmtId="1" fontId="3" fillId="9" borderId="185" xfId="0" applyNumberFormat="1" applyFont="1" applyFill="1" applyBorder="1" applyAlignment="1" applyProtection="1">
      <alignment horizontal="center"/>
      <protection locked="0"/>
    </xf>
    <xf numFmtId="49" fontId="3" fillId="2" borderId="0" xfId="0" applyNumberFormat="1" applyFont="1" applyFill="1"/>
    <xf numFmtId="4" fontId="3" fillId="2" borderId="0" xfId="0" applyNumberFormat="1" applyFont="1" applyFill="1" applyBorder="1" applyAlignment="1" applyProtection="1">
      <alignment horizontal="center"/>
    </xf>
    <xf numFmtId="15" fontId="3" fillId="2" borderId="191" xfId="0" applyNumberFormat="1" applyFont="1" applyFill="1" applyBorder="1" applyAlignment="1" applyProtection="1">
      <alignment horizontal="center"/>
      <protection locked="0"/>
    </xf>
    <xf numFmtId="49" fontId="3" fillId="0" borderId="0" xfId="0" applyNumberFormat="1" applyFont="1"/>
    <xf numFmtId="3" fontId="3" fillId="2" borderId="0" xfId="0" applyNumberFormat="1" applyFont="1" applyFill="1"/>
    <xf numFmtId="10" fontId="3" fillId="2" borderId="185" xfId="2" applyNumberFormat="1" applyFont="1" applyFill="1" applyBorder="1" applyAlignment="1" applyProtection="1">
      <alignment horizontal="center"/>
      <protection locked="0"/>
    </xf>
    <xf numFmtId="10" fontId="3" fillId="2" borderId="0" xfId="2" applyNumberFormat="1" applyFont="1" applyFill="1" applyBorder="1" applyAlignment="1" applyProtection="1">
      <alignment horizontal="center"/>
      <protection locked="0"/>
    </xf>
    <xf numFmtId="49" fontId="3" fillId="2" borderId="194" xfId="0" applyNumberFormat="1" applyFont="1" applyFill="1" applyBorder="1" applyProtection="1"/>
    <xf numFmtId="0" fontId="3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0" fontId="3" fillId="3" borderId="188" xfId="0" applyNumberFormat="1" applyFont="1" applyFill="1" applyBorder="1" applyAlignment="1">
      <alignment horizontal="center"/>
    </xf>
    <xf numFmtId="0" fontId="3" fillId="3" borderId="189" xfId="0" applyNumberFormat="1" applyFont="1" applyFill="1" applyBorder="1" applyAlignment="1">
      <alignment horizontal="center"/>
    </xf>
    <xf numFmtId="4" fontId="3" fillId="3" borderId="189" xfId="0" applyNumberFormat="1" applyFont="1" applyFill="1" applyBorder="1" applyAlignment="1" applyProtection="1">
      <alignment horizontal="center"/>
    </xf>
    <xf numFmtId="4" fontId="3" fillId="3" borderId="189" xfId="0" applyNumberFormat="1" applyFont="1" applyFill="1" applyBorder="1" applyAlignment="1" applyProtection="1">
      <alignment horizontal="center"/>
      <protection locked="0"/>
    </xf>
    <xf numFmtId="4" fontId="3" fillId="3" borderId="190" xfId="0" applyNumberFormat="1" applyFont="1" applyFill="1" applyBorder="1" applyAlignment="1" applyProtection="1">
      <alignment horizontal="center"/>
    </xf>
    <xf numFmtId="0" fontId="3" fillId="3" borderId="192" xfId="0" applyNumberFormat="1" applyFont="1" applyFill="1" applyBorder="1" applyAlignment="1">
      <alignment horizontal="center"/>
    </xf>
    <xf numFmtId="0" fontId="3" fillId="3" borderId="117" xfId="0" applyNumberFormat="1" applyFont="1" applyFill="1" applyBorder="1" applyAlignment="1">
      <alignment horizontal="center"/>
    </xf>
    <xf numFmtId="4" fontId="3" fillId="3" borderId="117" xfId="0" applyNumberFormat="1" applyFont="1" applyFill="1" applyBorder="1" applyAlignment="1" applyProtection="1">
      <alignment horizontal="center"/>
    </xf>
    <xf numFmtId="4" fontId="3" fillId="3" borderId="117" xfId="0" applyNumberFormat="1" applyFont="1" applyFill="1" applyBorder="1" applyAlignment="1" applyProtection="1">
      <alignment horizontal="center"/>
      <protection locked="0"/>
    </xf>
    <xf numFmtId="4" fontId="3" fillId="3" borderId="193" xfId="0" applyNumberFormat="1" applyFont="1" applyFill="1" applyBorder="1" applyAlignment="1" applyProtection="1">
      <alignment horizontal="center"/>
    </xf>
    <xf numFmtId="0" fontId="3" fillId="3" borderId="199" xfId="0" applyNumberFormat="1" applyFont="1" applyFill="1" applyBorder="1" applyAlignment="1">
      <alignment horizontal="center"/>
    </xf>
    <xf numFmtId="0" fontId="3" fillId="3" borderId="177" xfId="0" applyNumberFormat="1" applyFont="1" applyFill="1" applyBorder="1" applyAlignment="1">
      <alignment horizontal="center"/>
    </xf>
    <xf numFmtId="4" fontId="3" fillId="3" borderId="177" xfId="0" applyNumberFormat="1" applyFont="1" applyFill="1" applyBorder="1" applyAlignment="1" applyProtection="1">
      <alignment horizontal="center"/>
    </xf>
    <xf numFmtId="4" fontId="3" fillId="3" borderId="177" xfId="0" applyNumberFormat="1" applyFont="1" applyFill="1" applyBorder="1" applyAlignment="1" applyProtection="1">
      <alignment horizontal="center"/>
      <protection locked="0"/>
    </xf>
    <xf numFmtId="4" fontId="3" fillId="3" borderId="200" xfId="0" applyNumberFormat="1" applyFont="1" applyFill="1" applyBorder="1" applyAlignment="1" applyProtection="1">
      <alignment horizontal="center"/>
    </xf>
    <xf numFmtId="0" fontId="3" fillId="3" borderId="202" xfId="0" applyNumberFormat="1" applyFont="1" applyFill="1" applyBorder="1" applyAlignment="1">
      <alignment horizontal="center"/>
    </xf>
    <xf numFmtId="0" fontId="3" fillId="3" borderId="126" xfId="0" applyNumberFormat="1" applyFont="1" applyFill="1" applyBorder="1" applyAlignment="1">
      <alignment horizontal="center"/>
    </xf>
    <xf numFmtId="4" fontId="3" fillId="3" borderId="126" xfId="0" applyNumberFormat="1" applyFont="1" applyFill="1" applyBorder="1" applyAlignment="1" applyProtection="1">
      <alignment horizontal="center"/>
    </xf>
    <xf numFmtId="4" fontId="3" fillId="3" borderId="126" xfId="0" applyNumberFormat="1" applyFont="1" applyFill="1" applyBorder="1" applyAlignment="1" applyProtection="1">
      <alignment horizontal="center"/>
      <protection locked="0"/>
    </xf>
    <xf numFmtId="4" fontId="3" fillId="3" borderId="203" xfId="0" applyNumberFormat="1" applyFont="1" applyFill="1" applyBorder="1" applyAlignment="1" applyProtection="1">
      <alignment horizontal="center"/>
    </xf>
    <xf numFmtId="0" fontId="3" fillId="3" borderId="204" xfId="0" applyNumberFormat="1" applyFont="1" applyFill="1" applyBorder="1" applyAlignment="1">
      <alignment horizontal="center"/>
    </xf>
    <xf numFmtId="0" fontId="3" fillId="3" borderId="205" xfId="0" applyNumberFormat="1" applyFont="1" applyFill="1" applyBorder="1" applyAlignment="1">
      <alignment horizontal="center"/>
    </xf>
    <xf numFmtId="4" fontId="3" fillId="3" borderId="205" xfId="0" applyNumberFormat="1" applyFont="1" applyFill="1" applyBorder="1" applyAlignment="1" applyProtection="1">
      <alignment horizontal="center"/>
    </xf>
    <xf numFmtId="4" fontId="3" fillId="3" borderId="205" xfId="0" applyNumberFormat="1" applyFont="1" applyFill="1" applyBorder="1" applyAlignment="1" applyProtection="1">
      <alignment horizontal="center"/>
      <protection locked="0"/>
    </xf>
    <xf numFmtId="4" fontId="3" fillId="3" borderId="206" xfId="0" applyNumberFormat="1" applyFont="1" applyFill="1" applyBorder="1" applyAlignment="1" applyProtection="1">
      <alignment horizontal="center"/>
    </xf>
    <xf numFmtId="49" fontId="3" fillId="3" borderId="144" xfId="0" applyNumberFormat="1" applyFont="1" applyFill="1" applyBorder="1" applyAlignment="1" applyProtection="1">
      <alignment horizontal="center" vertical="center"/>
    </xf>
    <xf numFmtId="49" fontId="3" fillId="3" borderId="144" xfId="0" applyNumberFormat="1" applyFont="1" applyFill="1" applyBorder="1" applyAlignment="1" applyProtection="1">
      <alignment vertical="center"/>
    </xf>
    <xf numFmtId="49" fontId="3" fillId="3" borderId="144" xfId="0" applyNumberFormat="1" applyFont="1" applyFill="1" applyBorder="1" applyProtection="1"/>
    <xf numFmtId="49" fontId="3" fillId="3" borderId="146" xfId="0" applyNumberFormat="1" applyFont="1" applyFill="1" applyBorder="1" applyAlignment="1" applyProtection="1">
      <alignment horizontal="center" vertical="center"/>
    </xf>
    <xf numFmtId="49" fontId="3" fillId="3" borderId="105" xfId="0" applyNumberFormat="1" applyFont="1" applyFill="1" applyBorder="1" applyAlignment="1" applyProtection="1">
      <alignment horizontal="center" vertical="center"/>
    </xf>
    <xf numFmtId="49" fontId="3" fillId="3" borderId="147" xfId="0" applyNumberFormat="1" applyFont="1" applyFill="1" applyBorder="1" applyAlignment="1" applyProtection="1">
      <alignment horizontal="center" vertical="center"/>
    </xf>
    <xf numFmtId="49" fontId="3" fillId="3" borderId="105" xfId="0" applyNumberFormat="1" applyFont="1" applyFill="1" applyBorder="1" applyProtection="1"/>
    <xf numFmtId="0" fontId="3" fillId="3" borderId="118" xfId="0" applyFont="1" applyFill="1" applyBorder="1" applyAlignment="1">
      <alignment horizontal="center"/>
    </xf>
    <xf numFmtId="1" fontId="4" fillId="3" borderId="118" xfId="0" applyNumberFormat="1" applyFont="1" applyFill="1" applyBorder="1" applyAlignment="1">
      <alignment horizontal="center"/>
    </xf>
    <xf numFmtId="4" fontId="3" fillId="3" borderId="118" xfId="0" applyNumberFormat="1" applyFont="1" applyFill="1" applyBorder="1"/>
    <xf numFmtId="0" fontId="4" fillId="3" borderId="118" xfId="0" applyFont="1" applyFill="1" applyBorder="1" applyAlignment="1">
      <alignment horizontal="center"/>
    </xf>
    <xf numFmtId="49" fontId="3" fillId="4" borderId="0" xfId="0" applyNumberFormat="1" applyFont="1" applyFill="1" applyBorder="1" applyProtection="1"/>
    <xf numFmtId="49" fontId="4" fillId="2" borderId="0" xfId="0" applyNumberFormat="1" applyFont="1" applyFill="1" applyBorder="1" applyAlignment="1">
      <alignment vertical="center"/>
    </xf>
    <xf numFmtId="49" fontId="3" fillId="2" borderId="127" xfId="0" applyNumberFormat="1" applyFont="1" applyFill="1" applyBorder="1" applyAlignment="1">
      <alignment vertical="center"/>
    </xf>
    <xf numFmtId="49" fontId="3" fillId="2" borderId="0" xfId="0" applyNumberFormat="1" applyFont="1" applyFill="1" applyAlignment="1">
      <alignment horizontal="right" vertical="center"/>
    </xf>
    <xf numFmtId="4" fontId="3" fillId="2" borderId="0" xfId="0" applyNumberFormat="1" applyFont="1" applyFill="1" applyAlignment="1">
      <alignment vertical="center"/>
    </xf>
    <xf numFmtId="1" fontId="3" fillId="3" borderId="12" xfId="0" applyNumberFormat="1" applyFont="1" applyFill="1" applyBorder="1" applyAlignment="1">
      <alignment vertical="center"/>
    </xf>
    <xf numFmtId="1" fontId="4" fillId="3" borderId="12" xfId="0" applyNumberFormat="1" applyFont="1" applyFill="1" applyBorder="1" applyAlignment="1">
      <alignment horizontal="center" vertical="center"/>
    </xf>
    <xf numFmtId="4" fontId="4" fillId="3" borderId="12" xfId="0" applyNumberFormat="1" applyFont="1" applyFill="1" applyBorder="1" applyAlignment="1">
      <alignment horizontal="center" vertical="center"/>
    </xf>
    <xf numFmtId="1" fontId="3" fillId="3" borderId="12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Alignment="1">
      <alignment horizontal="right" vertical="center"/>
    </xf>
    <xf numFmtId="49" fontId="4" fillId="2" borderId="208" xfId="0" applyNumberFormat="1" applyFont="1" applyFill="1" applyBorder="1" applyAlignment="1">
      <alignment horizontal="left" vertical="center"/>
    </xf>
    <xf numFmtId="49" fontId="9" fillId="2" borderId="186" xfId="0" applyNumberFormat="1" applyFont="1" applyFill="1" applyBorder="1" applyAlignment="1">
      <alignment vertical="center"/>
    </xf>
    <xf numFmtId="49" fontId="12" fillId="2" borderId="186" xfId="0" applyNumberFormat="1" applyFont="1" applyFill="1" applyBorder="1" applyAlignment="1">
      <alignment vertical="center"/>
    </xf>
    <xf numFmtId="49" fontId="12" fillId="2" borderId="209" xfId="0" applyNumberFormat="1" applyFont="1" applyFill="1" applyBorder="1" applyAlignment="1">
      <alignment vertical="center"/>
    </xf>
    <xf numFmtId="49" fontId="4" fillId="2" borderId="211" xfId="0" applyNumberFormat="1" applyFont="1" applyFill="1" applyBorder="1" applyAlignment="1">
      <alignment horizontal="left" vertical="center"/>
    </xf>
    <xf numFmtId="49" fontId="4" fillId="2" borderId="211" xfId="0" applyNumberFormat="1" applyFont="1" applyFill="1" applyBorder="1" applyAlignment="1">
      <alignment horizontal="center" vertical="center"/>
    </xf>
    <xf numFmtId="0" fontId="4" fillId="2" borderId="211" xfId="0" applyNumberFormat="1" applyFont="1" applyFill="1" applyBorder="1" applyAlignment="1">
      <alignment horizontal="center" vertical="center" wrapText="1"/>
    </xf>
    <xf numFmtId="164" fontId="4" fillId="3" borderId="210" xfId="0" applyNumberFormat="1" applyFont="1" applyFill="1" applyBorder="1" applyAlignment="1" applyProtection="1">
      <alignment horizontal="right" vertical="center"/>
    </xf>
    <xf numFmtId="49" fontId="3" fillId="2" borderId="215" xfId="0" applyNumberFormat="1" applyFont="1" applyFill="1" applyBorder="1" applyAlignment="1">
      <alignment vertical="center"/>
    </xf>
    <xf numFmtId="49" fontId="4" fillId="2" borderId="106" xfId="0" applyNumberFormat="1" applyFont="1" applyFill="1" applyBorder="1" applyAlignment="1">
      <alignment vertical="center"/>
    </xf>
    <xf numFmtId="49" fontId="4" fillId="2" borderId="216" xfId="0" applyNumberFormat="1" applyFont="1" applyFill="1" applyBorder="1" applyAlignment="1">
      <alignment vertical="center"/>
    </xf>
    <xf numFmtId="172" fontId="3" fillId="2" borderId="189" xfId="0" applyNumberFormat="1" applyFont="1" applyFill="1" applyBorder="1" applyAlignment="1" applyProtection="1">
      <alignment horizontal="center" vertical="center"/>
      <protection locked="0"/>
    </xf>
    <xf numFmtId="164" fontId="3" fillId="3" borderId="189" xfId="0" applyNumberFormat="1" applyFont="1" applyFill="1" applyBorder="1" applyAlignment="1" applyProtection="1">
      <alignment horizontal="right" vertical="center"/>
      <protection locked="0"/>
    </xf>
    <xf numFmtId="172" fontId="3" fillId="2" borderId="109" xfId="0" applyNumberFormat="1" applyFont="1" applyFill="1" applyBorder="1" applyAlignment="1" applyProtection="1">
      <alignment horizontal="center" vertical="center"/>
      <protection locked="0"/>
    </xf>
    <xf numFmtId="172" fontId="3" fillId="2" borderId="177" xfId="0" applyNumberFormat="1" applyFont="1" applyFill="1" applyBorder="1" applyAlignment="1" applyProtection="1">
      <alignment horizontal="center" vertical="center"/>
      <protection locked="0"/>
    </xf>
    <xf numFmtId="164" fontId="4" fillId="3" borderId="211" xfId="0" applyNumberFormat="1" applyFont="1" applyFill="1" applyBorder="1" applyAlignment="1" applyProtection="1">
      <alignment horizontal="right" vertical="center"/>
    </xf>
    <xf numFmtId="49" fontId="4" fillId="2" borderId="211" xfId="0" applyNumberFormat="1" applyFont="1" applyFill="1" applyBorder="1" applyAlignment="1" applyProtection="1">
      <alignment horizontal="center" vertical="center"/>
    </xf>
    <xf numFmtId="4" fontId="4" fillId="3" borderId="211" xfId="0" applyNumberFormat="1" applyFont="1" applyFill="1" applyBorder="1" applyAlignment="1" applyProtection="1">
      <alignment horizontal="right" vertical="center"/>
    </xf>
    <xf numFmtId="49" fontId="3" fillId="2" borderId="189" xfId="0" applyNumberFormat="1" applyFont="1" applyFill="1" applyBorder="1" applyAlignment="1" applyProtection="1">
      <alignment horizontal="left" vertical="center"/>
      <protection locked="0"/>
    </xf>
    <xf numFmtId="172" fontId="3" fillId="2" borderId="189" xfId="0" applyNumberFormat="1" applyFont="1" applyFill="1" applyBorder="1" applyAlignment="1" applyProtection="1">
      <alignment horizontal="center" vertical="center"/>
    </xf>
    <xf numFmtId="49" fontId="4" fillId="2" borderId="109" xfId="0" applyNumberFormat="1" applyFont="1" applyFill="1" applyBorder="1" applyAlignment="1" applyProtection="1">
      <alignment horizontal="left" vertical="center"/>
      <protection locked="0"/>
    </xf>
    <xf numFmtId="172" fontId="3" fillId="2" borderId="109" xfId="0" applyNumberFormat="1" applyFont="1" applyFill="1" applyBorder="1" applyAlignment="1" applyProtection="1">
      <alignment horizontal="center" vertical="center"/>
    </xf>
    <xf numFmtId="164" fontId="3" fillId="2" borderId="109" xfId="0" applyNumberFormat="1" applyFont="1" applyFill="1" applyBorder="1" applyAlignment="1" applyProtection="1">
      <alignment horizontal="right" vertical="center"/>
    </xf>
    <xf numFmtId="49" fontId="4" fillId="2" borderId="117" xfId="0" applyNumberFormat="1" applyFont="1" applyFill="1" applyBorder="1" applyAlignment="1" applyProtection="1">
      <alignment horizontal="left" vertical="center"/>
      <protection locked="0"/>
    </xf>
    <xf numFmtId="172" fontId="3" fillId="2" borderId="117" xfId="0" applyNumberFormat="1" applyFont="1" applyFill="1" applyBorder="1" applyAlignment="1" applyProtection="1">
      <alignment horizontal="center" vertical="center"/>
    </xf>
    <xf numFmtId="164" fontId="3" fillId="2" borderId="117" xfId="0" applyNumberFormat="1" applyFont="1" applyFill="1" applyBorder="1" applyAlignment="1" applyProtection="1">
      <alignment horizontal="right" vertical="center"/>
    </xf>
    <xf numFmtId="49" fontId="3" fillId="4" borderId="189" xfId="0" applyNumberFormat="1" applyFont="1" applyFill="1" applyBorder="1" applyAlignment="1">
      <alignment vertical="center" wrapText="1"/>
    </xf>
    <xf numFmtId="4" fontId="3" fillId="0" borderId="189" xfId="0" applyNumberFormat="1" applyFont="1" applyFill="1" applyBorder="1" applyAlignment="1" applyProtection="1">
      <alignment horizontal="right" vertical="center"/>
      <protection locked="0"/>
    </xf>
    <xf numFmtId="49" fontId="4" fillId="2" borderId="109" xfId="0" applyNumberFormat="1" applyFont="1" applyFill="1" applyBorder="1" applyAlignment="1" applyProtection="1">
      <alignment vertical="center"/>
      <protection locked="0"/>
    </xf>
    <xf numFmtId="3" fontId="3" fillId="2" borderId="109" xfId="0" applyNumberFormat="1" applyFont="1" applyFill="1" applyBorder="1" applyAlignment="1" applyProtection="1">
      <alignment horizontal="right" vertical="center"/>
    </xf>
    <xf numFmtId="49" fontId="4" fillId="4" borderId="109" xfId="0" applyNumberFormat="1" applyFont="1" applyFill="1" applyBorder="1" applyAlignment="1">
      <alignment vertical="center"/>
    </xf>
    <xf numFmtId="49" fontId="4" fillId="4" borderId="117" xfId="0" applyNumberFormat="1" applyFont="1" applyFill="1" applyBorder="1" applyAlignment="1">
      <alignment vertical="center"/>
    </xf>
    <xf numFmtId="172" fontId="3" fillId="2" borderId="117" xfId="0" applyNumberFormat="1" applyFont="1" applyFill="1" applyBorder="1" applyAlignment="1" applyProtection="1">
      <alignment horizontal="center" vertical="center"/>
      <protection locked="0"/>
    </xf>
    <xf numFmtId="4" fontId="3" fillId="4" borderId="117" xfId="0" applyNumberFormat="1" applyFont="1" applyFill="1" applyBorder="1" applyAlignment="1" applyProtection="1">
      <alignment horizontal="right" vertical="center"/>
      <protection locked="0"/>
    </xf>
    <xf numFmtId="49" fontId="4" fillId="3" borderId="208" xfId="0" applyNumberFormat="1" applyFont="1" applyFill="1" applyBorder="1" applyAlignment="1" applyProtection="1">
      <alignment horizontal="center" vertical="center"/>
    </xf>
    <xf numFmtId="172" fontId="3" fillId="3" borderId="211" xfId="0" applyNumberFormat="1" applyFont="1" applyFill="1" applyBorder="1" applyAlignment="1" applyProtection="1">
      <alignment horizontal="center" vertical="center"/>
    </xf>
    <xf numFmtId="49" fontId="4" fillId="3" borderId="208" xfId="0" applyNumberFormat="1" applyFont="1" applyFill="1" applyBorder="1" applyAlignment="1">
      <alignment horizontal="left" vertical="center"/>
    </xf>
    <xf numFmtId="49" fontId="9" fillId="3" borderId="186" xfId="0" applyNumberFormat="1" applyFont="1" applyFill="1" applyBorder="1" applyAlignment="1">
      <alignment vertical="center"/>
    </xf>
    <xf numFmtId="49" fontId="12" fillId="3" borderId="186" xfId="0" applyNumberFormat="1" applyFont="1" applyFill="1" applyBorder="1" applyAlignment="1">
      <alignment vertical="center"/>
    </xf>
    <xf numFmtId="49" fontId="12" fillId="3" borderId="209" xfId="0" applyNumberFormat="1" applyFont="1" applyFill="1" applyBorder="1" applyAlignment="1">
      <alignment vertical="center"/>
    </xf>
    <xf numFmtId="49" fontId="4" fillId="3" borderId="145" xfId="0" applyNumberFormat="1" applyFont="1" applyFill="1" applyBorder="1" applyAlignment="1">
      <alignment horizontal="left" vertical="center"/>
    </xf>
    <xf numFmtId="49" fontId="9" fillId="3" borderId="191" xfId="0" applyNumberFormat="1" applyFont="1" applyFill="1" applyBorder="1" applyAlignment="1">
      <alignment vertical="center"/>
    </xf>
    <xf numFmtId="49" fontId="12" fillId="3" borderId="191" xfId="0" applyNumberFormat="1" applyFont="1" applyFill="1" applyBorder="1" applyAlignment="1">
      <alignment vertical="center"/>
    </xf>
    <xf numFmtId="49" fontId="12" fillId="3" borderId="187" xfId="0" applyNumberFormat="1" applyFont="1" applyFill="1" applyBorder="1" applyAlignment="1">
      <alignment vertical="center"/>
    </xf>
    <xf numFmtId="49" fontId="4" fillId="3" borderId="211" xfId="0" applyNumberFormat="1" applyFont="1" applyFill="1" applyBorder="1" applyAlignment="1" applyProtection="1">
      <alignment horizontal="center" vertical="center"/>
    </xf>
    <xf numFmtId="172" fontId="3" fillId="3" borderId="211" xfId="0" applyNumberFormat="1" applyFont="1" applyFill="1" applyBorder="1" applyAlignment="1" applyProtection="1">
      <alignment vertical="center"/>
    </xf>
    <xf numFmtId="0" fontId="3" fillId="3" borderId="195" xfId="0" applyNumberFormat="1" applyFont="1" applyFill="1" applyBorder="1" applyAlignment="1">
      <alignment horizontal="center"/>
    </xf>
    <xf numFmtId="0" fontId="3" fillId="3" borderId="196" xfId="0" applyNumberFormat="1" applyFont="1" applyFill="1" applyBorder="1" applyAlignment="1">
      <alignment horizontal="center"/>
    </xf>
    <xf numFmtId="4" fontId="3" fillId="3" borderId="197" xfId="0" applyNumberFormat="1" applyFont="1" applyFill="1" applyBorder="1" applyAlignment="1" applyProtection="1">
      <alignment horizontal="center"/>
    </xf>
    <xf numFmtId="4" fontId="3" fillId="3" borderId="197" xfId="0" applyNumberFormat="1" applyFont="1" applyFill="1" applyBorder="1" applyAlignment="1" applyProtection="1">
      <alignment horizontal="center"/>
      <protection locked="0"/>
    </xf>
    <xf numFmtId="4" fontId="3" fillId="3" borderId="198" xfId="0" applyNumberFormat="1" applyFont="1" applyFill="1" applyBorder="1" applyAlignment="1" applyProtection="1">
      <alignment horizontal="center"/>
    </xf>
    <xf numFmtId="0" fontId="3" fillId="3" borderId="150" xfId="0" applyNumberFormat="1" applyFont="1" applyFill="1" applyBorder="1" applyAlignment="1">
      <alignment horizontal="center"/>
    </xf>
    <xf numFmtId="0" fontId="3" fillId="3" borderId="112" xfId="0" applyNumberFormat="1" applyFont="1" applyFill="1" applyBorder="1" applyAlignment="1">
      <alignment horizontal="center"/>
    </xf>
    <xf numFmtId="4" fontId="3" fillId="3" borderId="113" xfId="0" applyNumberFormat="1" applyFont="1" applyFill="1" applyBorder="1" applyAlignment="1" applyProtection="1">
      <alignment horizontal="center"/>
    </xf>
    <xf numFmtId="4" fontId="3" fillId="3" borderId="113" xfId="0" applyNumberFormat="1" applyFont="1" applyFill="1" applyBorder="1" applyAlignment="1" applyProtection="1">
      <alignment horizontal="center"/>
      <protection locked="0"/>
    </xf>
    <xf numFmtId="4" fontId="3" fillId="3" borderId="201" xfId="0" applyNumberFormat="1" applyFont="1" applyFill="1" applyBorder="1" applyAlignment="1" applyProtection="1">
      <alignment horizontal="center"/>
    </xf>
    <xf numFmtId="0" fontId="3" fillId="3" borderId="143" xfId="0" applyNumberFormat="1" applyFont="1" applyFill="1" applyBorder="1" applyAlignment="1">
      <alignment horizontal="center"/>
    </xf>
    <xf numFmtId="0" fontId="3" fillId="3" borderId="187" xfId="0" applyNumberFormat="1" applyFont="1" applyFill="1" applyBorder="1" applyAlignment="1">
      <alignment horizontal="center"/>
    </xf>
    <xf numFmtId="4" fontId="3" fillId="3" borderId="144" xfId="0" applyNumberFormat="1" applyFont="1" applyFill="1" applyBorder="1" applyAlignment="1" applyProtection="1">
      <alignment horizontal="center"/>
    </xf>
    <xf numFmtId="4" fontId="3" fillId="3" borderId="144" xfId="0" applyNumberFormat="1" applyFont="1" applyFill="1" applyBorder="1" applyAlignment="1" applyProtection="1">
      <alignment horizontal="center"/>
      <protection locked="0"/>
    </xf>
    <xf numFmtId="4" fontId="3" fillId="3" borderId="146" xfId="0" applyNumberFormat="1" applyFont="1" applyFill="1" applyBorder="1" applyAlignment="1" applyProtection="1">
      <alignment horizontal="center"/>
    </xf>
    <xf numFmtId="0" fontId="3" fillId="3" borderId="151" xfId="0" applyNumberFormat="1" applyFont="1" applyFill="1" applyBorder="1" applyAlignment="1">
      <alignment horizontal="center"/>
    </xf>
    <xf numFmtId="0" fontId="3" fillId="3" borderId="207" xfId="0" applyNumberFormat="1" applyFont="1" applyFill="1" applyBorder="1" applyAlignment="1">
      <alignment horizontal="center"/>
    </xf>
    <xf numFmtId="4" fontId="3" fillId="3" borderId="152" xfId="0" applyNumberFormat="1" applyFont="1" applyFill="1" applyBorder="1" applyAlignment="1" applyProtection="1">
      <alignment horizontal="center"/>
    </xf>
    <xf numFmtId="4" fontId="3" fillId="3" borderId="152" xfId="0" applyNumberFormat="1" applyFont="1" applyFill="1" applyBorder="1" applyAlignment="1" applyProtection="1">
      <alignment horizontal="center"/>
      <protection locked="0"/>
    </xf>
    <xf numFmtId="4" fontId="3" fillId="3" borderId="153" xfId="0" applyNumberFormat="1" applyFont="1" applyFill="1" applyBorder="1" applyAlignment="1" applyProtection="1">
      <alignment horizontal="center"/>
    </xf>
    <xf numFmtId="0" fontId="3" fillId="3" borderId="118" xfId="0" applyFont="1" applyFill="1" applyBorder="1"/>
    <xf numFmtId="0" fontId="4" fillId="3" borderId="90" xfId="0" applyFont="1" applyFill="1" applyBorder="1" applyAlignment="1">
      <alignment horizontal="center"/>
    </xf>
    <xf numFmtId="164" fontId="4" fillId="3" borderId="113" xfId="0" applyNumberFormat="1" applyFont="1" applyFill="1" applyBorder="1" applyAlignment="1" applyProtection="1">
      <alignment horizontal="right" vertical="center"/>
    </xf>
    <xf numFmtId="1" fontId="4" fillId="0" borderId="144" xfId="0" applyNumberFormat="1" applyFont="1" applyFill="1" applyBorder="1" applyAlignment="1">
      <alignment horizontal="center" vertical="center"/>
    </xf>
    <xf numFmtId="1" fontId="4" fillId="0" borderId="217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vertical="center"/>
    </xf>
    <xf numFmtId="164" fontId="3" fillId="2" borderId="12" xfId="0" applyNumberFormat="1" applyFont="1" applyFill="1" applyBorder="1" applyAlignment="1">
      <alignment vertical="center"/>
    </xf>
    <xf numFmtId="49" fontId="6" fillId="2" borderId="0" xfId="0" applyNumberFormat="1" applyFont="1" applyFill="1" applyBorder="1" applyAlignment="1">
      <alignment vertical="center"/>
    </xf>
    <xf numFmtId="49" fontId="8" fillId="2" borderId="208" xfId="0" applyNumberFormat="1" applyFont="1" applyFill="1" applyBorder="1" applyAlignment="1">
      <alignment horizontal="left" vertical="center"/>
    </xf>
    <xf numFmtId="49" fontId="8" fillId="2" borderId="186" xfId="0" applyNumberFormat="1" applyFont="1" applyFill="1" applyBorder="1" applyAlignment="1">
      <alignment horizontal="left" vertical="center"/>
    </xf>
    <xf numFmtId="49" fontId="24" fillId="2" borderId="186" xfId="0" applyNumberFormat="1" applyFont="1" applyFill="1" applyBorder="1" applyAlignment="1">
      <alignment vertical="center"/>
    </xf>
    <xf numFmtId="49" fontId="25" fillId="2" borderId="186" xfId="0" applyNumberFormat="1" applyFont="1" applyFill="1" applyBorder="1" applyAlignment="1">
      <alignment vertical="center"/>
    </xf>
    <xf numFmtId="49" fontId="8" fillId="2" borderId="186" xfId="0" applyNumberFormat="1" applyFont="1" applyFill="1" applyBorder="1" applyAlignment="1">
      <alignment horizontal="right" vertical="center"/>
    </xf>
    <xf numFmtId="49" fontId="8" fillId="2" borderId="209" xfId="0" applyNumberFormat="1" applyFont="1" applyFill="1" applyBorder="1" applyAlignment="1">
      <alignment horizontal="right" vertical="center"/>
    </xf>
    <xf numFmtId="49" fontId="8" fillId="2" borderId="0" xfId="0" applyNumberFormat="1" applyFont="1" applyFill="1" applyBorder="1" applyAlignment="1">
      <alignment vertical="center"/>
    </xf>
    <xf numFmtId="49" fontId="6" fillId="2" borderId="127" xfId="0" applyNumberFormat="1" applyFont="1" applyFill="1" applyBorder="1" applyAlignment="1">
      <alignment vertical="center"/>
    </xf>
    <xf numFmtId="49" fontId="6" fillId="2" borderId="0" xfId="0" applyNumberFormat="1" applyFont="1" applyFill="1" applyAlignment="1">
      <alignment vertical="center"/>
    </xf>
    <xf numFmtId="49" fontId="8" fillId="2" borderId="145" xfId="0" applyNumberFormat="1" applyFont="1" applyFill="1" applyBorder="1" applyAlignment="1" applyProtection="1">
      <alignment vertical="center"/>
    </xf>
    <xf numFmtId="49" fontId="8" fillId="2" borderId="191" xfId="0" applyNumberFormat="1" applyFont="1" applyFill="1" applyBorder="1" applyAlignment="1" applyProtection="1">
      <alignment vertical="center"/>
    </xf>
    <xf numFmtId="1" fontId="8" fillId="2" borderId="211" xfId="0" applyNumberFormat="1" applyFont="1" applyFill="1" applyBorder="1" applyAlignment="1" applyProtection="1">
      <alignment horizontal="center" vertical="center"/>
    </xf>
    <xf numFmtId="49" fontId="8" fillId="3" borderId="110" xfId="0" applyNumberFormat="1" applyFont="1" applyFill="1" applyBorder="1" applyAlignment="1" applyProtection="1">
      <alignment horizontal="center" vertical="center"/>
    </xf>
    <xf numFmtId="49" fontId="6" fillId="3" borderId="185" xfId="0" applyNumberFormat="1" applyFont="1" applyFill="1" applyBorder="1" applyAlignment="1" applyProtection="1">
      <alignment horizontal="center" vertical="center"/>
    </xf>
    <xf numFmtId="164" fontId="8" fillId="3" borderId="113" xfId="0" applyNumberFormat="1" applyFont="1" applyFill="1" applyBorder="1" applyAlignment="1" applyProtection="1">
      <alignment horizontal="right" vertical="center"/>
    </xf>
    <xf numFmtId="49" fontId="8" fillId="2" borderId="0" xfId="0" applyNumberFormat="1" applyFont="1" applyFill="1" applyAlignment="1">
      <alignment vertical="center"/>
    </xf>
    <xf numFmtId="10" fontId="6" fillId="2" borderId="0" xfId="0" applyNumberFormat="1" applyFont="1" applyFill="1" applyAlignment="1">
      <alignment vertical="center"/>
    </xf>
    <xf numFmtId="10" fontId="6" fillId="2" borderId="5" xfId="1" applyNumberFormat="1" applyFont="1" applyFill="1" applyBorder="1" applyAlignment="1">
      <alignment horizontal="center" vertical="center"/>
    </xf>
    <xf numFmtId="1" fontId="8" fillId="3" borderId="209" xfId="0" applyNumberFormat="1" applyFont="1" applyFill="1" applyBorder="1" applyAlignment="1" applyProtection="1">
      <alignment horizontal="center" vertical="center"/>
    </xf>
    <xf numFmtId="1" fontId="8" fillId="3" borderId="211" xfId="0" applyNumberFormat="1" applyFont="1" applyFill="1" applyBorder="1" applyAlignment="1" applyProtection="1">
      <alignment horizontal="center" vertical="center"/>
    </xf>
    <xf numFmtId="49" fontId="6" fillId="3" borderId="215" xfId="0" applyNumberFormat="1" applyFont="1" applyFill="1" applyBorder="1" applyAlignment="1">
      <alignment vertical="center" wrapText="1"/>
    </xf>
    <xf numFmtId="49" fontId="6" fillId="3" borderId="114" xfId="0" applyNumberFormat="1" applyFont="1" applyFill="1" applyBorder="1" applyAlignment="1">
      <alignment vertical="center" wrapText="1"/>
    </xf>
    <xf numFmtId="10" fontId="6" fillId="3" borderId="218" xfId="2" applyNumberFormat="1" applyFont="1" applyFill="1" applyBorder="1" applyAlignment="1" applyProtection="1">
      <alignment horizontal="center" vertical="center"/>
    </xf>
    <xf numFmtId="10" fontId="6" fillId="3" borderId="116" xfId="2" applyNumberFormat="1" applyFont="1" applyFill="1" applyBorder="1" applyAlignment="1" applyProtection="1">
      <alignment horizontal="center" vertical="center"/>
    </xf>
    <xf numFmtId="0" fontId="6" fillId="3" borderId="12" xfId="0" applyNumberFormat="1" applyFont="1" applyFill="1" applyBorder="1" applyAlignment="1">
      <alignment vertical="center"/>
    </xf>
    <xf numFmtId="49" fontId="4" fillId="2" borderId="127" xfId="0" applyNumberFormat="1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164" fontId="3" fillId="3" borderId="226" xfId="0" applyNumberFormat="1" applyFont="1" applyFill="1" applyBorder="1" applyAlignment="1">
      <alignment vertical="center"/>
    </xf>
    <xf numFmtId="0" fontId="3" fillId="0" borderId="163" xfId="0" applyFont="1" applyBorder="1" applyAlignment="1">
      <alignment vertical="center"/>
    </xf>
    <xf numFmtId="0" fontId="4" fillId="3" borderId="169" xfId="0" applyFont="1" applyFill="1" applyBorder="1" applyAlignment="1">
      <alignment horizontal="right" vertical="center"/>
    </xf>
    <xf numFmtId="164" fontId="4" fillId="3" borderId="8" xfId="0" applyNumberFormat="1" applyFont="1" applyFill="1" applyBorder="1" applyAlignment="1">
      <alignment vertical="center"/>
    </xf>
    <xf numFmtId="164" fontId="3" fillId="3" borderId="51" xfId="0" applyNumberFormat="1" applyFont="1" applyFill="1" applyBorder="1" applyAlignment="1">
      <alignment vertical="center"/>
    </xf>
    <xf numFmtId="0" fontId="4" fillId="3" borderId="168" xfId="0" applyFont="1" applyFill="1" applyBorder="1" applyAlignment="1">
      <alignment horizontal="right" vertical="center"/>
    </xf>
    <xf numFmtId="0" fontId="3" fillId="0" borderId="224" xfId="0" applyFont="1" applyBorder="1" applyAlignment="1">
      <alignment vertical="center"/>
    </xf>
    <xf numFmtId="164" fontId="3" fillId="0" borderId="224" xfId="0" applyNumberFormat="1" applyFont="1" applyBorder="1" applyAlignment="1">
      <alignment vertical="center"/>
    </xf>
    <xf numFmtId="164" fontId="3" fillId="0" borderId="228" xfId="0" applyNumberFormat="1" applyFont="1" applyBorder="1" applyAlignment="1">
      <alignment vertical="center"/>
    </xf>
    <xf numFmtId="0" fontId="4" fillId="3" borderId="168" xfId="0" applyFont="1" applyFill="1" applyBorder="1" applyAlignment="1">
      <alignment vertical="center"/>
    </xf>
    <xf numFmtId="0" fontId="4" fillId="0" borderId="49" xfId="0" applyFont="1" applyFill="1" applyBorder="1" applyAlignment="1">
      <alignment vertical="center"/>
    </xf>
    <xf numFmtId="164" fontId="4" fillId="3" borderId="225" xfId="0" applyNumberFormat="1" applyFont="1" applyFill="1" applyBorder="1" applyAlignment="1">
      <alignment vertical="center"/>
    </xf>
    <xf numFmtId="164" fontId="4" fillId="3" borderId="51" xfId="0" applyNumberFormat="1" applyFont="1" applyFill="1" applyBorder="1" applyAlignment="1">
      <alignment vertical="center"/>
    </xf>
    <xf numFmtId="0" fontId="3" fillId="0" borderId="50" xfId="0" applyFont="1" applyFill="1" applyBorder="1" applyAlignment="1">
      <alignment vertical="center"/>
    </xf>
    <xf numFmtId="0" fontId="4" fillId="0" borderId="163" xfId="0" applyFont="1" applyFill="1" applyBorder="1" applyAlignment="1">
      <alignment vertical="center"/>
    </xf>
    <xf numFmtId="164" fontId="4" fillId="3" borderId="227" xfId="0" applyNumberFormat="1" applyFont="1" applyFill="1" applyBorder="1" applyAlignment="1">
      <alignment vertical="center"/>
    </xf>
    <xf numFmtId="49" fontId="4" fillId="2" borderId="168" xfId="0" applyNumberFormat="1" applyFont="1" applyFill="1" applyBorder="1" applyAlignment="1">
      <alignment vertical="center"/>
    </xf>
    <xf numFmtId="1" fontId="4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3" fillId="3" borderId="53" xfId="0" applyNumberFormat="1" applyFont="1" applyFill="1" applyBorder="1" applyAlignment="1">
      <alignment vertical="center"/>
    </xf>
    <xf numFmtId="164" fontId="3" fillId="3" borderId="229" xfId="0" applyNumberFormat="1" applyFont="1" applyFill="1" applyBorder="1" applyAlignment="1">
      <alignment vertical="center"/>
    </xf>
    <xf numFmtId="4" fontId="6" fillId="3" borderId="12" xfId="0" applyNumberFormat="1" applyFont="1" applyFill="1" applyBorder="1" applyAlignment="1">
      <alignment vertical="center"/>
    </xf>
    <xf numFmtId="10" fontId="6" fillId="3" borderId="5" xfId="1" applyNumberFormat="1" applyFont="1" applyFill="1" applyBorder="1" applyAlignment="1">
      <alignment horizontal="center" vertical="center"/>
    </xf>
    <xf numFmtId="49" fontId="3" fillId="2" borderId="211" xfId="0" applyNumberFormat="1" applyFont="1" applyFill="1" applyBorder="1" applyAlignment="1" applyProtection="1">
      <alignment horizontal="center" vertical="center"/>
    </xf>
    <xf numFmtId="4" fontId="4" fillId="3" borderId="211" xfId="0" applyNumberFormat="1" applyFont="1" applyFill="1" applyBorder="1" applyAlignment="1" applyProtection="1">
      <alignment horizontal="center" vertical="center"/>
    </xf>
    <xf numFmtId="49" fontId="4" fillId="2" borderId="117" xfId="0" applyNumberFormat="1" applyFont="1" applyFill="1" applyBorder="1" applyAlignment="1">
      <alignment vertical="center"/>
    </xf>
    <xf numFmtId="49" fontId="3" fillId="2" borderId="117" xfId="0" applyNumberFormat="1" applyFont="1" applyFill="1" applyBorder="1" applyAlignment="1" applyProtection="1">
      <alignment horizontal="center" vertical="center"/>
      <protection locked="0"/>
    </xf>
    <xf numFmtId="4" fontId="3" fillId="3" borderId="117" xfId="0" applyNumberFormat="1" applyFont="1" applyFill="1" applyBorder="1" applyAlignment="1" applyProtection="1">
      <alignment horizontal="right" vertical="center"/>
      <protection locked="0"/>
    </xf>
    <xf numFmtId="49" fontId="4" fillId="2" borderId="126" xfId="0" applyNumberFormat="1" applyFont="1" applyFill="1" applyBorder="1" applyAlignment="1">
      <alignment vertical="center"/>
    </xf>
    <xf numFmtId="49" fontId="3" fillId="2" borderId="126" xfId="0" applyNumberFormat="1" applyFont="1" applyFill="1" applyBorder="1" applyAlignment="1" applyProtection="1">
      <alignment horizontal="center" vertical="center"/>
      <protection locked="0"/>
    </xf>
    <xf numFmtId="2" fontId="3" fillId="3" borderId="126" xfId="0" applyNumberFormat="1" applyFont="1" applyFill="1" applyBorder="1" applyAlignment="1" applyProtection="1">
      <alignment horizontal="right" vertical="center"/>
      <protection locked="0"/>
    </xf>
    <xf numFmtId="49" fontId="4" fillId="2" borderId="211" xfId="0" applyNumberFormat="1" applyFont="1" applyFill="1" applyBorder="1" applyAlignment="1">
      <alignment vertical="center"/>
    </xf>
    <xf numFmtId="1" fontId="4" fillId="2" borderId="211" xfId="0" applyNumberFormat="1" applyFont="1" applyFill="1" applyBorder="1" applyAlignment="1">
      <alignment horizontal="center" vertical="center"/>
    </xf>
    <xf numFmtId="49" fontId="4" fillId="3" borderId="230" xfId="0" applyNumberFormat="1" applyFont="1" applyFill="1" applyBorder="1" applyAlignment="1">
      <alignment horizontal="left" vertical="center"/>
    </xf>
    <xf numFmtId="49" fontId="9" fillId="3" borderId="209" xfId="0" applyNumberFormat="1" applyFont="1" applyFill="1" applyBorder="1" applyAlignment="1">
      <alignment vertical="center"/>
    </xf>
    <xf numFmtId="0" fontId="11" fillId="4" borderId="0" xfId="0" applyFont="1" applyFill="1"/>
    <xf numFmtId="0" fontId="11" fillId="0" borderId="0" xfId="0" applyFont="1"/>
    <xf numFmtId="49" fontId="8" fillId="2" borderId="208" xfId="0" quotePrefix="1" applyNumberFormat="1" applyFont="1" applyFill="1" applyBorder="1" applyAlignment="1">
      <alignment horizontal="left" vertical="center"/>
    </xf>
    <xf numFmtId="49" fontId="8" fillId="2" borderId="186" xfId="0" quotePrefix="1" applyNumberFormat="1" applyFont="1" applyFill="1" applyBorder="1" applyAlignment="1">
      <alignment horizontal="left" vertical="center"/>
    </xf>
    <xf numFmtId="49" fontId="8" fillId="2" borderId="186" xfId="0" applyNumberFormat="1" applyFont="1" applyFill="1" applyBorder="1" applyAlignment="1">
      <alignment vertical="center"/>
    </xf>
    <xf numFmtId="49" fontId="6" fillId="2" borderId="186" xfId="0" applyNumberFormat="1" applyFont="1" applyFill="1" applyBorder="1" applyAlignment="1">
      <alignment vertical="center"/>
    </xf>
    <xf numFmtId="49" fontId="8" fillId="2" borderId="145" xfId="0" applyNumberFormat="1" applyFont="1" applyFill="1" applyBorder="1" applyAlignment="1">
      <alignment horizontal="centerContinuous" vertical="center"/>
    </xf>
    <xf numFmtId="49" fontId="8" fillId="2" borderId="191" xfId="0" applyNumberFormat="1" applyFont="1" applyFill="1" applyBorder="1" applyAlignment="1">
      <alignment horizontal="center" vertical="center"/>
    </xf>
    <xf numFmtId="49" fontId="4" fillId="2" borderId="110" xfId="0" applyNumberFormat="1" applyFont="1" applyFill="1" applyBorder="1" applyAlignment="1">
      <alignment vertical="center"/>
    </xf>
    <xf numFmtId="49" fontId="4" fillId="2" borderId="185" xfId="0" applyNumberFormat="1" applyFont="1" applyFill="1" applyBorder="1" applyAlignment="1">
      <alignment horizontal="center" vertical="center"/>
    </xf>
    <xf numFmtId="0" fontId="8" fillId="2" borderId="102" xfId="0" applyNumberFormat="1" applyFont="1" applyFill="1" applyBorder="1" applyAlignment="1">
      <alignment vertical="center"/>
    </xf>
    <xf numFmtId="1" fontId="6" fillId="2" borderId="0" xfId="0" applyNumberFormat="1" applyFont="1" applyFill="1" applyAlignment="1">
      <alignment vertical="center"/>
    </xf>
    <xf numFmtId="4" fontId="6" fillId="2" borderId="0" xfId="0" applyNumberFormat="1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8" fillId="3" borderId="219" xfId="0" applyFont="1" applyFill="1" applyBorder="1" applyAlignment="1">
      <alignment vertical="center"/>
    </xf>
    <xf numFmtId="4" fontId="6" fillId="3" borderId="231" xfId="0" applyNumberFormat="1" applyFont="1" applyFill="1" applyBorder="1" applyAlignment="1">
      <alignment vertical="center"/>
    </xf>
    <xf numFmtId="3" fontId="6" fillId="2" borderId="0" xfId="0" applyNumberFormat="1" applyFont="1" applyFill="1" applyAlignment="1">
      <alignment vertical="center"/>
    </xf>
    <xf numFmtId="0" fontId="8" fillId="3" borderId="232" xfId="0" applyFont="1" applyFill="1" applyBorder="1" applyAlignment="1">
      <alignment vertical="center"/>
    </xf>
    <xf numFmtId="4" fontId="6" fillId="3" borderId="233" xfId="0" applyNumberFormat="1" applyFont="1" applyFill="1" applyBorder="1" applyAlignment="1">
      <alignment vertical="center"/>
    </xf>
    <xf numFmtId="0" fontId="8" fillId="3" borderId="220" xfId="0" applyFont="1" applyFill="1" applyBorder="1" applyAlignment="1">
      <alignment vertical="center"/>
    </xf>
    <xf numFmtId="4" fontId="6" fillId="3" borderId="234" xfId="0" applyNumberFormat="1" applyFont="1" applyFill="1" applyBorder="1" applyAlignment="1">
      <alignment vertical="center"/>
    </xf>
    <xf numFmtId="4" fontId="6" fillId="2" borderId="0" xfId="0" applyNumberFormat="1" applyFont="1" applyFill="1" applyAlignment="1">
      <alignment vertical="center"/>
    </xf>
    <xf numFmtId="0" fontId="6" fillId="3" borderId="219" xfId="0" applyFont="1" applyFill="1" applyBorder="1" applyAlignment="1">
      <alignment vertical="center"/>
    </xf>
    <xf numFmtId="4" fontId="6" fillId="3" borderId="236" xfId="0" applyNumberFormat="1" applyFont="1" applyFill="1" applyBorder="1" applyAlignment="1">
      <alignment vertical="center"/>
    </xf>
    <xf numFmtId="1" fontId="8" fillId="3" borderId="235" xfId="0" applyNumberFormat="1" applyFont="1" applyFill="1" applyBorder="1" applyAlignment="1">
      <alignment horizontal="center" vertical="center"/>
    </xf>
    <xf numFmtId="1" fontId="8" fillId="3" borderId="231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3" fontId="6" fillId="2" borderId="191" xfId="0" applyNumberFormat="1" applyFont="1" applyFill="1" applyBorder="1" applyAlignment="1" applyProtection="1">
      <alignment horizontal="right" vertical="center"/>
    </xf>
    <xf numFmtId="0" fontId="6" fillId="3" borderId="189" xfId="0" applyNumberFormat="1" applyFont="1" applyFill="1" applyBorder="1" applyAlignment="1">
      <alignment vertical="center"/>
    </xf>
    <xf numFmtId="0" fontId="6" fillId="3" borderId="109" xfId="0" applyNumberFormat="1" applyFont="1" applyFill="1" applyBorder="1" applyAlignment="1">
      <alignment vertical="center"/>
    </xf>
    <xf numFmtId="0" fontId="6" fillId="3" borderId="117" xfId="0" applyNumberFormat="1" applyFont="1" applyFill="1" applyBorder="1" applyAlignment="1">
      <alignment vertical="center"/>
    </xf>
    <xf numFmtId="0" fontId="8" fillId="2" borderId="145" xfId="0" applyNumberFormat="1" applyFont="1" applyFill="1" applyBorder="1" applyAlignment="1">
      <alignment vertical="center"/>
    </xf>
    <xf numFmtId="0" fontId="8" fillId="2" borderId="191" xfId="0" applyNumberFormat="1" applyFont="1" applyFill="1" applyBorder="1" applyAlignment="1">
      <alignment vertical="center"/>
    </xf>
    <xf numFmtId="0" fontId="11" fillId="4" borderId="51" xfId="0" applyFont="1" applyFill="1" applyBorder="1"/>
    <xf numFmtId="0" fontId="6" fillId="3" borderId="51" xfId="0" applyNumberFormat="1" applyFont="1" applyFill="1" applyBorder="1" applyAlignment="1">
      <alignment horizontal="left" vertical="center"/>
    </xf>
    <xf numFmtId="0" fontId="11" fillId="0" borderId="51" xfId="0" applyFont="1" applyBorder="1"/>
    <xf numFmtId="0" fontId="11" fillId="4" borderId="52" xfId="0" applyFont="1" applyFill="1" applyBorder="1"/>
    <xf numFmtId="0" fontId="6" fillId="3" borderId="52" xfId="0" applyNumberFormat="1" applyFont="1" applyFill="1" applyBorder="1" applyAlignment="1">
      <alignment horizontal="left" vertical="center"/>
    </xf>
    <xf numFmtId="0" fontId="11" fillId="0" borderId="52" xfId="0" applyFont="1" applyBorder="1"/>
    <xf numFmtId="0" fontId="11" fillId="4" borderId="53" xfId="0" applyFont="1" applyFill="1" applyBorder="1"/>
    <xf numFmtId="0" fontId="11" fillId="0" borderId="53" xfId="0" applyFont="1" applyBorder="1"/>
    <xf numFmtId="164" fontId="6" fillId="2" borderId="189" xfId="0" applyNumberFormat="1" applyFont="1" applyFill="1" applyBorder="1" applyAlignment="1" applyProtection="1">
      <alignment horizontal="right" vertical="center"/>
    </xf>
    <xf numFmtId="164" fontId="6" fillId="2" borderId="109" xfId="0" applyNumberFormat="1" applyFont="1" applyFill="1" applyBorder="1" applyAlignment="1" applyProtection="1">
      <alignment horizontal="right" vertical="center"/>
    </xf>
    <xf numFmtId="164" fontId="6" fillId="2" borderId="117" xfId="0" applyNumberFormat="1" applyFont="1" applyFill="1" applyBorder="1" applyAlignment="1" applyProtection="1">
      <alignment horizontal="right" vertical="center"/>
    </xf>
    <xf numFmtId="164" fontId="8" fillId="3" borderId="211" xfId="0" applyNumberFormat="1" applyFont="1" applyFill="1" applyBorder="1" applyAlignment="1" applyProtection="1">
      <alignment horizontal="right" vertical="center"/>
      <protection locked="0"/>
    </xf>
    <xf numFmtId="164" fontId="6" fillId="2" borderId="51" xfId="0" applyNumberFormat="1" applyFont="1" applyFill="1" applyBorder="1" applyAlignment="1" applyProtection="1">
      <alignment horizontal="right" vertical="center"/>
      <protection locked="0"/>
    </xf>
    <xf numFmtId="164" fontId="6" fillId="2" borderId="52" xfId="0" applyNumberFormat="1" applyFont="1" applyFill="1" applyBorder="1" applyAlignment="1" applyProtection="1">
      <alignment horizontal="right" vertical="center"/>
      <protection locked="0"/>
    </xf>
    <xf numFmtId="164" fontId="6" fillId="2" borderId="53" xfId="0" applyNumberFormat="1" applyFont="1" applyFill="1" applyBorder="1" applyAlignment="1" applyProtection="1">
      <alignment horizontal="right" vertical="center"/>
      <protection locked="0"/>
    </xf>
    <xf numFmtId="164" fontId="8" fillId="3" borderId="113" xfId="0" applyNumberFormat="1" applyFont="1" applyFill="1" applyBorder="1" applyAlignment="1" applyProtection="1">
      <alignment horizontal="right" vertical="center"/>
      <protection locked="0"/>
    </xf>
    <xf numFmtId="164" fontId="6" fillId="3" borderId="211" xfId="0" applyNumberFormat="1" applyFont="1" applyFill="1" applyBorder="1" applyAlignment="1" applyProtection="1">
      <alignment horizontal="right" vertical="center"/>
      <protection locked="0"/>
    </xf>
    <xf numFmtId="164" fontId="8" fillId="3" borderId="211" xfId="0" applyNumberFormat="1" applyFont="1" applyFill="1" applyBorder="1" applyAlignment="1" applyProtection="1">
      <alignment horizontal="right" vertical="center"/>
    </xf>
    <xf numFmtId="164" fontId="6" fillId="2" borderId="191" xfId="0" applyNumberFormat="1" applyFont="1" applyFill="1" applyBorder="1" applyAlignment="1" applyProtection="1">
      <alignment horizontal="right" vertical="center"/>
      <protection locked="0"/>
    </xf>
    <xf numFmtId="164" fontId="6" fillId="2" borderId="52" xfId="0" applyNumberFormat="1" applyFont="1" applyFill="1" applyBorder="1" applyAlignment="1" applyProtection="1">
      <alignment horizontal="right" vertical="center"/>
    </xf>
    <xf numFmtId="0" fontId="6" fillId="9" borderId="215" xfId="0" applyNumberFormat="1" applyFont="1" applyFill="1" applyBorder="1" applyAlignment="1">
      <alignment horizontal="left" vertical="center"/>
    </xf>
    <xf numFmtId="0" fontId="6" fillId="9" borderId="106" xfId="0" applyNumberFormat="1" applyFont="1" applyFill="1" applyBorder="1" applyAlignment="1">
      <alignment horizontal="left" vertical="center"/>
    </xf>
    <xf numFmtId="0" fontId="6" fillId="9" borderId="114" xfId="0" applyNumberFormat="1" applyFont="1" applyFill="1" applyBorder="1" applyAlignment="1">
      <alignment horizontal="left" vertical="center"/>
    </xf>
    <xf numFmtId="0" fontId="6" fillId="9" borderId="49" xfId="0" applyNumberFormat="1" applyFont="1" applyFill="1" applyBorder="1" applyAlignment="1">
      <alignment horizontal="left" vertical="center"/>
    </xf>
    <xf numFmtId="0" fontId="6" fillId="9" borderId="50" xfId="0" applyNumberFormat="1" applyFont="1" applyFill="1" applyBorder="1" applyAlignment="1">
      <alignment horizontal="left" vertical="center"/>
    </xf>
    <xf numFmtId="49" fontId="4" fillId="2" borderId="209" xfId="0" applyNumberFormat="1" applyFont="1" applyFill="1" applyBorder="1" applyAlignment="1">
      <alignment horizontal="center" vertical="center"/>
    </xf>
    <xf numFmtId="164" fontId="8" fillId="3" borderId="209" xfId="0" applyNumberFormat="1" applyFont="1" applyFill="1" applyBorder="1" applyAlignment="1" applyProtection="1">
      <alignment horizontal="right" vertical="center"/>
      <protection locked="0"/>
    </xf>
    <xf numFmtId="164" fontId="8" fillId="3" borderId="112" xfId="0" applyNumberFormat="1" applyFont="1" applyFill="1" applyBorder="1" applyAlignment="1" applyProtection="1">
      <alignment horizontal="right" vertical="center"/>
      <protection locked="0"/>
    </xf>
    <xf numFmtId="164" fontId="6" fillId="3" borderId="209" xfId="0" applyNumberFormat="1" applyFont="1" applyFill="1" applyBorder="1" applyAlignment="1" applyProtection="1">
      <alignment horizontal="right" vertical="center"/>
      <protection locked="0"/>
    </xf>
    <xf numFmtId="164" fontId="8" fillId="3" borderId="209" xfId="0" applyNumberFormat="1" applyFont="1" applyFill="1" applyBorder="1" applyAlignment="1" applyProtection="1">
      <alignment horizontal="right" vertical="center"/>
    </xf>
    <xf numFmtId="49" fontId="4" fillId="2" borderId="241" xfId="0" applyNumberFormat="1" applyFont="1" applyFill="1" applyBorder="1" applyAlignment="1">
      <alignment horizontal="centerContinuous" vertical="center" wrapText="1"/>
    </xf>
    <xf numFmtId="49" fontId="3" fillId="2" borderId="111" xfId="0" applyNumberFormat="1" applyFont="1" applyFill="1" applyBorder="1" applyAlignment="1">
      <alignment vertical="center"/>
    </xf>
    <xf numFmtId="164" fontId="8" fillId="3" borderId="237" xfId="0" applyNumberFormat="1" applyFont="1" applyFill="1" applyBorder="1" applyAlignment="1" applyProtection="1">
      <alignment horizontal="right" vertical="center"/>
      <protection locked="0"/>
    </xf>
    <xf numFmtId="164" fontId="8" fillId="3" borderId="111" xfId="0" applyNumberFormat="1" applyFont="1" applyFill="1" applyBorder="1" applyAlignment="1" applyProtection="1">
      <alignment horizontal="right" vertical="center"/>
      <protection locked="0"/>
    </xf>
    <xf numFmtId="164" fontId="6" fillId="3" borderId="237" xfId="0" applyNumberFormat="1" applyFont="1" applyFill="1" applyBorder="1" applyAlignment="1" applyProtection="1">
      <alignment horizontal="right" vertical="center"/>
      <protection locked="0"/>
    </xf>
    <xf numFmtId="164" fontId="8" fillId="3" borderId="237" xfId="0" applyNumberFormat="1" applyFont="1" applyFill="1" applyBorder="1" applyAlignment="1" applyProtection="1">
      <alignment horizontal="right" vertical="center"/>
    </xf>
    <xf numFmtId="0" fontId="8" fillId="3" borderId="51" xfId="0" applyFont="1" applyFill="1" applyBorder="1" applyAlignment="1">
      <alignment vertical="center"/>
    </xf>
    <xf numFmtId="0" fontId="6" fillId="3" borderId="52" xfId="0" applyFont="1" applyFill="1" applyBorder="1" applyAlignment="1">
      <alignment vertical="center"/>
    </xf>
    <xf numFmtId="4" fontId="6" fillId="3" borderId="52" xfId="0" applyNumberFormat="1" applyFont="1" applyFill="1" applyBorder="1" applyAlignment="1">
      <alignment vertical="center"/>
    </xf>
    <xf numFmtId="0" fontId="6" fillId="3" borderId="53" xfId="0" applyFont="1" applyFill="1" applyBorder="1" applyAlignment="1">
      <alignment vertical="center"/>
    </xf>
    <xf numFmtId="4" fontId="6" fillId="3" borderId="53" xfId="0" applyNumberFormat="1" applyFont="1" applyFill="1" applyBorder="1" applyAlignment="1">
      <alignment vertical="center"/>
    </xf>
    <xf numFmtId="0" fontId="6" fillId="3" borderId="54" xfId="0" applyFont="1" applyFill="1" applyBorder="1" applyAlignment="1">
      <alignment vertical="center"/>
    </xf>
    <xf numFmtId="4" fontId="6" fillId="3" borderId="54" xfId="0" applyNumberFormat="1" applyFont="1" applyFill="1" applyBorder="1" applyAlignment="1">
      <alignment vertical="center"/>
    </xf>
    <xf numFmtId="0" fontId="8" fillId="3" borderId="53" xfId="0" applyFont="1" applyFill="1" applyBorder="1" applyAlignment="1">
      <alignment vertical="center"/>
    </xf>
    <xf numFmtId="0" fontId="6" fillId="3" borderId="53" xfId="0" applyFont="1" applyFill="1" applyBorder="1" applyAlignment="1">
      <alignment horizontal="center" vertical="center"/>
    </xf>
    <xf numFmtId="0" fontId="6" fillId="3" borderId="223" xfId="0" applyFont="1" applyFill="1" applyBorder="1" applyAlignment="1">
      <alignment vertical="center"/>
    </xf>
    <xf numFmtId="1" fontId="6" fillId="3" borderId="223" xfId="0" applyNumberFormat="1" applyFont="1" applyFill="1" applyBorder="1" applyAlignment="1">
      <alignment vertical="center"/>
    </xf>
    <xf numFmtId="0" fontId="6" fillId="3" borderId="244" xfId="0" applyFont="1" applyFill="1" applyBorder="1" applyAlignment="1">
      <alignment vertical="center"/>
    </xf>
    <xf numFmtId="1" fontId="6" fillId="3" borderId="244" xfId="0" applyNumberFormat="1" applyFont="1" applyFill="1" applyBorder="1" applyAlignment="1">
      <alignment vertical="center"/>
    </xf>
    <xf numFmtId="0" fontId="6" fillId="3" borderId="245" xfId="0" applyFont="1" applyFill="1" applyBorder="1" applyAlignment="1">
      <alignment vertical="center"/>
    </xf>
    <xf numFmtId="1" fontId="6" fillId="3" borderId="245" xfId="0" applyNumberFormat="1" applyFont="1" applyFill="1" applyBorder="1" applyAlignment="1">
      <alignment vertical="center"/>
    </xf>
    <xf numFmtId="1" fontId="8" fillId="3" borderId="12" xfId="0" applyNumberFormat="1" applyFont="1" applyFill="1" applyBorder="1" applyAlignment="1">
      <alignment vertical="center"/>
    </xf>
    <xf numFmtId="164" fontId="6" fillId="3" borderId="189" xfId="0" applyNumberFormat="1" applyFont="1" applyFill="1" applyBorder="1" applyAlignment="1" applyProtection="1">
      <alignment horizontal="right" vertical="center"/>
    </xf>
    <xf numFmtId="164" fontId="6" fillId="3" borderId="109" xfId="0" applyNumberFormat="1" applyFont="1" applyFill="1" applyBorder="1" applyAlignment="1" applyProtection="1">
      <alignment horizontal="right" vertical="center"/>
    </xf>
    <xf numFmtId="164" fontId="6" fillId="3" borderId="117" xfId="0" applyNumberFormat="1" applyFont="1" applyFill="1" applyBorder="1" applyAlignment="1" applyProtection="1">
      <alignment horizontal="right" vertical="center"/>
    </xf>
    <xf numFmtId="164" fontId="6" fillId="3" borderId="154" xfId="0" applyNumberFormat="1" applyFont="1" applyFill="1" applyBorder="1" applyAlignment="1" applyProtection="1">
      <alignment horizontal="right" vertical="center"/>
      <protection locked="0"/>
    </xf>
    <xf numFmtId="164" fontId="6" fillId="3" borderId="238" xfId="0" applyNumberFormat="1" applyFont="1" applyFill="1" applyBorder="1" applyAlignment="1" applyProtection="1">
      <alignment horizontal="right" vertical="center"/>
      <protection locked="0"/>
    </xf>
    <xf numFmtId="164" fontId="6" fillId="3" borderId="51" xfId="0" applyNumberFormat="1" applyFont="1" applyFill="1" applyBorder="1" applyAlignment="1" applyProtection="1">
      <alignment horizontal="right" vertical="center"/>
      <protection locked="0"/>
    </xf>
    <xf numFmtId="164" fontId="6" fillId="3" borderId="157" xfId="0" applyNumberFormat="1" applyFont="1" applyFill="1" applyBorder="1" applyAlignment="1" applyProtection="1">
      <alignment horizontal="right" vertical="center"/>
      <protection locked="0"/>
    </xf>
    <xf numFmtId="164" fontId="6" fillId="3" borderId="239" xfId="0" applyNumberFormat="1" applyFont="1" applyFill="1" applyBorder="1" applyAlignment="1" applyProtection="1">
      <alignment horizontal="right" vertical="center"/>
      <protection locked="0"/>
    </xf>
    <xf numFmtId="164" fontId="6" fillId="3" borderId="52" xfId="0" applyNumberFormat="1" applyFont="1" applyFill="1" applyBorder="1" applyAlignment="1" applyProtection="1">
      <alignment horizontal="right" vertical="center"/>
      <protection locked="0"/>
    </xf>
    <xf numFmtId="164" fontId="6" fillId="3" borderId="52" xfId="0" applyNumberFormat="1" applyFont="1" applyFill="1" applyBorder="1" applyAlignment="1" applyProtection="1">
      <alignment horizontal="right" vertical="center"/>
    </xf>
    <xf numFmtId="164" fontId="6" fillId="3" borderId="160" xfId="0" applyNumberFormat="1" applyFont="1" applyFill="1" applyBorder="1" applyAlignment="1" applyProtection="1">
      <alignment horizontal="right" vertical="center"/>
      <protection locked="0"/>
    </xf>
    <xf numFmtId="164" fontId="6" fillId="3" borderId="240" xfId="0" applyNumberFormat="1" applyFont="1" applyFill="1" applyBorder="1" applyAlignment="1" applyProtection="1">
      <alignment horizontal="right" vertical="center"/>
      <protection locked="0"/>
    </xf>
    <xf numFmtId="164" fontId="6" fillId="3" borderId="53" xfId="0" applyNumberFormat="1" applyFont="1" applyFill="1" applyBorder="1" applyAlignment="1" applyProtection="1">
      <alignment horizontal="right" vertical="center"/>
      <protection locked="0"/>
    </xf>
    <xf numFmtId="164" fontId="6" fillId="3" borderId="242" xfId="0" applyNumberFormat="1" applyFont="1" applyFill="1" applyBorder="1" applyAlignment="1" applyProtection="1">
      <alignment horizontal="right" vertical="center"/>
    </xf>
    <xf numFmtId="164" fontId="6" fillId="3" borderId="188" xfId="0" applyNumberFormat="1" applyFont="1" applyFill="1" applyBorder="1" applyAlignment="1" applyProtection="1">
      <alignment horizontal="right" vertical="center"/>
    </xf>
    <xf numFmtId="164" fontId="6" fillId="3" borderId="107" xfId="0" applyNumberFormat="1" applyFont="1" applyFill="1" applyBorder="1" applyAlignment="1" applyProtection="1">
      <alignment horizontal="right" vertical="center"/>
    </xf>
    <xf numFmtId="164" fontId="6" fillId="3" borderId="247" xfId="0" applyNumberFormat="1" applyFont="1" applyFill="1" applyBorder="1" applyAlignment="1" applyProtection="1">
      <alignment horizontal="right" vertical="center"/>
    </xf>
    <xf numFmtId="164" fontId="6" fillId="3" borderId="115" xfId="0" applyNumberFormat="1" applyFont="1" applyFill="1" applyBorder="1" applyAlignment="1" applyProtection="1">
      <alignment horizontal="right" vertical="center"/>
    </xf>
    <xf numFmtId="164" fontId="6" fillId="3" borderId="192" xfId="0" applyNumberFormat="1" applyFont="1" applyFill="1" applyBorder="1" applyAlignment="1" applyProtection="1">
      <alignment horizontal="right" vertical="center"/>
    </xf>
    <xf numFmtId="0" fontId="8" fillId="2" borderId="248" xfId="0" applyNumberFormat="1" applyFont="1" applyFill="1" applyBorder="1" applyAlignment="1">
      <alignment vertical="center"/>
    </xf>
    <xf numFmtId="164" fontId="6" fillId="2" borderId="248" xfId="0" applyNumberFormat="1" applyFont="1" applyFill="1" applyBorder="1" applyAlignment="1" applyProtection="1">
      <alignment horizontal="right" vertical="center"/>
      <protection locked="0"/>
    </xf>
    <xf numFmtId="0" fontId="6" fillId="2" borderId="191" xfId="0" applyNumberFormat="1" applyFont="1" applyFill="1" applyBorder="1" applyAlignment="1">
      <alignment vertical="center"/>
    </xf>
    <xf numFmtId="49" fontId="4" fillId="2" borderId="208" xfId="0" applyNumberFormat="1" applyFont="1" applyFill="1" applyBorder="1" applyAlignment="1">
      <alignment horizontal="center" vertical="center"/>
    </xf>
    <xf numFmtId="0" fontId="11" fillId="4" borderId="0" xfId="0" applyFont="1" applyFill="1" applyBorder="1"/>
    <xf numFmtId="0" fontId="11" fillId="0" borderId="0" xfId="0" applyFont="1" applyBorder="1"/>
    <xf numFmtId="164" fontId="8" fillId="3" borderId="250" xfId="0" applyNumberFormat="1" applyFont="1" applyFill="1" applyBorder="1" applyAlignment="1" applyProtection="1">
      <alignment horizontal="right" vertical="center"/>
      <protection locked="0"/>
    </xf>
    <xf numFmtId="164" fontId="6" fillId="3" borderId="251" xfId="0" applyNumberFormat="1" applyFont="1" applyFill="1" applyBorder="1" applyAlignment="1" applyProtection="1">
      <alignment horizontal="right" vertical="center"/>
      <protection locked="0"/>
    </xf>
    <xf numFmtId="164" fontId="8" fillId="3" borderId="251" xfId="0" applyNumberFormat="1" applyFont="1" applyFill="1" applyBorder="1" applyAlignment="1" applyProtection="1">
      <alignment horizontal="right" vertical="center"/>
    </xf>
    <xf numFmtId="0" fontId="6" fillId="3" borderId="253" xfId="0" applyNumberFormat="1" applyFont="1" applyFill="1" applyBorder="1" applyAlignment="1">
      <alignment horizontal="left" vertical="center"/>
    </xf>
    <xf numFmtId="0" fontId="6" fillId="9" borderId="254" xfId="0" applyNumberFormat="1" applyFont="1" applyFill="1" applyBorder="1" applyAlignment="1">
      <alignment horizontal="left" vertical="center"/>
    </xf>
    <xf numFmtId="0" fontId="8" fillId="3" borderId="51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" fontId="19" fillId="2" borderId="6" xfId="0" applyNumberFormat="1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4" borderId="168" xfId="0" applyFont="1" applyFill="1" applyBorder="1" applyAlignment="1" applyProtection="1">
      <alignment vertical="center"/>
      <protection locked="0"/>
    </xf>
    <xf numFmtId="4" fontId="19" fillId="4" borderId="4" xfId="0" applyNumberFormat="1" applyFont="1" applyFill="1" applyBorder="1" applyAlignment="1" applyProtection="1">
      <alignment vertical="center"/>
      <protection locked="0"/>
    </xf>
    <xf numFmtId="4" fontId="19" fillId="4" borderId="5" xfId="0" applyNumberFormat="1" applyFont="1" applyFill="1" applyBorder="1" applyAlignment="1" applyProtection="1">
      <alignment vertical="center"/>
      <protection locked="0"/>
    </xf>
    <xf numFmtId="0" fontId="19" fillId="2" borderId="168" xfId="0" applyFont="1" applyFill="1" applyBorder="1" applyAlignment="1" applyProtection="1">
      <alignment horizontal="left" vertical="center"/>
      <protection locked="0"/>
    </xf>
    <xf numFmtId="4" fontId="18" fillId="2" borderId="4" xfId="0" applyNumberFormat="1" applyFont="1" applyFill="1" applyBorder="1" applyAlignment="1" applyProtection="1">
      <alignment vertical="center"/>
      <protection locked="0"/>
    </xf>
    <xf numFmtId="4" fontId="18" fillId="2" borderId="5" xfId="0" applyNumberFormat="1" applyFont="1" applyFill="1" applyBorder="1" applyAlignment="1" applyProtection="1">
      <alignment vertical="center"/>
      <protection locked="0"/>
    </xf>
    <xf numFmtId="0" fontId="19" fillId="4" borderId="168" xfId="0" applyFont="1" applyFill="1" applyBorder="1" applyAlignment="1" applyProtection="1">
      <alignment horizontal="left" vertical="center"/>
      <protection locked="0"/>
    </xf>
    <xf numFmtId="4" fontId="18" fillId="4" borderId="4" xfId="0" applyNumberFormat="1" applyFont="1" applyFill="1" applyBorder="1" applyAlignment="1" applyProtection="1">
      <alignment vertical="center"/>
      <protection locked="0"/>
    </xf>
    <xf numFmtId="4" fontId="18" fillId="4" borderId="5" xfId="0" applyNumberFormat="1" applyFont="1" applyFill="1" applyBorder="1" applyAlignment="1" applyProtection="1">
      <alignment vertical="center"/>
      <protection locked="0"/>
    </xf>
    <xf numFmtId="0" fontId="18" fillId="2" borderId="0" xfId="0" applyFont="1" applyFill="1" applyAlignment="1" applyProtection="1">
      <alignment vertical="center"/>
      <protection locked="0"/>
    </xf>
    <xf numFmtId="3" fontId="19" fillId="2" borderId="0" xfId="0" applyNumberFormat="1" applyFont="1" applyFill="1" applyAlignment="1" applyProtection="1">
      <alignment vertical="center"/>
      <protection locked="0"/>
    </xf>
    <xf numFmtId="0" fontId="18" fillId="2" borderId="0" xfId="0" quotePrefix="1" applyFont="1" applyFill="1" applyBorder="1" applyAlignment="1" applyProtection="1">
      <alignment horizontal="left" vertical="center"/>
      <protection locked="0"/>
    </xf>
    <xf numFmtId="0" fontId="19" fillId="2" borderId="49" xfId="0" quotePrefix="1" applyFont="1" applyFill="1" applyBorder="1" applyAlignment="1" applyProtection="1">
      <alignment horizontal="left" vertical="center"/>
      <protection locked="0"/>
    </xf>
    <xf numFmtId="0" fontId="18" fillId="2" borderId="50" xfId="0" quotePrefix="1" applyFont="1" applyFill="1" applyBorder="1" applyAlignment="1">
      <alignment horizontal="left" vertical="center"/>
    </xf>
    <xf numFmtId="0" fontId="18" fillId="2" borderId="50" xfId="0" applyFont="1" applyFill="1" applyBorder="1" applyAlignment="1">
      <alignment horizontal="left" vertical="center"/>
    </xf>
    <xf numFmtId="0" fontId="19" fillId="2" borderId="50" xfId="0" quotePrefix="1" applyFont="1" applyFill="1" applyBorder="1" applyAlignment="1">
      <alignment horizontal="left" vertical="center"/>
    </xf>
    <xf numFmtId="0" fontId="19" fillId="2" borderId="50" xfId="0" quotePrefix="1" applyFont="1" applyFill="1" applyBorder="1" applyAlignment="1" applyProtection="1">
      <alignment horizontal="left" vertical="center"/>
      <protection locked="0"/>
    </xf>
    <xf numFmtId="0" fontId="19" fillId="2" borderId="254" xfId="0" applyFont="1" applyFill="1" applyBorder="1" applyAlignment="1" applyProtection="1">
      <alignment vertical="center"/>
      <protection locked="0"/>
    </xf>
    <xf numFmtId="0" fontId="18" fillId="4" borderId="249" xfId="0" applyFont="1" applyFill="1" applyBorder="1" applyAlignment="1" applyProtection="1">
      <alignment horizontal="left" vertical="center"/>
      <protection locked="0"/>
    </xf>
    <xf numFmtId="0" fontId="19" fillId="4" borderId="254" xfId="0" applyFont="1" applyFill="1" applyBorder="1" applyAlignment="1" applyProtection="1">
      <alignment vertical="center"/>
      <protection locked="0"/>
    </xf>
    <xf numFmtId="0" fontId="18" fillId="2" borderId="249" xfId="0" applyFont="1" applyFill="1" applyBorder="1" applyAlignment="1" applyProtection="1">
      <alignment horizontal="left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0" fontId="19" fillId="2" borderId="163" xfId="0" applyFont="1" applyFill="1" applyBorder="1" applyAlignment="1" applyProtection="1">
      <alignment vertical="center"/>
      <protection locked="0"/>
    </xf>
    <xf numFmtId="164" fontId="18" fillId="3" borderId="51" xfId="0" applyNumberFormat="1" applyFont="1" applyFill="1" applyBorder="1" applyAlignment="1" applyProtection="1">
      <alignment vertical="center"/>
      <protection locked="0"/>
    </xf>
    <xf numFmtId="164" fontId="19" fillId="3" borderId="53" xfId="0" applyNumberFormat="1" applyFont="1" applyFill="1" applyBorder="1" applyAlignment="1" applyProtection="1">
      <alignment vertical="center"/>
      <protection locked="0"/>
    </xf>
    <xf numFmtId="164" fontId="18" fillId="3" borderId="52" xfId="0" applyNumberFormat="1" applyFont="1" applyFill="1" applyBorder="1" applyAlignment="1" applyProtection="1">
      <alignment vertical="center"/>
      <protection locked="0"/>
    </xf>
    <xf numFmtId="164" fontId="19" fillId="3" borderId="51" xfId="0" applyNumberFormat="1" applyFont="1" applyFill="1" applyBorder="1" applyAlignment="1" applyProtection="1">
      <alignment vertical="center"/>
      <protection locked="0"/>
    </xf>
    <xf numFmtId="164" fontId="19" fillId="3" borderId="225" xfId="0" applyNumberFormat="1" applyFont="1" applyFill="1" applyBorder="1" applyAlignment="1" applyProtection="1">
      <alignment vertical="center"/>
      <protection locked="0"/>
    </xf>
    <xf numFmtId="164" fontId="18" fillId="3" borderId="52" xfId="0" applyNumberFormat="1" applyFont="1" applyFill="1" applyBorder="1" applyAlignment="1">
      <alignment vertical="center"/>
    </xf>
    <xf numFmtId="164" fontId="18" fillId="2" borderId="52" xfId="0" applyNumberFormat="1" applyFont="1" applyFill="1" applyBorder="1" applyAlignment="1">
      <alignment vertical="center"/>
    </xf>
    <xf numFmtId="164" fontId="19" fillId="3" borderId="52" xfId="0" applyNumberFormat="1" applyFont="1" applyFill="1" applyBorder="1" applyAlignment="1" applyProtection="1">
      <alignment vertical="center"/>
      <protection locked="0"/>
    </xf>
    <xf numFmtId="164" fontId="19" fillId="3" borderId="226" xfId="0" applyNumberFormat="1" applyFont="1" applyFill="1" applyBorder="1" applyAlignment="1" applyProtection="1">
      <alignment vertical="center"/>
      <protection locked="0"/>
    </xf>
    <xf numFmtId="164" fontId="19" fillId="3" borderId="227" xfId="0" applyNumberFormat="1" applyFont="1" applyFill="1" applyBorder="1" applyAlignment="1" applyProtection="1">
      <alignment vertical="center"/>
      <protection locked="0"/>
    </xf>
    <xf numFmtId="0" fontId="18" fillId="2" borderId="51" xfId="0" applyFont="1" applyFill="1" applyBorder="1" applyAlignment="1" applyProtection="1">
      <alignment vertical="center"/>
      <protection locked="0"/>
    </xf>
    <xf numFmtId="3" fontId="18" fillId="3" borderId="51" xfId="0" applyNumberFormat="1" applyFont="1" applyFill="1" applyBorder="1" applyAlignment="1" applyProtection="1">
      <alignment vertical="center"/>
      <protection locked="0"/>
    </xf>
    <xf numFmtId="0" fontId="18" fillId="2" borderId="53" xfId="0" quotePrefix="1" applyFont="1" applyFill="1" applyBorder="1" applyAlignment="1" applyProtection="1">
      <alignment horizontal="left" vertical="center"/>
      <protection locked="0"/>
    </xf>
    <xf numFmtId="3" fontId="18" fillId="3" borderId="53" xfId="0" applyNumberFormat="1" applyFont="1" applyFill="1" applyBorder="1" applyAlignment="1" applyProtection="1">
      <alignment vertical="center"/>
      <protection locked="0"/>
    </xf>
    <xf numFmtId="3" fontId="18" fillId="4" borderId="0" xfId="0" applyNumberFormat="1" applyFont="1" applyFill="1" applyBorder="1" applyAlignment="1" applyProtection="1">
      <alignment vertical="center"/>
      <protection locked="0"/>
    </xf>
    <xf numFmtId="0" fontId="18" fillId="2" borderId="168" xfId="0" quotePrefix="1" applyFont="1" applyFill="1" applyBorder="1" applyAlignment="1" applyProtection="1">
      <alignment horizontal="left" vertical="center"/>
      <protection locked="0"/>
    </xf>
    <xf numFmtId="3" fontId="18" fillId="3" borderId="12" xfId="0" applyNumberFormat="1" applyFont="1" applyFill="1" applyBorder="1" applyAlignment="1" applyProtection="1">
      <alignment vertical="center"/>
      <protection locked="0"/>
    </xf>
    <xf numFmtId="49" fontId="3" fillId="4" borderId="0" xfId="0" applyNumberFormat="1" applyFont="1" applyFill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2" borderId="185" xfId="0" applyNumberFormat="1" applyFont="1" applyFill="1" applyBorder="1" applyAlignment="1">
      <alignment horizontal="right" vertical="center"/>
    </xf>
    <xf numFmtId="0" fontId="11" fillId="0" borderId="185" xfId="0" applyFont="1" applyBorder="1" applyAlignment="1">
      <alignment vertical="center"/>
    </xf>
    <xf numFmtId="0" fontId="11" fillId="2" borderId="185" xfId="0" applyFont="1" applyFill="1" applyBorder="1" applyAlignment="1">
      <alignment vertical="center"/>
    </xf>
    <xf numFmtId="49" fontId="4" fillId="2" borderId="112" xfId="0" applyNumberFormat="1" applyFont="1" applyFill="1" applyBorder="1" applyAlignment="1">
      <alignment horizontal="right" vertical="center"/>
    </xf>
    <xf numFmtId="1" fontId="4" fillId="2" borderId="144" xfId="0" applyNumberFormat="1" applyFont="1" applyFill="1" applyBorder="1" applyAlignment="1" applyProtection="1">
      <alignment horizontal="center" vertical="center" wrapText="1"/>
      <protection locked="0"/>
    </xf>
    <xf numFmtId="1" fontId="4" fillId="2" borderId="187" xfId="0" applyNumberFormat="1" applyFont="1" applyFill="1" applyBorder="1" applyAlignment="1" applyProtection="1">
      <alignment horizontal="center" vertical="center" wrapText="1"/>
      <protection locked="0"/>
    </xf>
    <xf numFmtId="3" fontId="3" fillId="2" borderId="186" xfId="0" applyNumberFormat="1" applyFont="1" applyFill="1" applyBorder="1" applyAlignment="1" applyProtection="1">
      <alignment horizontal="right" vertical="center"/>
    </xf>
    <xf numFmtId="3" fontId="3" fillId="2" borderId="209" xfId="0" applyNumberFormat="1" applyFont="1" applyFill="1" applyBorder="1" applyAlignment="1" applyProtection="1">
      <alignment horizontal="right" vertical="center"/>
    </xf>
    <xf numFmtId="1" fontId="3" fillId="4" borderId="0" xfId="0" applyNumberFormat="1" applyFont="1" applyFill="1" applyAlignment="1">
      <alignment vertical="center"/>
    </xf>
    <xf numFmtId="1" fontId="3" fillId="2" borderId="0" xfId="0" applyNumberFormat="1" applyFont="1" applyFill="1" applyAlignment="1">
      <alignment vertical="center"/>
    </xf>
    <xf numFmtId="1" fontId="3" fillId="0" borderId="0" xfId="0" applyNumberFormat="1" applyFont="1" applyAlignment="1">
      <alignment vertical="center"/>
    </xf>
    <xf numFmtId="49" fontId="3" fillId="2" borderId="110" xfId="0" applyNumberFormat="1" applyFont="1" applyFill="1" applyBorder="1" applyAlignment="1" applyProtection="1">
      <alignment vertical="center"/>
    </xf>
    <xf numFmtId="49" fontId="3" fillId="2" borderId="185" xfId="0" applyNumberFormat="1" applyFont="1" applyFill="1" applyBorder="1" applyAlignment="1" applyProtection="1">
      <alignment vertical="center"/>
    </xf>
    <xf numFmtId="4" fontId="3" fillId="2" borderId="185" xfId="0" applyNumberFormat="1" applyFont="1" applyFill="1" applyBorder="1" applyAlignment="1" applyProtection="1">
      <alignment horizontal="right" vertical="center"/>
    </xf>
    <xf numFmtId="4" fontId="3" fillId="2" borderId="186" xfId="0" applyNumberFormat="1" applyFont="1" applyFill="1" applyBorder="1" applyAlignment="1" applyProtection="1">
      <alignment horizontal="right" vertical="center"/>
    </xf>
    <xf numFmtId="4" fontId="3" fillId="2" borderId="209" xfId="0" applyNumberFormat="1" applyFont="1" applyFill="1" applyBorder="1" applyAlignment="1" applyProtection="1">
      <alignment horizontal="right" vertical="center"/>
    </xf>
    <xf numFmtId="4" fontId="4" fillId="2" borderId="209" xfId="0" applyNumberFormat="1" applyFont="1" applyFill="1" applyBorder="1" applyAlignment="1">
      <alignment horizontal="right" vertical="center"/>
    </xf>
    <xf numFmtId="0" fontId="3" fillId="2" borderId="224" xfId="0" applyFont="1" applyFill="1" applyBorder="1" applyAlignment="1">
      <alignment vertical="center"/>
    </xf>
    <xf numFmtId="0" fontId="4" fillId="2" borderId="43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Alignment="1">
      <alignment vertical="center"/>
    </xf>
    <xf numFmtId="164" fontId="3" fillId="3" borderId="189" xfId="0" applyNumberFormat="1" applyFont="1" applyFill="1" applyBorder="1" applyAlignment="1" applyProtection="1">
      <alignment horizontal="right" vertical="center"/>
    </xf>
    <xf numFmtId="164" fontId="3" fillId="3" borderId="212" xfId="0" applyNumberFormat="1" applyFont="1" applyFill="1" applyBorder="1" applyAlignment="1" applyProtection="1">
      <alignment horizontal="right" vertical="center"/>
    </xf>
    <xf numFmtId="164" fontId="3" fillId="3" borderId="213" xfId="0" applyNumberFormat="1" applyFont="1" applyFill="1" applyBorder="1" applyAlignment="1" applyProtection="1">
      <alignment horizontal="right" vertical="center"/>
    </xf>
    <xf numFmtId="164" fontId="4" fillId="3" borderId="12" xfId="0" applyNumberFormat="1" applyFont="1" applyFill="1" applyBorder="1" applyAlignment="1">
      <alignment horizontal="center" vertical="center"/>
    </xf>
    <xf numFmtId="49" fontId="4" fillId="2" borderId="43" xfId="0" applyNumberFormat="1" applyFont="1" applyFill="1" applyBorder="1" applyAlignment="1">
      <alignment horizontal="center" vertical="center"/>
    </xf>
    <xf numFmtId="49" fontId="8" fillId="3" borderId="168" xfId="0" applyNumberFormat="1" applyFont="1" applyFill="1" applyBorder="1" applyAlignment="1">
      <alignment vertical="center"/>
    </xf>
    <xf numFmtId="49" fontId="8" fillId="3" borderId="4" xfId="0" applyNumberFormat="1" applyFont="1" applyFill="1" applyBorder="1" applyAlignment="1">
      <alignment vertical="center"/>
    </xf>
    <xf numFmtId="49" fontId="8" fillId="3" borderId="5" xfId="0" applyNumberFormat="1" applyFont="1" applyFill="1" applyBorder="1" applyAlignment="1">
      <alignment vertical="center"/>
    </xf>
    <xf numFmtId="0" fontId="4" fillId="3" borderId="12" xfId="0" applyFont="1" applyFill="1" applyBorder="1" applyAlignment="1">
      <alignment horizontal="right" vertical="center"/>
    </xf>
    <xf numFmtId="0" fontId="8" fillId="3" borderId="168" xfId="0" applyFont="1" applyFill="1" applyBorder="1" applyAlignment="1">
      <alignment horizontal="left" vertical="center"/>
    </xf>
    <xf numFmtId="164" fontId="8" fillId="3" borderId="4" xfId="0" applyNumberFormat="1" applyFont="1" applyFill="1" applyBorder="1" applyAlignment="1">
      <alignment horizontal="left" vertical="center"/>
    </xf>
    <xf numFmtId="164" fontId="8" fillId="3" borderId="5" xfId="0" applyNumberFormat="1" applyFont="1" applyFill="1" applyBorder="1" applyAlignment="1">
      <alignment horizontal="left" vertical="center"/>
    </xf>
    <xf numFmtId="0" fontId="8" fillId="3" borderId="12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8" fillId="3" borderId="168" xfId="0" applyFont="1" applyFill="1" applyBorder="1" applyAlignment="1"/>
    <xf numFmtId="164" fontId="8" fillId="3" borderId="4" xfId="0" applyNumberFormat="1" applyFont="1" applyFill="1" applyBorder="1" applyAlignment="1"/>
    <xf numFmtId="164" fontId="8" fillId="3" borderId="5" xfId="0" applyNumberFormat="1" applyFont="1" applyFill="1" applyBorder="1" applyAlignment="1"/>
    <xf numFmtId="0" fontId="8" fillId="3" borderId="168" xfId="0" applyFont="1" applyFill="1" applyBorder="1" applyAlignment="1">
      <alignment vertical="center"/>
    </xf>
    <xf numFmtId="164" fontId="8" fillId="3" borderId="4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164" fontId="4" fillId="3" borderId="4" xfId="0" applyNumberFormat="1" applyFont="1" applyFill="1" applyBorder="1" applyAlignment="1">
      <alignment vertical="center"/>
    </xf>
    <xf numFmtId="164" fontId="4" fillId="3" borderId="5" xfId="0" applyNumberFormat="1" applyFont="1" applyFill="1" applyBorder="1" applyAlignment="1">
      <alignment vertical="center"/>
    </xf>
    <xf numFmtId="164" fontId="16" fillId="3" borderId="12" xfId="0" applyNumberFormat="1" applyFont="1" applyFill="1" applyBorder="1" applyAlignment="1">
      <alignment vertical="center"/>
    </xf>
    <xf numFmtId="164" fontId="3" fillId="3" borderId="12" xfId="1" applyNumberFormat="1" applyFont="1" applyFill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3" fillId="0" borderId="53" xfId="0" applyFont="1" applyBorder="1" applyAlignment="1">
      <alignment vertical="center"/>
    </xf>
    <xf numFmtId="49" fontId="4" fillId="2" borderId="150" xfId="0" applyNumberFormat="1" applyFont="1" applyFill="1" applyBorder="1" applyAlignment="1">
      <alignment horizontal="center" vertical="center"/>
    </xf>
    <xf numFmtId="49" fontId="3" fillId="2" borderId="188" xfId="0" applyNumberFormat="1" applyFont="1" applyFill="1" applyBorder="1" applyAlignment="1">
      <alignment vertical="center"/>
    </xf>
    <xf numFmtId="49" fontId="3" fillId="2" borderId="247" xfId="0" applyNumberFormat="1" applyFont="1" applyFill="1" applyBorder="1" applyAlignment="1">
      <alignment vertical="center"/>
    </xf>
    <xf numFmtId="49" fontId="3" fillId="2" borderId="192" xfId="0" applyNumberFormat="1" applyFont="1" applyFill="1" applyBorder="1" applyAlignment="1">
      <alignment vertical="center"/>
    </xf>
    <xf numFmtId="49" fontId="4" fillId="2" borderId="246" xfId="0" applyNumberFormat="1" applyFont="1" applyFill="1" applyBorder="1" applyAlignment="1">
      <alignment vertical="center"/>
    </xf>
    <xf numFmtId="164" fontId="3" fillId="2" borderId="189" xfId="0" applyNumberFormat="1" applyFont="1" applyFill="1" applyBorder="1" applyAlignment="1" applyProtection="1">
      <alignment horizontal="right" vertical="center"/>
      <protection locked="0"/>
    </xf>
    <xf numFmtId="164" fontId="3" fillId="2" borderId="190" xfId="0" applyNumberFormat="1" applyFont="1" applyFill="1" applyBorder="1" applyAlignment="1" applyProtection="1">
      <alignment horizontal="right" vertical="center"/>
      <protection locked="0"/>
    </xf>
    <xf numFmtId="164" fontId="3" fillId="2" borderId="262" xfId="0" applyNumberFormat="1" applyFont="1" applyFill="1" applyBorder="1" applyAlignment="1" applyProtection="1">
      <alignment horizontal="right" vertical="center"/>
      <protection locked="0"/>
    </xf>
    <xf numFmtId="164" fontId="3" fillId="2" borderId="262" xfId="0" applyNumberFormat="1" applyFont="1" applyFill="1" applyBorder="1" applyAlignment="1" applyProtection="1">
      <alignment horizontal="right" vertical="center"/>
    </xf>
    <xf numFmtId="164" fontId="3" fillId="2" borderId="193" xfId="0" applyNumberFormat="1" applyFont="1" applyFill="1" applyBorder="1" applyAlignment="1" applyProtection="1">
      <alignment horizontal="right" vertical="center"/>
      <protection locked="0"/>
    </xf>
    <xf numFmtId="164" fontId="4" fillId="2" borderId="119" xfId="0" applyNumberFormat="1" applyFont="1" applyFill="1" applyBorder="1" applyAlignment="1" applyProtection="1">
      <alignment horizontal="right" vertical="center"/>
    </xf>
    <xf numFmtId="164" fontId="4" fillId="2" borderId="142" xfId="0" applyNumberFormat="1" applyFont="1" applyFill="1" applyBorder="1" applyAlignment="1" applyProtection="1">
      <alignment horizontal="right" vertical="center"/>
    </xf>
    <xf numFmtId="164" fontId="3" fillId="2" borderId="144" xfId="0" applyNumberFormat="1" applyFont="1" applyFill="1" applyBorder="1" applyAlignment="1" applyProtection="1">
      <alignment horizontal="right" vertical="center"/>
    </xf>
    <xf numFmtId="164" fontId="3" fillId="2" borderId="145" xfId="0" applyNumberFormat="1" applyFont="1" applyFill="1" applyBorder="1" applyAlignment="1" applyProtection="1">
      <alignment horizontal="right" vertical="center"/>
    </xf>
    <xf numFmtId="164" fontId="3" fillId="2" borderId="146" xfId="0" applyNumberFormat="1" applyFont="1" applyFill="1" applyBorder="1" applyAlignment="1" applyProtection="1">
      <alignment horizontal="right" vertical="center"/>
    </xf>
    <xf numFmtId="164" fontId="3" fillId="2" borderId="102" xfId="0" applyNumberFormat="1" applyFont="1" applyFill="1" applyBorder="1" applyAlignment="1" applyProtection="1">
      <alignment horizontal="right" vertical="center"/>
    </xf>
    <xf numFmtId="164" fontId="3" fillId="2" borderId="147" xfId="0" applyNumberFormat="1" applyFont="1" applyFill="1" applyBorder="1" applyAlignment="1" applyProtection="1">
      <alignment horizontal="right" vertical="center"/>
    </xf>
    <xf numFmtId="164" fontId="4" fillId="2" borderId="120" xfId="0" applyNumberFormat="1" applyFont="1" applyFill="1" applyBorder="1" applyAlignment="1" applyProtection="1">
      <alignment horizontal="right" vertical="center"/>
    </xf>
    <xf numFmtId="49" fontId="3" fillId="2" borderId="0" xfId="0" applyNumberFormat="1" applyFont="1" applyFill="1" applyAlignment="1" applyProtection="1">
      <alignment vertical="center"/>
    </xf>
    <xf numFmtId="49" fontId="3" fillId="0" borderId="0" xfId="0" applyNumberFormat="1" applyFont="1" applyAlignment="1" applyProtection="1">
      <alignment vertical="center"/>
    </xf>
    <xf numFmtId="49" fontId="3" fillId="4" borderId="0" xfId="0" applyNumberFormat="1" applyFont="1" applyFill="1" applyAlignment="1" applyProtection="1">
      <alignment vertical="center"/>
    </xf>
    <xf numFmtId="49" fontId="4" fillId="2" borderId="178" xfId="0" quotePrefix="1" applyNumberFormat="1" applyFont="1" applyFill="1" applyBorder="1" applyAlignment="1" applyProtection="1">
      <alignment horizontal="left" vertical="center"/>
    </xf>
    <xf numFmtId="49" fontId="4" fillId="2" borderId="179" xfId="0" quotePrefix="1" applyNumberFormat="1" applyFont="1" applyFill="1" applyBorder="1" applyAlignment="1" applyProtection="1">
      <alignment horizontal="left" vertical="center"/>
    </xf>
    <xf numFmtId="49" fontId="3" fillId="2" borderId="179" xfId="0" applyNumberFormat="1" applyFont="1" applyFill="1" applyBorder="1" applyAlignment="1" applyProtection="1">
      <alignment vertical="center"/>
    </xf>
    <xf numFmtId="49" fontId="4" fillId="2" borderId="180" xfId="0" applyNumberFormat="1" applyFont="1" applyFill="1" applyBorder="1" applyAlignment="1" applyProtection="1">
      <alignment horizontal="right" vertical="center"/>
    </xf>
    <xf numFmtId="49" fontId="3" fillId="2" borderId="0" xfId="0" applyNumberFormat="1" applyFont="1" applyFill="1" applyBorder="1" applyAlignment="1" applyProtection="1">
      <alignment vertical="center"/>
    </xf>
    <xf numFmtId="49" fontId="3" fillId="2" borderId="139" xfId="0" applyNumberFormat="1" applyFont="1" applyFill="1" applyBorder="1" applyAlignment="1" applyProtection="1">
      <alignment vertical="center"/>
    </xf>
    <xf numFmtId="49" fontId="3" fillId="2" borderId="181" xfId="0" applyNumberFormat="1" applyFont="1" applyFill="1" applyBorder="1" applyAlignment="1" applyProtection="1">
      <alignment vertical="center"/>
    </xf>
    <xf numFmtId="49" fontId="3" fillId="2" borderId="263" xfId="0" applyNumberFormat="1" applyFont="1" applyFill="1" applyBorder="1" applyAlignment="1" applyProtection="1">
      <alignment vertical="center"/>
    </xf>
    <xf numFmtId="49" fontId="3" fillId="2" borderId="148" xfId="0" applyNumberFormat="1" applyFont="1" applyFill="1" applyBorder="1" applyAlignment="1" applyProtection="1">
      <alignment vertical="center"/>
    </xf>
    <xf numFmtId="49" fontId="3" fillId="2" borderId="182" xfId="0" applyNumberFormat="1" applyFont="1" applyFill="1" applyBorder="1" applyAlignment="1" applyProtection="1">
      <alignment vertical="center"/>
    </xf>
    <xf numFmtId="1" fontId="3" fillId="2" borderId="185" xfId="0" applyNumberFormat="1" applyFont="1" applyFill="1" applyBorder="1" applyAlignment="1" applyProtection="1">
      <alignment horizontal="center" vertical="center"/>
      <protection locked="0"/>
    </xf>
    <xf numFmtId="4" fontId="3" fillId="2" borderId="0" xfId="0" applyNumberFormat="1" applyFont="1" applyFill="1" applyBorder="1" applyAlignment="1" applyProtection="1">
      <alignment horizontal="center" vertical="center"/>
      <protection locked="0"/>
    </xf>
    <xf numFmtId="172" fontId="3" fillId="2" borderId="0" xfId="0" applyNumberFormat="1" applyFont="1" applyFill="1" applyBorder="1" applyAlignment="1" applyProtection="1">
      <alignment vertical="center"/>
    </xf>
    <xf numFmtId="172" fontId="3" fillId="2" borderId="182" xfId="0" applyNumberFormat="1" applyFont="1" applyFill="1" applyBorder="1" applyAlignment="1" applyProtection="1">
      <alignment vertical="center"/>
    </xf>
    <xf numFmtId="49" fontId="3" fillId="2" borderId="148" xfId="0" quotePrefix="1" applyNumberFormat="1" applyFont="1" applyFill="1" applyBorder="1" applyAlignment="1" applyProtection="1">
      <alignment horizontal="left" vertical="center"/>
    </xf>
    <xf numFmtId="49" fontId="3" fillId="2" borderId="0" xfId="0" quotePrefix="1" applyNumberFormat="1" applyFont="1" applyFill="1" applyBorder="1" applyAlignment="1" applyProtection="1">
      <alignment horizontal="left" vertical="center"/>
    </xf>
    <xf numFmtId="1" fontId="3" fillId="9" borderId="186" xfId="0" applyNumberFormat="1" applyFont="1" applyFill="1" applyBorder="1" applyAlignment="1" applyProtection="1">
      <alignment horizontal="center" vertical="center"/>
      <protection locked="0"/>
    </xf>
    <xf numFmtId="1" fontId="3" fillId="9" borderId="185" xfId="0" applyNumberFormat="1" applyFont="1" applyFill="1" applyBorder="1" applyAlignment="1" applyProtection="1">
      <alignment horizontal="center" vertical="center"/>
      <protection locked="0"/>
    </xf>
    <xf numFmtId="49" fontId="3" fillId="4" borderId="0" xfId="0" applyNumberFormat="1" applyFont="1" applyFill="1" applyBorder="1" applyAlignment="1" applyProtection="1">
      <alignment vertical="center"/>
    </xf>
    <xf numFmtId="49" fontId="3" fillId="0" borderId="0" xfId="0" applyNumberFormat="1" applyFont="1" applyBorder="1" applyAlignment="1" applyProtection="1">
      <alignment vertical="center"/>
    </xf>
    <xf numFmtId="49" fontId="3" fillId="4" borderId="148" xfId="0" applyNumberFormat="1" applyFont="1" applyFill="1" applyBorder="1" applyAlignment="1" applyProtection="1">
      <alignment vertical="center"/>
    </xf>
    <xf numFmtId="1" fontId="3" fillId="4" borderId="185" xfId="0" applyNumberFormat="1" applyFont="1" applyFill="1" applyBorder="1" applyAlignment="1" applyProtection="1">
      <alignment horizontal="center" vertical="center"/>
      <protection locked="0"/>
    </xf>
    <xf numFmtId="172" fontId="3" fillId="4" borderId="0" xfId="0" applyNumberFormat="1" applyFont="1" applyFill="1" applyBorder="1" applyAlignment="1" applyProtection="1">
      <alignment vertical="center"/>
    </xf>
    <xf numFmtId="172" fontId="3" fillId="4" borderId="182" xfId="0" applyNumberFormat="1" applyFont="1" applyFill="1" applyBorder="1" applyAlignment="1" applyProtection="1">
      <alignment vertical="center"/>
    </xf>
    <xf numFmtId="15" fontId="3" fillId="4" borderId="191" xfId="0" applyNumberFormat="1" applyFont="1" applyFill="1" applyBorder="1" applyAlignment="1" applyProtection="1">
      <alignment horizontal="center" vertical="center"/>
      <protection locked="0"/>
    </xf>
    <xf numFmtId="49" fontId="3" fillId="4" borderId="148" xfId="0" quotePrefix="1" applyNumberFormat="1" applyFont="1" applyFill="1" applyBorder="1" applyAlignment="1" applyProtection="1">
      <alignment horizontal="left" vertical="center"/>
    </xf>
    <xf numFmtId="49" fontId="3" fillId="4" borderId="0" xfId="0" quotePrefix="1" applyNumberFormat="1" applyFont="1" applyFill="1" applyBorder="1" applyAlignment="1" applyProtection="1">
      <alignment horizontal="left" vertical="center"/>
    </xf>
    <xf numFmtId="10" fontId="3" fillId="4" borderId="185" xfId="2" applyNumberFormat="1" applyFont="1" applyFill="1" applyBorder="1" applyAlignment="1" applyProtection="1">
      <alignment horizontal="center" vertical="center"/>
      <protection locked="0"/>
    </xf>
    <xf numFmtId="10" fontId="3" fillId="4" borderId="0" xfId="2" applyNumberFormat="1" applyFont="1" applyFill="1" applyBorder="1" applyAlignment="1" applyProtection="1">
      <alignment horizontal="center" vertical="center"/>
      <protection locked="0"/>
    </xf>
    <xf numFmtId="49" fontId="3" fillId="4" borderId="149" xfId="0" applyNumberFormat="1" applyFont="1" applyFill="1" applyBorder="1" applyAlignment="1" applyProtection="1">
      <alignment vertical="center"/>
    </xf>
    <xf numFmtId="49" fontId="3" fillId="4" borderId="185" xfId="0" applyNumberFormat="1" applyFont="1" applyFill="1" applyBorder="1" applyAlignment="1" applyProtection="1">
      <alignment vertical="center"/>
    </xf>
    <xf numFmtId="49" fontId="3" fillId="4" borderId="194" xfId="0" applyNumberFormat="1" applyFont="1" applyFill="1" applyBorder="1" applyAlignment="1" applyProtection="1">
      <alignment vertical="center"/>
    </xf>
    <xf numFmtId="49" fontId="3" fillId="4" borderId="144" xfId="0" applyNumberFormat="1" applyFont="1" applyFill="1" applyBorder="1" applyAlignment="1" applyProtection="1">
      <alignment horizontal="center" vertical="center"/>
    </xf>
    <xf numFmtId="49" fontId="3" fillId="4" borderId="144" xfId="0" applyNumberFormat="1" applyFont="1" applyFill="1" applyBorder="1" applyAlignment="1" applyProtection="1">
      <alignment vertical="center"/>
    </xf>
    <xf numFmtId="49" fontId="3" fillId="4" borderId="146" xfId="0" applyNumberFormat="1" applyFont="1" applyFill="1" applyBorder="1" applyAlignment="1" applyProtection="1">
      <alignment horizontal="center" vertical="center"/>
    </xf>
    <xf numFmtId="49" fontId="3" fillId="4" borderId="105" xfId="0" applyNumberFormat="1" applyFont="1" applyFill="1" applyBorder="1" applyAlignment="1" applyProtection="1">
      <alignment horizontal="center" vertical="center"/>
    </xf>
    <xf numFmtId="49" fontId="3" fillId="4" borderId="147" xfId="0" applyNumberFormat="1" applyFont="1" applyFill="1" applyBorder="1" applyAlignment="1" applyProtection="1">
      <alignment horizontal="center" vertical="center"/>
    </xf>
    <xf numFmtId="49" fontId="3" fillId="4" borderId="152" xfId="0" applyNumberFormat="1" applyFont="1" applyFill="1" applyBorder="1" applyAlignment="1" applyProtection="1">
      <alignment vertical="center"/>
    </xf>
    <xf numFmtId="49" fontId="3" fillId="4" borderId="153" xfId="0" applyNumberFormat="1" applyFont="1" applyFill="1" applyBorder="1" applyAlignment="1" applyProtection="1">
      <alignment horizontal="center" vertical="center"/>
    </xf>
    <xf numFmtId="49" fontId="3" fillId="4" borderId="105" xfId="0" applyNumberFormat="1" applyFont="1" applyFill="1" applyBorder="1" applyAlignment="1" applyProtection="1">
      <alignment vertical="center"/>
    </xf>
    <xf numFmtId="0" fontId="3" fillId="4" borderId="265" xfId="0" applyNumberFormat="1" applyFont="1" applyFill="1" applyBorder="1" applyAlignment="1">
      <alignment horizontal="center" vertical="center"/>
    </xf>
    <xf numFmtId="0" fontId="3" fillId="4" borderId="266" xfId="0" applyNumberFormat="1" applyFont="1" applyFill="1" applyBorder="1" applyAlignment="1">
      <alignment horizontal="center" vertical="center"/>
    </xf>
    <xf numFmtId="4" fontId="3" fillId="4" borderId="266" xfId="0" applyNumberFormat="1" applyFont="1" applyFill="1" applyBorder="1" applyAlignment="1" applyProtection="1">
      <alignment horizontal="center" vertical="center"/>
    </xf>
    <xf numFmtId="4" fontId="3" fillId="4" borderId="266" xfId="0" applyNumberFormat="1" applyFont="1" applyFill="1" applyBorder="1" applyAlignment="1" applyProtection="1">
      <alignment horizontal="center" vertical="center"/>
      <protection locked="0"/>
    </xf>
    <xf numFmtId="4" fontId="3" fillId="4" borderId="267" xfId="0" applyNumberFormat="1" applyFont="1" applyFill="1" applyBorder="1" applyAlignment="1" applyProtection="1">
      <alignment horizontal="center" vertical="center"/>
    </xf>
    <xf numFmtId="0" fontId="3" fillId="4" borderId="268" xfId="0" applyNumberFormat="1" applyFont="1" applyFill="1" applyBorder="1" applyAlignment="1">
      <alignment horizontal="center" vertical="center"/>
    </xf>
    <xf numFmtId="0" fontId="3" fillId="4" borderId="269" xfId="0" applyNumberFormat="1" applyFont="1" applyFill="1" applyBorder="1" applyAlignment="1">
      <alignment horizontal="center" vertical="center"/>
    </xf>
    <xf numFmtId="4" fontId="3" fillId="4" borderId="269" xfId="0" applyNumberFormat="1" applyFont="1" applyFill="1" applyBorder="1" applyAlignment="1" applyProtection="1">
      <alignment horizontal="center" vertical="center"/>
    </xf>
    <xf numFmtId="4" fontId="3" fillId="4" borderId="269" xfId="0" applyNumberFormat="1" applyFont="1" applyFill="1" applyBorder="1" applyAlignment="1" applyProtection="1">
      <alignment horizontal="center" vertical="center"/>
      <protection locked="0"/>
    </xf>
    <xf numFmtId="4" fontId="3" fillId="4" borderId="270" xfId="0" applyNumberFormat="1" applyFont="1" applyFill="1" applyBorder="1" applyAlignment="1" applyProtection="1">
      <alignment horizontal="center" vertical="center"/>
    </xf>
    <xf numFmtId="0" fontId="3" fillId="4" borderId="271" xfId="0" applyNumberFormat="1" applyFont="1" applyFill="1" applyBorder="1" applyAlignment="1">
      <alignment horizontal="center" vertical="center"/>
    </xf>
    <xf numFmtId="0" fontId="3" fillId="4" borderId="214" xfId="0" applyNumberFormat="1" applyFont="1" applyFill="1" applyBorder="1" applyAlignment="1">
      <alignment horizontal="center" vertical="center"/>
    </xf>
    <xf numFmtId="4" fontId="3" fillId="4" borderId="214" xfId="0" applyNumberFormat="1" applyFont="1" applyFill="1" applyBorder="1" applyAlignment="1" applyProtection="1">
      <alignment horizontal="center" vertical="center"/>
    </xf>
    <xf numFmtId="4" fontId="3" fillId="4" borderId="214" xfId="0" applyNumberFormat="1" applyFont="1" applyFill="1" applyBorder="1" applyAlignment="1" applyProtection="1">
      <alignment horizontal="center" vertical="center"/>
      <protection locked="0"/>
    </xf>
    <xf numFmtId="4" fontId="3" fillId="4" borderId="272" xfId="0" applyNumberFormat="1" applyFont="1" applyFill="1" applyBorder="1" applyAlignment="1" applyProtection="1">
      <alignment horizontal="center" vertical="center"/>
    </xf>
    <xf numFmtId="0" fontId="3" fillId="4" borderId="273" xfId="0" applyNumberFormat="1" applyFont="1" applyFill="1" applyBorder="1" applyAlignment="1">
      <alignment horizontal="center" vertical="center"/>
    </xf>
    <xf numFmtId="0" fontId="3" fillId="4" borderId="274" xfId="0" applyNumberFormat="1" applyFont="1" applyFill="1" applyBorder="1" applyAlignment="1">
      <alignment horizontal="center" vertical="center"/>
    </xf>
    <xf numFmtId="4" fontId="3" fillId="4" borderId="274" xfId="0" applyNumberFormat="1" applyFont="1" applyFill="1" applyBorder="1" applyAlignment="1" applyProtection="1">
      <alignment horizontal="center" vertical="center"/>
    </xf>
    <xf numFmtId="4" fontId="3" fillId="4" borderId="274" xfId="0" applyNumberFormat="1" applyFont="1" applyFill="1" applyBorder="1" applyAlignment="1" applyProtection="1">
      <alignment horizontal="center" vertical="center"/>
      <protection locked="0"/>
    </xf>
    <xf numFmtId="4" fontId="3" fillId="4" borderId="275" xfId="0" applyNumberFormat="1" applyFont="1" applyFill="1" applyBorder="1" applyAlignment="1" applyProtection="1">
      <alignment horizontal="center" vertical="center"/>
    </xf>
    <xf numFmtId="0" fontId="4" fillId="4" borderId="118" xfId="0" applyFont="1" applyFill="1" applyBorder="1" applyAlignment="1">
      <alignment horizontal="center" vertical="center"/>
    </xf>
    <xf numFmtId="0" fontId="3" fillId="4" borderId="118" xfId="0" applyFont="1" applyFill="1" applyBorder="1" applyAlignment="1">
      <alignment horizontal="center" vertical="center"/>
    </xf>
    <xf numFmtId="1" fontId="4" fillId="4" borderId="118" xfId="0" applyNumberFormat="1" applyFont="1" applyFill="1" applyBorder="1" applyAlignment="1">
      <alignment horizontal="center" vertical="center"/>
    </xf>
    <xf numFmtId="4" fontId="3" fillId="4" borderId="118" xfId="0" applyNumberFormat="1" applyFont="1" applyFill="1" applyBorder="1" applyAlignment="1">
      <alignment vertical="center"/>
    </xf>
    <xf numFmtId="0" fontId="3" fillId="4" borderId="118" xfId="0" applyFont="1" applyFill="1" applyBorder="1" applyAlignment="1">
      <alignment vertical="center"/>
    </xf>
    <xf numFmtId="0" fontId="4" fillId="4" borderId="90" xfId="0" applyFont="1" applyFill="1" applyBorder="1" applyAlignment="1">
      <alignment horizontal="center" vertical="center"/>
    </xf>
    <xf numFmtId="49" fontId="4" fillId="2" borderId="181" xfId="0" quotePrefix="1" applyNumberFormat="1" applyFont="1" applyFill="1" applyBorder="1" applyAlignment="1">
      <alignment vertical="center"/>
    </xf>
    <xf numFmtId="49" fontId="4" fillId="2" borderId="181" xfId="0" applyNumberFormat="1" applyFont="1" applyFill="1" applyBorder="1" applyAlignment="1">
      <alignment vertical="center"/>
    </xf>
    <xf numFmtId="49" fontId="4" fillId="2" borderId="181" xfId="0" applyNumberFormat="1" applyFont="1" applyFill="1" applyBorder="1" applyAlignment="1">
      <alignment horizontal="right" vertical="center"/>
    </xf>
    <xf numFmtId="49" fontId="4" fillId="2" borderId="178" xfId="0" applyNumberFormat="1" applyFont="1" applyFill="1" applyBorder="1" applyAlignment="1">
      <alignment horizontal="center" vertical="center"/>
    </xf>
    <xf numFmtId="49" fontId="4" fillId="2" borderId="276" xfId="0" applyNumberFormat="1" applyFont="1" applyFill="1" applyBorder="1" applyAlignment="1">
      <alignment horizontal="center" vertical="center"/>
    </xf>
    <xf numFmtId="49" fontId="4" fillId="2" borderId="179" xfId="0" quotePrefix="1" applyNumberFormat="1" applyFont="1" applyFill="1" applyBorder="1" applyAlignment="1">
      <alignment horizontal="center" vertical="center"/>
    </xf>
    <xf numFmtId="1" fontId="4" fillId="2" borderId="277" xfId="0" applyNumberFormat="1" applyFont="1" applyFill="1" applyBorder="1" applyAlignment="1" applyProtection="1">
      <alignment horizontal="center" vertical="center"/>
      <protection locked="0"/>
    </xf>
    <xf numFmtId="1" fontId="4" fillId="2" borderId="278" xfId="0" applyNumberFormat="1" applyFont="1" applyFill="1" applyBorder="1" applyAlignment="1" applyProtection="1">
      <alignment horizontal="center" vertical="center"/>
      <protection locked="0"/>
    </xf>
    <xf numFmtId="1" fontId="4" fillId="2" borderId="279" xfId="0" applyNumberFormat="1" applyFont="1" applyFill="1" applyBorder="1" applyAlignment="1" applyProtection="1">
      <alignment horizontal="center" vertical="center"/>
      <protection locked="0"/>
    </xf>
    <xf numFmtId="49" fontId="3" fillId="2" borderId="283" xfId="0" applyNumberFormat="1" applyFont="1" applyFill="1" applyBorder="1" applyAlignment="1">
      <alignment horizontal="left" vertical="center"/>
    </xf>
    <xf numFmtId="164" fontId="3" fillId="3" borderId="247" xfId="0" applyNumberFormat="1" applyFont="1" applyFill="1" applyBorder="1" applyAlignment="1" applyProtection="1">
      <alignment horizontal="right" vertical="center"/>
      <protection locked="0"/>
    </xf>
    <xf numFmtId="164" fontId="3" fillId="3" borderId="262" xfId="0" applyNumberFormat="1" applyFont="1" applyFill="1" applyBorder="1" applyAlignment="1" applyProtection="1">
      <alignment horizontal="right" vertical="center"/>
      <protection locked="0"/>
    </xf>
    <xf numFmtId="49" fontId="3" fillId="0" borderId="0" xfId="0" applyNumberFormat="1" applyFont="1" applyFill="1" applyAlignment="1">
      <alignment vertical="center"/>
    </xf>
    <xf numFmtId="49" fontId="4" fillId="2" borderId="242" xfId="0" applyNumberFormat="1" applyFont="1" applyFill="1" applyBorder="1" applyAlignment="1">
      <alignment vertical="center"/>
    </xf>
    <xf numFmtId="49" fontId="3" fillId="2" borderId="107" xfId="0" applyNumberFormat="1" applyFont="1" applyFill="1" applyBorder="1" applyAlignment="1">
      <alignment vertical="center"/>
    </xf>
    <xf numFmtId="164" fontId="3" fillId="4" borderId="247" xfId="0" applyNumberFormat="1" applyFont="1" applyFill="1" applyBorder="1" applyAlignment="1" applyProtection="1">
      <alignment horizontal="right" vertical="center"/>
      <protection locked="0"/>
    </xf>
    <xf numFmtId="164" fontId="3" fillId="4" borderId="262" xfId="0" applyNumberFormat="1" applyFont="1" applyFill="1" applyBorder="1" applyAlignment="1" applyProtection="1">
      <alignment horizontal="right" vertical="center"/>
      <protection locked="0"/>
    </xf>
    <xf numFmtId="49" fontId="4" fillId="3" borderId="284" xfId="0" applyNumberFormat="1" applyFont="1" applyFill="1" applyBorder="1" applyAlignment="1">
      <alignment horizontal="left" vertical="center"/>
    </xf>
    <xf numFmtId="49" fontId="3" fillId="2" borderId="107" xfId="0" quotePrefix="1" applyNumberFormat="1" applyFont="1" applyFill="1" applyBorder="1" applyAlignment="1">
      <alignment horizontal="left" vertical="center"/>
    </xf>
    <xf numFmtId="49" fontId="3" fillId="2" borderId="115" xfId="0" quotePrefix="1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49" fontId="4" fillId="2" borderId="285" xfId="0" applyNumberFormat="1" applyFont="1" applyFill="1" applyBorder="1" applyAlignment="1">
      <alignment horizontal="left" vertical="center"/>
    </xf>
    <xf numFmtId="4" fontId="3" fillId="4" borderId="286" xfId="0" applyNumberFormat="1" applyFont="1" applyFill="1" applyBorder="1" applyAlignment="1" applyProtection="1">
      <alignment horizontal="right" vertical="center"/>
    </xf>
    <xf numFmtId="4" fontId="3" fillId="4" borderId="287" xfId="0" applyNumberFormat="1" applyFont="1" applyFill="1" applyBorder="1" applyAlignment="1" applyProtection="1">
      <alignment horizontal="center" vertical="center"/>
    </xf>
    <xf numFmtId="4" fontId="3" fillId="4" borderId="257" xfId="0" applyNumberFormat="1" applyFont="1" applyFill="1" applyBorder="1" applyAlignment="1" applyProtection="1">
      <alignment horizontal="center" vertical="center"/>
    </xf>
    <xf numFmtId="49" fontId="4" fillId="0" borderId="288" xfId="0" quotePrefix="1" applyNumberFormat="1" applyFont="1" applyFill="1" applyBorder="1" applyAlignment="1">
      <alignment horizontal="left" vertical="center"/>
    </xf>
    <xf numFmtId="4" fontId="3" fillId="0" borderId="258" xfId="0" applyNumberFormat="1" applyFont="1" applyFill="1" applyBorder="1" applyAlignment="1" applyProtection="1">
      <alignment horizontal="center" vertical="center"/>
    </xf>
    <xf numFmtId="164" fontId="3" fillId="3" borderId="192" xfId="0" applyNumberFormat="1" applyFont="1" applyFill="1" applyBorder="1" applyAlignment="1" applyProtection="1">
      <alignment horizontal="right" vertical="center"/>
      <protection locked="0"/>
    </xf>
    <xf numFmtId="49" fontId="4" fillId="3" borderId="148" xfId="0" applyNumberFormat="1" applyFont="1" applyFill="1" applyBorder="1" applyAlignment="1">
      <alignment vertical="center"/>
    </xf>
    <xf numFmtId="164" fontId="4" fillId="3" borderId="103" xfId="0" applyNumberFormat="1" applyFont="1" applyFill="1" applyBorder="1" applyAlignment="1" applyProtection="1">
      <alignment horizontal="right" vertical="center"/>
    </xf>
    <xf numFmtId="4" fontId="4" fillId="0" borderId="0" xfId="0" applyNumberFormat="1" applyFont="1" applyFill="1" applyBorder="1" applyAlignment="1" applyProtection="1">
      <alignment horizontal="center" vertical="center"/>
    </xf>
    <xf numFmtId="164" fontId="4" fillId="3" borderId="140" xfId="0" applyNumberFormat="1" applyFont="1" applyFill="1" applyBorder="1" applyAlignment="1" applyProtection="1">
      <alignment horizontal="center" vertical="center"/>
    </xf>
    <xf numFmtId="164" fontId="4" fillId="3" borderId="105" xfId="0" applyNumberFormat="1" applyFont="1" applyFill="1" applyBorder="1" applyAlignment="1" applyProtection="1">
      <alignment horizontal="center" vertical="center"/>
    </xf>
    <xf numFmtId="164" fontId="4" fillId="3" borderId="147" xfId="0" applyNumberFormat="1" applyFont="1" applyFill="1" applyBorder="1" applyAlignment="1" applyProtection="1">
      <alignment horizontal="center" vertical="center"/>
    </xf>
    <xf numFmtId="4" fontId="3" fillId="4" borderId="242" xfId="0" applyNumberFormat="1" applyFont="1" applyFill="1" applyBorder="1" applyAlignment="1" applyProtection="1">
      <alignment horizontal="right" vertical="center"/>
    </xf>
    <xf numFmtId="4" fontId="3" fillId="4" borderId="256" xfId="0" applyNumberFormat="1" applyFont="1" applyFill="1" applyBorder="1" applyAlignment="1" applyProtection="1">
      <alignment horizontal="center" vertical="center"/>
    </xf>
    <xf numFmtId="164" fontId="3" fillId="4" borderId="107" xfId="0" applyNumberFormat="1" applyFont="1" applyFill="1" applyBorder="1" applyAlignment="1" applyProtection="1">
      <alignment horizontal="right" vertical="center"/>
      <protection locked="0"/>
    </xf>
    <xf numFmtId="164" fontId="3" fillId="4" borderId="192" xfId="0" applyNumberFormat="1" applyFont="1" applyFill="1" applyBorder="1" applyAlignment="1" applyProtection="1">
      <alignment horizontal="right" vertical="center"/>
      <protection locked="0"/>
    </xf>
    <xf numFmtId="164" fontId="3" fillId="4" borderId="193" xfId="0" applyNumberFormat="1" applyFont="1" applyFill="1" applyBorder="1" applyAlignment="1" applyProtection="1">
      <alignment horizontal="right" vertical="center"/>
      <protection locked="0"/>
    </xf>
    <xf numFmtId="49" fontId="3" fillId="2" borderId="289" xfId="0" applyNumberFormat="1" applyFont="1" applyFill="1" applyBorder="1" applyAlignment="1">
      <alignment vertical="center"/>
    </xf>
    <xf numFmtId="164" fontId="3" fillId="4" borderId="289" xfId="0" applyNumberFormat="1" applyFont="1" applyFill="1" applyBorder="1" applyAlignment="1" applyProtection="1">
      <alignment horizontal="right" vertical="center"/>
      <protection locked="0"/>
    </xf>
    <xf numFmtId="4" fontId="3" fillId="4" borderId="290" xfId="0" applyNumberFormat="1" applyFont="1" applyFill="1" applyBorder="1" applyAlignment="1" applyProtection="1">
      <alignment horizontal="center" vertical="center"/>
    </xf>
    <xf numFmtId="164" fontId="3" fillId="4" borderId="199" xfId="0" applyNumberFormat="1" applyFont="1" applyFill="1" applyBorder="1" applyAlignment="1" applyProtection="1">
      <alignment horizontal="right" vertical="center"/>
      <protection locked="0"/>
    </xf>
    <xf numFmtId="164" fontId="3" fillId="4" borderId="177" xfId="0" applyNumberFormat="1" applyFont="1" applyFill="1" applyBorder="1" applyAlignment="1" applyProtection="1">
      <alignment horizontal="right" vertical="center"/>
      <protection locked="0"/>
    </xf>
    <xf numFmtId="164" fontId="3" fillId="4" borderId="200" xfId="0" applyNumberFormat="1" applyFont="1" applyFill="1" applyBorder="1" applyAlignment="1" applyProtection="1">
      <alignment horizontal="right" vertical="center"/>
      <protection locked="0"/>
    </xf>
    <xf numFmtId="49" fontId="3" fillId="2" borderId="148" xfId="0" applyNumberFormat="1" applyFont="1" applyFill="1" applyBorder="1" applyAlignment="1">
      <alignment horizontal="left" vertical="center"/>
    </xf>
    <xf numFmtId="4" fontId="3" fillId="4" borderId="103" xfId="0" applyNumberFormat="1" applyFont="1" applyFill="1" applyBorder="1" applyAlignment="1" applyProtection="1">
      <alignment horizontal="right" vertical="center"/>
      <protection locked="0"/>
    </xf>
    <xf numFmtId="4" fontId="3" fillId="4" borderId="0" xfId="0" applyNumberFormat="1" applyFont="1" applyFill="1" applyBorder="1" applyAlignment="1" applyProtection="1">
      <alignment horizontal="center" vertical="center"/>
    </xf>
    <xf numFmtId="164" fontId="3" fillId="4" borderId="140" xfId="0" applyNumberFormat="1" applyFont="1" applyFill="1" applyBorder="1" applyAlignment="1" applyProtection="1">
      <alignment horizontal="right" vertical="center"/>
      <protection locked="0"/>
    </xf>
    <xf numFmtId="164" fontId="3" fillId="4" borderId="105" xfId="0" applyNumberFormat="1" applyFont="1" applyFill="1" applyBorder="1" applyAlignment="1" applyProtection="1">
      <alignment horizontal="right" vertical="center"/>
      <protection locked="0"/>
    </xf>
    <xf numFmtId="164" fontId="3" fillId="4" borderId="147" xfId="0" applyNumberFormat="1" applyFont="1" applyFill="1" applyBorder="1" applyAlignment="1" applyProtection="1">
      <alignment horizontal="right" vertical="center"/>
      <protection locked="0"/>
    </xf>
    <xf numFmtId="4" fontId="4" fillId="3" borderId="237" xfId="0" applyNumberFormat="1" applyFont="1" applyFill="1" applyBorder="1" applyAlignment="1" applyProtection="1">
      <alignment horizontal="right" vertical="center"/>
    </xf>
    <xf numFmtId="4" fontId="4" fillId="3" borderId="186" xfId="0" applyNumberFormat="1" applyFont="1" applyFill="1" applyBorder="1" applyAlignment="1" applyProtection="1">
      <alignment horizontal="center" vertical="center"/>
    </xf>
    <xf numFmtId="164" fontId="4" fillId="3" borderId="280" xfId="0" applyNumberFormat="1" applyFont="1" applyFill="1" applyBorder="1" applyAlignment="1" applyProtection="1">
      <alignment horizontal="center" vertical="center"/>
    </xf>
    <xf numFmtId="164" fontId="4" fillId="3" borderId="281" xfId="0" applyNumberFormat="1" applyFont="1" applyFill="1" applyBorder="1" applyAlignment="1" applyProtection="1">
      <alignment horizontal="center" vertical="center"/>
    </xf>
    <xf numFmtId="164" fontId="4" fillId="3" borderId="282" xfId="0" applyNumberFormat="1" applyFont="1" applyFill="1" applyBorder="1" applyAlignment="1" applyProtection="1">
      <alignment horizontal="center" vertical="center"/>
    </xf>
    <xf numFmtId="49" fontId="4" fillId="3" borderId="12" xfId="0" applyNumberFormat="1" applyFont="1" applyFill="1" applyBorder="1" applyAlignment="1">
      <alignment horizontal="center" vertical="center"/>
    </xf>
    <xf numFmtId="43" fontId="3" fillId="12" borderId="3" xfId="3" applyNumberFormat="1" applyFont="1" applyFill="1" applyBorder="1" applyAlignment="1">
      <alignment vertical="center"/>
    </xf>
    <xf numFmtId="167" fontId="3" fillId="12" borderId="3" xfId="3" applyFont="1" applyFill="1" applyBorder="1" applyAlignment="1">
      <alignment horizontal="center" vertical="center"/>
    </xf>
    <xf numFmtId="43" fontId="3" fillId="12" borderId="3" xfId="3" applyNumberFormat="1" applyFont="1" applyFill="1" applyBorder="1" applyAlignment="1">
      <alignment horizontal="center" vertical="center"/>
    </xf>
    <xf numFmtId="167" fontId="3" fillId="12" borderId="1" xfId="3" applyFont="1" applyFill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4" fontId="4" fillId="0" borderId="0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4" fillId="5" borderId="118" xfId="0" applyFont="1" applyFill="1" applyBorder="1" applyAlignment="1">
      <alignment horizontal="center" vertical="center"/>
    </xf>
    <xf numFmtId="0" fontId="27" fillId="13" borderId="12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" fontId="3" fillId="0" borderId="0" xfId="0" applyNumberFormat="1" applyFont="1" applyBorder="1" applyAlignment="1">
      <alignment vertical="center"/>
    </xf>
    <xf numFmtId="0" fontId="3" fillId="3" borderId="253" xfId="0" applyFont="1" applyFill="1" applyBorder="1" applyAlignment="1">
      <alignment horizontal="center" vertical="center"/>
    </xf>
    <xf numFmtId="164" fontId="3" fillId="3" borderId="253" xfId="0" applyNumberFormat="1" applyFont="1" applyFill="1" applyBorder="1" applyAlignment="1">
      <alignment vertical="center"/>
    </xf>
    <xf numFmtId="0" fontId="27" fillId="13" borderId="291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vertical="center"/>
    </xf>
    <xf numFmtId="0" fontId="3" fillId="3" borderId="253" xfId="0" applyFont="1" applyFill="1" applyBorder="1" applyAlignment="1">
      <alignment vertical="center"/>
    </xf>
    <xf numFmtId="0" fontId="4" fillId="3" borderId="12" xfId="0" applyFont="1" applyFill="1" applyBorder="1" applyAlignment="1">
      <alignment horizontal="left" vertical="center"/>
    </xf>
    <xf numFmtId="4" fontId="4" fillId="0" borderId="0" xfId="0" applyNumberFormat="1" applyFont="1" applyBorder="1" applyAlignment="1">
      <alignment vertical="center"/>
    </xf>
    <xf numFmtId="0" fontId="28" fillId="0" borderId="51" xfId="0" applyFont="1" applyBorder="1" applyAlignment="1">
      <alignment horizontal="center" vertical="center"/>
    </xf>
    <xf numFmtId="164" fontId="4" fillId="3" borderId="51" xfId="0" applyNumberFormat="1" applyFont="1" applyFill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164" fontId="4" fillId="3" borderId="52" xfId="0" applyNumberFormat="1" applyFont="1" applyFill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164" fontId="4" fillId="3" borderId="53" xfId="0" applyNumberFormat="1" applyFont="1" applyFill="1" applyBorder="1" applyAlignment="1">
      <alignment horizontal="center" vertical="center"/>
    </xf>
    <xf numFmtId="173" fontId="18" fillId="2" borderId="224" xfId="0" applyNumberFormat="1" applyFont="1" applyFill="1" applyBorder="1" applyAlignment="1" applyProtection="1">
      <alignment horizontal="fill" vertical="center"/>
      <protection locked="0"/>
    </xf>
    <xf numFmtId="173" fontId="18" fillId="2" borderId="0" xfId="0" applyNumberFormat="1" applyFont="1" applyFill="1" applyBorder="1" applyAlignment="1" applyProtection="1">
      <alignment horizontal="fill" vertical="center"/>
      <protection locked="0"/>
    </xf>
    <xf numFmtId="173" fontId="18" fillId="2" borderId="255" xfId="0" applyNumberFormat="1" applyFont="1" applyFill="1" applyBorder="1" applyAlignment="1" applyProtection="1">
      <alignment horizontal="fill" vertical="center"/>
      <protection locked="0"/>
    </xf>
    <xf numFmtId="173" fontId="18" fillId="2" borderId="295" xfId="0" applyNumberFormat="1" applyFont="1" applyFill="1" applyBorder="1" applyAlignment="1" applyProtection="1">
      <alignment horizontal="fill" vertical="center"/>
      <protection locked="0"/>
    </xf>
    <xf numFmtId="173" fontId="18" fillId="2" borderId="224" xfId="0" applyNumberFormat="1" applyFont="1" applyFill="1" applyBorder="1" applyAlignment="1">
      <alignment horizontal="center" vertical="center"/>
    </xf>
    <xf numFmtId="1" fontId="19" fillId="2" borderId="12" xfId="0" applyNumberFormat="1" applyFont="1" applyFill="1" applyBorder="1" applyAlignment="1" applyProtection="1">
      <alignment horizontal="center" vertical="center"/>
    </xf>
    <xf numFmtId="173" fontId="18" fillId="2" borderId="228" xfId="0" applyNumberFormat="1" applyFont="1" applyFill="1" applyBorder="1" applyAlignment="1" applyProtection="1">
      <alignment horizontal="fill" vertical="center"/>
      <protection locked="0"/>
    </xf>
    <xf numFmtId="49" fontId="19" fillId="2" borderId="224" xfId="0" applyNumberFormat="1" applyFont="1" applyFill="1" applyBorder="1" applyAlignment="1" applyProtection="1">
      <alignment horizontal="left" vertical="center"/>
      <protection locked="0"/>
    </xf>
    <xf numFmtId="173" fontId="19" fillId="2" borderId="0" xfId="0" applyNumberFormat="1" applyFont="1" applyFill="1" applyBorder="1" applyAlignment="1" applyProtection="1">
      <alignment horizontal="center" vertical="center"/>
      <protection locked="0"/>
    </xf>
    <xf numFmtId="173" fontId="19" fillId="2" borderId="228" xfId="0" applyNumberFormat="1" applyFont="1" applyFill="1" applyBorder="1" applyAlignment="1" applyProtection="1">
      <alignment horizontal="center" vertical="center"/>
      <protection locked="0"/>
    </xf>
    <xf numFmtId="49" fontId="18" fillId="3" borderId="51" xfId="0" applyNumberFormat="1" applyFont="1" applyFill="1" applyBorder="1" applyAlignment="1" applyProtection="1">
      <alignment horizontal="left" vertical="center"/>
      <protection locked="0"/>
    </xf>
    <xf numFmtId="164" fontId="18" fillId="3" borderId="51" xfId="0" applyNumberFormat="1" applyFont="1" applyFill="1" applyBorder="1" applyAlignment="1" applyProtection="1">
      <alignment horizontal="center" vertical="center"/>
    </xf>
    <xf numFmtId="49" fontId="18" fillId="3" borderId="53" xfId="0" applyNumberFormat="1" applyFont="1" applyFill="1" applyBorder="1" applyAlignment="1" applyProtection="1">
      <alignment horizontal="left" vertical="center"/>
      <protection locked="0"/>
    </xf>
    <xf numFmtId="164" fontId="18" fillId="3" borderId="53" xfId="0" applyNumberFormat="1" applyFont="1" applyFill="1" applyBorder="1" applyAlignment="1" applyProtection="1">
      <alignment horizontal="center" vertical="center"/>
    </xf>
    <xf numFmtId="49" fontId="19" fillId="3" borderId="12" xfId="0" applyNumberFormat="1" applyFont="1" applyFill="1" applyBorder="1" applyAlignment="1" applyProtection="1">
      <alignment horizontal="left" vertical="center"/>
      <protection locked="0"/>
    </xf>
    <xf numFmtId="164" fontId="19" fillId="3" borderId="12" xfId="0" applyNumberFormat="1" applyFont="1" applyFill="1" applyBorder="1" applyAlignment="1" applyProtection="1">
      <alignment horizontal="center" vertical="center"/>
      <protection locked="0"/>
    </xf>
    <xf numFmtId="49" fontId="18" fillId="2" borderId="224" xfId="0" applyNumberFormat="1" applyFont="1" applyFill="1" applyBorder="1" applyAlignment="1" applyProtection="1">
      <alignment horizontal="fill" vertical="center"/>
      <protection locked="0"/>
    </xf>
    <xf numFmtId="4" fontId="18" fillId="2" borderId="0" xfId="0" applyNumberFormat="1" applyFont="1" applyFill="1" applyBorder="1" applyAlignment="1" applyProtection="1">
      <alignment horizontal="center" vertical="center"/>
      <protection locked="0"/>
    </xf>
    <xf numFmtId="4" fontId="18" fillId="2" borderId="228" xfId="0" applyNumberFormat="1" applyFont="1" applyFill="1" applyBorder="1" applyAlignment="1" applyProtection="1">
      <alignment horizontal="center" vertical="center"/>
      <protection locked="0"/>
    </xf>
    <xf numFmtId="49" fontId="18" fillId="3" borderId="52" xfId="0" applyNumberFormat="1" applyFont="1" applyFill="1" applyBorder="1" applyAlignment="1" applyProtection="1">
      <alignment horizontal="left" vertical="center"/>
      <protection locked="0"/>
    </xf>
    <xf numFmtId="164" fontId="18" fillId="3" borderId="52" xfId="0" applyNumberFormat="1" applyFont="1" applyFill="1" applyBorder="1" applyAlignment="1" applyProtection="1">
      <alignment horizontal="center" vertical="center"/>
    </xf>
    <xf numFmtId="49" fontId="18" fillId="3" borderId="52" xfId="0" quotePrefix="1" applyNumberFormat="1" applyFont="1" applyFill="1" applyBorder="1" applyAlignment="1" applyProtection="1">
      <alignment horizontal="left" vertical="center"/>
      <protection locked="0"/>
    </xf>
    <xf numFmtId="49" fontId="18" fillId="3" borderId="253" xfId="0" quotePrefix="1" applyNumberFormat="1" applyFont="1" applyFill="1" applyBorder="1" applyAlignment="1" applyProtection="1">
      <alignment horizontal="left" vertical="center"/>
      <protection locked="0"/>
    </xf>
    <xf numFmtId="164" fontId="18" fillId="3" borderId="253" xfId="0" applyNumberFormat="1" applyFont="1" applyFill="1" applyBorder="1" applyAlignment="1" applyProtection="1">
      <alignment horizontal="center" vertical="center"/>
    </xf>
    <xf numFmtId="49" fontId="18" fillId="2" borderId="168" xfId="0" applyNumberFormat="1" applyFont="1" applyFill="1" applyBorder="1" applyAlignment="1" applyProtection="1">
      <alignment horizontal="fill" vertical="center"/>
      <protection locked="0"/>
    </xf>
    <xf numFmtId="164" fontId="18" fillId="2" borderId="4" xfId="0" applyNumberFormat="1" applyFont="1" applyFill="1" applyBorder="1" applyAlignment="1" applyProtection="1">
      <alignment horizontal="center" vertical="center"/>
      <protection locked="0"/>
    </xf>
    <xf numFmtId="164" fontId="18" fillId="2" borderId="5" xfId="0" applyNumberFormat="1" applyFont="1" applyFill="1" applyBorder="1" applyAlignment="1" applyProtection="1">
      <alignment horizontal="center" vertical="center"/>
      <protection locked="0"/>
    </xf>
    <xf numFmtId="49" fontId="29" fillId="3" borderId="12" xfId="0" applyNumberFormat="1" applyFont="1" applyFill="1" applyBorder="1" applyAlignment="1" applyProtection="1">
      <alignment horizontal="left" vertical="center"/>
      <protection locked="0"/>
    </xf>
    <xf numFmtId="164" fontId="29" fillId="3" borderId="12" xfId="0" applyNumberFormat="1" applyFont="1" applyFill="1" applyBorder="1" applyAlignment="1" applyProtection="1">
      <alignment horizontal="center" vertical="center"/>
      <protection locked="0"/>
    </xf>
    <xf numFmtId="173" fontId="18" fillId="2" borderId="0" xfId="0" applyNumberFormat="1" applyFont="1" applyFill="1" applyAlignment="1" applyProtection="1">
      <alignment horizontal="fill" vertical="center"/>
      <protection locked="0"/>
    </xf>
    <xf numFmtId="3" fontId="18" fillId="2" borderId="0" xfId="0" applyNumberFormat="1" applyFont="1" applyFill="1" applyAlignment="1" applyProtection="1">
      <alignment horizontal="center" vertical="center"/>
      <protection locked="0"/>
    </xf>
    <xf numFmtId="173" fontId="18" fillId="2" borderId="229" xfId="0" applyNumberFormat="1" applyFont="1" applyFill="1" applyBorder="1" applyAlignment="1">
      <alignment vertical="center"/>
    </xf>
    <xf numFmtId="49" fontId="19" fillId="2" borderId="54" xfId="0" quotePrefix="1" applyNumberFormat="1" applyFont="1" applyFill="1" applyBorder="1" applyAlignment="1" applyProtection="1">
      <alignment horizontal="left" vertical="center"/>
      <protection locked="0"/>
    </xf>
    <xf numFmtId="3" fontId="18" fillId="2" borderId="54" xfId="0" applyNumberFormat="1" applyFont="1" applyFill="1" applyBorder="1" applyAlignment="1" applyProtection="1">
      <alignment horizontal="center" vertical="center"/>
      <protection locked="0"/>
    </xf>
    <xf numFmtId="164" fontId="18" fillId="3" borderId="52" xfId="0" applyNumberFormat="1" applyFont="1" applyFill="1" applyBorder="1" applyAlignment="1">
      <alignment horizontal="center" vertical="center"/>
    </xf>
    <xf numFmtId="164" fontId="18" fillId="3" borderId="52" xfId="0" applyNumberFormat="1" applyFont="1" applyFill="1" applyBorder="1" applyAlignment="1" applyProtection="1">
      <alignment horizontal="center" vertical="center"/>
      <protection locked="0"/>
    </xf>
    <xf numFmtId="49" fontId="18" fillId="3" borderId="52" xfId="0" quotePrefix="1" applyNumberFormat="1" applyFont="1" applyFill="1" applyBorder="1" applyAlignment="1" applyProtection="1">
      <alignment horizontal="left" vertical="center"/>
    </xf>
    <xf numFmtId="49" fontId="18" fillId="3" borderId="253" xfId="0" applyNumberFormat="1" applyFont="1" applyFill="1" applyBorder="1" applyAlignment="1" applyProtection="1">
      <alignment horizontal="left" vertical="center"/>
    </xf>
    <xf numFmtId="49" fontId="19" fillId="3" borderId="12" xfId="0" applyNumberFormat="1" applyFont="1" applyFill="1" applyBorder="1" applyAlignment="1" applyProtection="1">
      <alignment horizontal="center" vertical="center"/>
      <protection locked="0"/>
    </xf>
    <xf numFmtId="49" fontId="19" fillId="2" borderId="229" xfId="0" applyNumberFormat="1" applyFont="1" applyFill="1" applyBorder="1" applyAlignment="1" applyProtection="1">
      <alignment horizontal="center" vertical="center"/>
      <protection locked="0"/>
    </xf>
    <xf numFmtId="164" fontId="18" fillId="2" borderId="296" xfId="0" applyNumberFormat="1" applyFont="1" applyFill="1" applyBorder="1" applyAlignment="1" applyProtection="1">
      <alignment horizontal="center" vertical="center"/>
      <protection locked="0"/>
    </xf>
    <xf numFmtId="164" fontId="18" fillId="2" borderId="7" xfId="0" applyNumberFormat="1" applyFont="1" applyFill="1" applyBorder="1" applyAlignment="1" applyProtection="1">
      <alignment horizontal="center" vertical="center"/>
      <protection locked="0"/>
    </xf>
    <xf numFmtId="164" fontId="18" fillId="2" borderId="297" xfId="0" applyNumberFormat="1" applyFont="1" applyFill="1" applyBorder="1" applyAlignment="1" applyProtection="1">
      <alignment horizontal="center" vertical="center"/>
      <protection locked="0"/>
    </xf>
    <xf numFmtId="49" fontId="19" fillId="2" borderId="224" xfId="0" quotePrefix="1" applyNumberFormat="1" applyFont="1" applyFill="1" applyBorder="1" applyAlignment="1" applyProtection="1">
      <alignment horizontal="left" vertical="center"/>
      <protection locked="0"/>
    </xf>
    <xf numFmtId="164" fontId="18" fillId="2" borderId="0" xfId="0" applyNumberFormat="1" applyFont="1" applyFill="1" applyBorder="1" applyAlignment="1" applyProtection="1">
      <alignment horizontal="center" vertical="center"/>
      <protection locked="0"/>
    </xf>
    <xf numFmtId="164" fontId="18" fillId="2" borderId="228" xfId="0" applyNumberFormat="1" applyFont="1" applyFill="1" applyBorder="1" applyAlignment="1" applyProtection="1">
      <alignment horizontal="center" vertical="center"/>
      <protection locked="0"/>
    </xf>
    <xf numFmtId="49" fontId="18" fillId="3" borderId="253" xfId="0" applyNumberFormat="1" applyFont="1" applyFill="1" applyBorder="1" applyAlignment="1" applyProtection="1">
      <alignment horizontal="left" vertical="center"/>
      <protection locked="0"/>
    </xf>
    <xf numFmtId="164" fontId="18" fillId="3" borderId="253" xfId="0" applyNumberFormat="1" applyFont="1" applyFill="1" applyBorder="1" applyAlignment="1" applyProtection="1">
      <alignment horizontal="center" vertical="center"/>
      <protection locked="0"/>
    </xf>
    <xf numFmtId="49" fontId="19" fillId="3" borderId="12" xfId="0" quotePrefix="1" applyNumberFormat="1" applyFont="1" applyFill="1" applyBorder="1" applyAlignment="1" applyProtection="1">
      <alignment horizontal="center" vertical="center"/>
      <protection locked="0"/>
    </xf>
    <xf numFmtId="164" fontId="19" fillId="3" borderId="12" xfId="0" applyNumberFormat="1" applyFont="1" applyFill="1" applyBorder="1" applyAlignment="1" applyProtection="1">
      <alignment horizontal="center" vertical="center"/>
    </xf>
    <xf numFmtId="49" fontId="18" fillId="2" borderId="229" xfId="0" applyNumberFormat="1" applyFont="1" applyFill="1" applyBorder="1" applyAlignment="1" applyProtection="1">
      <alignment horizontal="fill" vertical="center"/>
      <protection locked="0"/>
    </xf>
    <xf numFmtId="164" fontId="18" fillId="2" borderId="229" xfId="0" applyNumberFormat="1" applyFont="1" applyFill="1" applyBorder="1" applyAlignment="1" applyProtection="1">
      <alignment horizontal="center" vertical="center"/>
    </xf>
    <xf numFmtId="164" fontId="18" fillId="2" borderId="229" xfId="0" applyNumberFormat="1" applyFont="1" applyFill="1" applyBorder="1" applyAlignment="1" applyProtection="1">
      <alignment horizontal="center" vertical="center"/>
      <protection locked="0"/>
    </xf>
    <xf numFmtId="164" fontId="29" fillId="3" borderId="12" xfId="0" applyNumberFormat="1" applyFont="1" applyFill="1" applyBorder="1" applyAlignment="1" applyProtection="1">
      <alignment horizontal="center" vertical="center"/>
    </xf>
    <xf numFmtId="49" fontId="18" fillId="3" borderId="50" xfId="0" applyNumberFormat="1" applyFont="1" applyFill="1" applyBorder="1" applyAlignment="1" applyProtection="1">
      <alignment horizontal="left" vertical="center"/>
      <protection locked="0"/>
    </xf>
    <xf numFmtId="164" fontId="18" fillId="3" borderId="298" xfId="0" applyNumberFormat="1" applyFont="1" applyFill="1" applyBorder="1" applyAlignment="1" applyProtection="1">
      <alignment horizontal="center" vertical="center"/>
      <protection locked="0"/>
    </xf>
    <xf numFmtId="164" fontId="18" fillId="3" borderId="298" xfId="0" applyNumberFormat="1" applyFont="1" applyFill="1" applyBorder="1" applyAlignment="1">
      <alignment horizontal="center" vertical="center"/>
    </xf>
    <xf numFmtId="164" fontId="18" fillId="3" borderId="239" xfId="0" applyNumberFormat="1" applyFont="1" applyFill="1" applyBorder="1" applyAlignment="1" applyProtection="1">
      <alignment horizontal="center" vertical="center"/>
      <protection locked="0"/>
    </xf>
    <xf numFmtId="49" fontId="4" fillId="2" borderId="178" xfId="0" quotePrefix="1" applyNumberFormat="1" applyFont="1" applyFill="1" applyBorder="1" applyAlignment="1" applyProtection="1">
      <alignment horizontal="left"/>
    </xf>
    <xf numFmtId="49" fontId="4" fillId="2" borderId="179" xfId="0" quotePrefix="1" applyNumberFormat="1" applyFont="1" applyFill="1" applyBorder="1" applyAlignment="1" applyProtection="1">
      <alignment horizontal="left"/>
    </xf>
    <xf numFmtId="49" fontId="3" fillId="2" borderId="300" xfId="0" applyNumberFormat="1" applyFont="1" applyFill="1" applyBorder="1" applyAlignment="1" applyProtection="1">
      <alignment horizontal="center" vertical="center"/>
    </xf>
    <xf numFmtId="49" fontId="3" fillId="2" borderId="300" xfId="0" applyNumberFormat="1" applyFont="1" applyFill="1" applyBorder="1" applyAlignment="1" applyProtection="1">
      <alignment vertical="center"/>
    </xf>
    <xf numFmtId="49" fontId="3" fillId="2" borderId="300" xfId="0" applyNumberFormat="1" applyFont="1" applyFill="1" applyBorder="1" applyProtection="1"/>
    <xf numFmtId="49" fontId="3" fillId="2" borderId="301" xfId="0" applyNumberFormat="1" applyFont="1" applyFill="1" applyBorder="1" applyAlignment="1" applyProtection="1">
      <alignment horizontal="center" vertical="center"/>
    </xf>
    <xf numFmtId="49" fontId="3" fillId="2" borderId="303" xfId="0" applyNumberFormat="1" applyFont="1" applyFill="1" applyBorder="1" applyAlignment="1" applyProtection="1">
      <alignment horizontal="center" vertical="center"/>
    </xf>
    <xf numFmtId="49" fontId="3" fillId="2" borderId="303" xfId="0" applyNumberFormat="1" applyFont="1" applyFill="1" applyBorder="1" applyAlignment="1" applyProtection="1">
      <alignment vertical="center"/>
    </xf>
    <xf numFmtId="49" fontId="3" fillId="2" borderId="303" xfId="0" applyNumberFormat="1" applyFont="1" applyFill="1" applyBorder="1" applyProtection="1"/>
    <xf numFmtId="49" fontId="3" fillId="2" borderId="304" xfId="0" applyNumberFormat="1" applyFont="1" applyFill="1" applyBorder="1" applyAlignment="1" applyProtection="1">
      <alignment horizontal="center" vertical="center"/>
    </xf>
    <xf numFmtId="49" fontId="3" fillId="2" borderId="306" xfId="0" applyNumberFormat="1" applyFont="1" applyFill="1" applyBorder="1" applyAlignment="1" applyProtection="1">
      <alignment horizontal="center" vertical="center"/>
    </xf>
    <xf numFmtId="49" fontId="3" fillId="2" borderId="307" xfId="0" applyNumberFormat="1" applyFont="1" applyFill="1" applyBorder="1" applyAlignment="1" applyProtection="1">
      <alignment horizontal="center" vertical="center"/>
    </xf>
    <xf numFmtId="49" fontId="3" fillId="2" borderId="306" xfId="0" applyNumberFormat="1" applyFont="1" applyFill="1" applyBorder="1" applyProtection="1"/>
    <xf numFmtId="0" fontId="3" fillId="2" borderId="305" xfId="0" applyNumberFormat="1" applyFont="1" applyFill="1" applyBorder="1" applyAlignment="1">
      <alignment horizontal="center"/>
    </xf>
    <xf numFmtId="0" fontId="3" fillId="2" borderId="306" xfId="0" applyNumberFormat="1" applyFont="1" applyFill="1" applyBorder="1" applyAlignment="1">
      <alignment horizontal="center"/>
    </xf>
    <xf numFmtId="4" fontId="3" fillId="2" borderId="306" xfId="0" applyNumberFormat="1" applyFont="1" applyFill="1" applyBorder="1" applyAlignment="1" applyProtection="1">
      <alignment horizontal="center"/>
    </xf>
    <xf numFmtId="4" fontId="3" fillId="2" borderId="306" xfId="0" applyNumberFormat="1" applyFont="1" applyFill="1" applyBorder="1" applyAlignment="1" applyProtection="1">
      <alignment horizontal="center"/>
      <protection locked="0"/>
    </xf>
    <xf numFmtId="4" fontId="3" fillId="2" borderId="307" xfId="0" applyNumberFormat="1" applyFont="1" applyFill="1" applyBorder="1" applyAlignment="1" applyProtection="1">
      <alignment horizontal="center"/>
    </xf>
    <xf numFmtId="0" fontId="3" fillId="2" borderId="308" xfId="0" applyNumberFormat="1" applyFont="1" applyFill="1" applyBorder="1" applyAlignment="1">
      <alignment horizontal="center"/>
    </xf>
    <xf numFmtId="0" fontId="3" fillId="2" borderId="309" xfId="0" applyNumberFormat="1" applyFont="1" applyFill="1" applyBorder="1" applyAlignment="1">
      <alignment horizontal="center"/>
    </xf>
    <xf numFmtId="4" fontId="3" fillId="2" borderId="309" xfId="0" applyNumberFormat="1" applyFont="1" applyFill="1" applyBorder="1" applyAlignment="1" applyProtection="1">
      <alignment horizontal="center"/>
    </xf>
    <xf numFmtId="4" fontId="3" fillId="2" borderId="309" xfId="0" applyNumberFormat="1" applyFont="1" applyFill="1" applyBorder="1" applyAlignment="1" applyProtection="1">
      <alignment horizontal="center"/>
      <protection locked="0"/>
    </xf>
    <xf numFmtId="4" fontId="3" fillId="2" borderId="310" xfId="0" applyNumberFormat="1" applyFont="1" applyFill="1" applyBorder="1" applyAlignment="1" applyProtection="1">
      <alignment horizontal="center"/>
    </xf>
    <xf numFmtId="0" fontId="3" fillId="11" borderId="311" xfId="0" applyFont="1" applyFill="1" applyBorder="1"/>
    <xf numFmtId="4" fontId="26" fillId="2" borderId="0" xfId="0" applyNumberFormat="1" applyFont="1" applyFill="1"/>
    <xf numFmtId="0" fontId="4" fillId="2" borderId="118" xfId="0" applyFont="1" applyFill="1" applyBorder="1" applyAlignment="1">
      <alignment horizontal="center"/>
    </xf>
    <xf numFmtId="1" fontId="4" fillId="11" borderId="314" xfId="0" applyNumberFormat="1" applyFont="1" applyFill="1" applyBorder="1"/>
    <xf numFmtId="174" fontId="3" fillId="11" borderId="315" xfId="0" applyNumberFormat="1" applyFont="1" applyFill="1" applyBorder="1" applyAlignment="1">
      <alignment horizontal="right"/>
    </xf>
    <xf numFmtId="174" fontId="3" fillId="11" borderId="316" xfId="0" applyNumberFormat="1" applyFont="1" applyFill="1" applyBorder="1" applyAlignment="1">
      <alignment horizontal="right"/>
    </xf>
    <xf numFmtId="0" fontId="3" fillId="2" borderId="118" xfId="0" applyFont="1" applyFill="1" applyBorder="1" applyAlignment="1">
      <alignment horizontal="center"/>
    </xf>
    <xf numFmtId="1" fontId="4" fillId="2" borderId="118" xfId="0" applyNumberFormat="1" applyFont="1" applyFill="1" applyBorder="1" applyAlignment="1">
      <alignment horizontal="center"/>
    </xf>
    <xf numFmtId="4" fontId="3" fillId="2" borderId="118" xfId="0" applyNumberFormat="1" applyFont="1" applyFill="1" applyBorder="1"/>
    <xf numFmtId="1" fontId="4" fillId="11" borderId="317" xfId="0" applyNumberFormat="1" applyFont="1" applyFill="1" applyBorder="1"/>
    <xf numFmtId="174" fontId="3" fillId="11" borderId="318" xfId="0" applyNumberFormat="1" applyFont="1" applyFill="1" applyBorder="1" applyAlignment="1">
      <alignment horizontal="right"/>
    </xf>
    <xf numFmtId="174" fontId="3" fillId="11" borderId="319" xfId="0" applyNumberFormat="1" applyFont="1" applyFill="1" applyBorder="1" applyAlignment="1">
      <alignment horizontal="right"/>
    </xf>
    <xf numFmtId="1" fontId="4" fillId="11" borderId="320" xfId="0" applyNumberFormat="1" applyFont="1" applyFill="1" applyBorder="1"/>
    <xf numFmtId="4" fontId="3" fillId="0" borderId="0" xfId="0" applyNumberFormat="1" applyFont="1"/>
    <xf numFmtId="0" fontId="4" fillId="2" borderId="321" xfId="0" applyFont="1" applyFill="1" applyBorder="1" applyAlignment="1" applyProtection="1">
      <alignment horizontal="left"/>
      <protection locked="0"/>
    </xf>
    <xf numFmtId="0" fontId="4" fillId="2" borderId="322" xfId="0" applyFont="1" applyFill="1" applyBorder="1" applyProtection="1">
      <protection locked="0"/>
    </xf>
    <xf numFmtId="0" fontId="18" fillId="2" borderId="323" xfId="0" applyFont="1" applyFill="1" applyBorder="1" applyAlignment="1" applyProtection="1">
      <alignment horizontal="center"/>
      <protection locked="0"/>
    </xf>
    <xf numFmtId="1" fontId="19" fillId="2" borderId="323" xfId="0" applyNumberFormat="1" applyFont="1" applyFill="1" applyBorder="1" applyAlignment="1" applyProtection="1">
      <alignment horizontal="center" vertical="center"/>
      <protection locked="0"/>
    </xf>
    <xf numFmtId="0" fontId="18" fillId="2" borderId="105" xfId="0" applyFont="1" applyFill="1" applyBorder="1" applyAlignment="1" applyProtection="1">
      <alignment horizontal="left"/>
      <protection locked="0"/>
    </xf>
    <xf numFmtId="4" fontId="3" fillId="2" borderId="0" xfId="0" applyNumberFormat="1" applyFont="1" applyFill="1"/>
    <xf numFmtId="164" fontId="18" fillId="2" borderId="325" xfId="0" applyNumberFormat="1" applyFont="1" applyFill="1" applyBorder="1" applyProtection="1">
      <protection locked="0"/>
    </xf>
    <xf numFmtId="164" fontId="18" fillId="2" borderId="306" xfId="0" applyNumberFormat="1" applyFont="1" applyFill="1" applyBorder="1" applyProtection="1">
      <protection locked="0"/>
    </xf>
    <xf numFmtId="49" fontId="4" fillId="2" borderId="329" xfId="0" quotePrefix="1" applyNumberFormat="1" applyFont="1" applyFill="1" applyBorder="1" applyAlignment="1">
      <alignment horizontal="left" vertical="center"/>
    </xf>
    <xf numFmtId="4" fontId="3" fillId="4" borderId="330" xfId="0" applyNumberFormat="1" applyFont="1" applyFill="1" applyBorder="1" applyAlignment="1" applyProtection="1">
      <alignment horizontal="right" vertical="center"/>
    </xf>
    <xf numFmtId="4" fontId="3" fillId="4" borderId="331" xfId="0" applyNumberFormat="1" applyFont="1" applyFill="1" applyBorder="1" applyAlignment="1" applyProtection="1">
      <alignment horizontal="center" vertical="center"/>
    </xf>
    <xf numFmtId="164" fontId="3" fillId="3" borderId="247" xfId="0" applyNumberFormat="1" applyFont="1" applyFill="1" applyBorder="1" applyAlignment="1" applyProtection="1">
      <alignment horizontal="right" vertical="center"/>
    </xf>
    <xf numFmtId="164" fontId="3" fillId="3" borderId="262" xfId="0" applyNumberFormat="1" applyFont="1" applyFill="1" applyBorder="1" applyAlignment="1" applyProtection="1">
      <alignment horizontal="right" vertical="center"/>
    </xf>
    <xf numFmtId="4" fontId="3" fillId="4" borderId="330" xfId="0" applyNumberFormat="1" applyFont="1" applyFill="1" applyBorder="1" applyAlignment="1" applyProtection="1">
      <alignment horizontal="right" vertical="center"/>
      <protection locked="0"/>
    </xf>
    <xf numFmtId="4" fontId="3" fillId="4" borderId="332" xfId="0" applyNumberFormat="1" applyFont="1" applyFill="1" applyBorder="1" applyAlignment="1" applyProtection="1">
      <alignment horizontal="right" vertical="center"/>
      <protection locked="0"/>
    </xf>
    <xf numFmtId="4" fontId="3" fillId="4" borderId="333" xfId="0" applyNumberFormat="1" applyFont="1" applyFill="1" applyBorder="1" applyAlignment="1" applyProtection="1">
      <alignment horizontal="center" vertical="center"/>
      <protection locked="0"/>
    </xf>
    <xf numFmtId="49" fontId="4" fillId="2" borderId="334" xfId="0" applyNumberFormat="1" applyFont="1" applyFill="1" applyBorder="1" applyAlignment="1">
      <alignment horizontal="left" vertical="center"/>
    </xf>
    <xf numFmtId="4" fontId="4" fillId="4" borderId="335" xfId="0" applyNumberFormat="1" applyFont="1" applyFill="1" applyBorder="1" applyAlignment="1" applyProtection="1">
      <alignment horizontal="right" vertical="center"/>
    </xf>
    <xf numFmtId="4" fontId="4" fillId="4" borderId="322" xfId="0" applyNumberFormat="1" applyFont="1" applyFill="1" applyBorder="1" applyAlignment="1" applyProtection="1">
      <alignment horizontal="center" vertical="center"/>
    </xf>
    <xf numFmtId="164" fontId="4" fillId="3" borderId="247" xfId="0" applyNumberFormat="1" applyFont="1" applyFill="1" applyBorder="1" applyAlignment="1" applyProtection="1">
      <alignment horizontal="right" vertical="center"/>
    </xf>
    <xf numFmtId="164" fontId="4" fillId="3" borderId="109" xfId="0" applyNumberFormat="1" applyFont="1" applyFill="1" applyBorder="1" applyAlignment="1" applyProtection="1">
      <alignment horizontal="right" vertical="center"/>
    </xf>
    <xf numFmtId="164" fontId="4" fillId="3" borderId="262" xfId="0" applyNumberFormat="1" applyFont="1" applyFill="1" applyBorder="1" applyAlignment="1" applyProtection="1">
      <alignment horizontal="right" vertical="center"/>
    </xf>
    <xf numFmtId="164" fontId="3" fillId="3" borderId="336" xfId="0" applyNumberFormat="1" applyFont="1" applyFill="1" applyBorder="1" applyAlignment="1" applyProtection="1">
      <alignment horizontal="right" vertical="center"/>
    </xf>
    <xf numFmtId="164" fontId="3" fillId="3" borderId="337" xfId="0" applyNumberFormat="1" applyFont="1" applyFill="1" applyBorder="1" applyAlignment="1" applyProtection="1">
      <alignment horizontal="right" vertical="center"/>
    </xf>
    <xf numFmtId="164" fontId="3" fillId="3" borderId="338" xfId="0" applyNumberFormat="1" applyFont="1" applyFill="1" applyBorder="1" applyAlignment="1" applyProtection="1">
      <alignment horizontal="right" vertical="center"/>
    </xf>
    <xf numFmtId="164" fontId="3" fillId="3" borderId="193" xfId="0" applyNumberFormat="1" applyFont="1" applyFill="1" applyBorder="1" applyAlignment="1" applyProtection="1">
      <alignment horizontal="right" vertical="center"/>
      <protection locked="0"/>
    </xf>
    <xf numFmtId="164" fontId="4" fillId="3" borderId="336" xfId="0" applyNumberFormat="1" applyFont="1" applyFill="1" applyBorder="1" applyAlignment="1" applyProtection="1">
      <alignment horizontal="right" vertical="center"/>
    </xf>
    <xf numFmtId="164" fontId="4" fillId="3" borderId="337" xfId="0" applyNumberFormat="1" applyFont="1" applyFill="1" applyBorder="1" applyAlignment="1" applyProtection="1">
      <alignment horizontal="right" vertical="center"/>
    </xf>
    <xf numFmtId="164" fontId="4" fillId="3" borderId="338" xfId="0" applyNumberFormat="1" applyFont="1" applyFill="1" applyBorder="1" applyAlignment="1" applyProtection="1">
      <alignment horizontal="right" vertical="center"/>
    </xf>
    <xf numFmtId="164" fontId="4" fillId="3" borderId="339" xfId="0" applyNumberFormat="1" applyFont="1" applyFill="1" applyBorder="1" applyAlignment="1" applyProtection="1">
      <alignment horizontal="right" vertical="center"/>
    </xf>
    <xf numFmtId="164" fontId="4" fillId="3" borderId="323" xfId="0" applyNumberFormat="1" applyFont="1" applyFill="1" applyBorder="1" applyAlignment="1" applyProtection="1">
      <alignment horizontal="right" vertical="center"/>
    </xf>
    <xf numFmtId="164" fontId="4" fillId="3" borderId="340" xfId="0" applyNumberFormat="1" applyFont="1" applyFill="1" applyBorder="1" applyAlignment="1" applyProtection="1">
      <alignment horizontal="right" vertical="center"/>
    </xf>
    <xf numFmtId="49" fontId="4" fillId="2" borderId="178" xfId="0" applyNumberFormat="1" applyFont="1" applyFill="1" applyBorder="1" applyAlignment="1">
      <alignment horizontal="right" vertical="center"/>
    </xf>
    <xf numFmtId="49" fontId="4" fillId="2" borderId="179" xfId="0" applyNumberFormat="1" applyFont="1" applyFill="1" applyBorder="1" applyAlignment="1">
      <alignment horizontal="right" vertical="center"/>
    </xf>
    <xf numFmtId="49" fontId="4" fillId="2" borderId="180" xfId="0" applyNumberFormat="1" applyFont="1" applyFill="1" applyBorder="1" applyAlignment="1">
      <alignment horizontal="right" vertical="center"/>
    </xf>
    <xf numFmtId="164" fontId="18" fillId="3" borderId="324" xfId="0" applyNumberFormat="1" applyFont="1" applyFill="1" applyBorder="1" applyProtection="1"/>
    <xf numFmtId="164" fontId="18" fillId="3" borderId="325" xfId="0" applyNumberFormat="1" applyFont="1" applyFill="1" applyBorder="1" applyProtection="1">
      <protection locked="0"/>
    </xf>
    <xf numFmtId="164" fontId="18" fillId="3" borderId="324" xfId="0" applyNumberFormat="1" applyFont="1" applyFill="1" applyBorder="1" applyProtection="1">
      <protection locked="0"/>
    </xf>
    <xf numFmtId="164" fontId="3" fillId="3" borderId="325" xfId="0" applyNumberFormat="1" applyFont="1" applyFill="1" applyBorder="1" applyProtection="1">
      <protection locked="0"/>
    </xf>
    <xf numFmtId="164" fontId="3" fillId="3" borderId="341" xfId="0" applyNumberFormat="1" applyFont="1" applyFill="1" applyBorder="1" applyProtection="1">
      <protection locked="0"/>
    </xf>
    <xf numFmtId="164" fontId="18" fillId="3" borderId="341" xfId="0" applyNumberFormat="1" applyFont="1" applyFill="1" applyBorder="1" applyProtection="1">
      <protection locked="0"/>
    </xf>
    <xf numFmtId="164" fontId="18" fillId="3" borderId="342" xfId="0" applyNumberFormat="1" applyFont="1" applyFill="1" applyBorder="1" applyProtection="1"/>
    <xf numFmtId="164" fontId="19" fillId="3" borderId="326" xfId="0" applyNumberFormat="1" applyFont="1" applyFill="1" applyBorder="1" applyProtection="1">
      <protection locked="0"/>
    </xf>
    <xf numFmtId="164" fontId="4" fillId="3" borderId="326" xfId="0" applyNumberFormat="1" applyFont="1" applyFill="1" applyBorder="1" applyProtection="1">
      <protection locked="0"/>
    </xf>
    <xf numFmtId="164" fontId="29" fillId="3" borderId="326" xfId="0" applyNumberFormat="1" applyFont="1" applyFill="1" applyBorder="1" applyProtection="1">
      <protection locked="0"/>
    </xf>
    <xf numFmtId="164" fontId="18" fillId="0" borderId="324" xfId="0" applyNumberFormat="1" applyFont="1" applyFill="1" applyBorder="1" applyProtection="1">
      <protection locked="0"/>
    </xf>
    <xf numFmtId="0" fontId="18" fillId="3" borderId="326" xfId="0" applyFont="1" applyFill="1" applyBorder="1" applyAlignment="1" applyProtection="1">
      <protection locked="0"/>
    </xf>
    <xf numFmtId="164" fontId="18" fillId="2" borderId="343" xfId="0" applyNumberFormat="1" applyFont="1" applyFill="1" applyBorder="1" applyProtection="1"/>
    <xf numFmtId="164" fontId="18" fillId="3" borderId="344" xfId="0" applyNumberFormat="1" applyFont="1" applyFill="1" applyBorder="1" applyAlignment="1" applyProtection="1">
      <alignment horizontal="fill"/>
      <protection locked="0"/>
    </xf>
    <xf numFmtId="164" fontId="18" fillId="3" borderId="343" xfId="0" applyNumberFormat="1" applyFont="1" applyFill="1" applyBorder="1" applyAlignment="1" applyProtection="1">
      <alignment horizontal="fill"/>
      <protection locked="0"/>
    </xf>
    <xf numFmtId="164" fontId="4" fillId="3" borderId="345" xfId="0" applyNumberFormat="1" applyFont="1" applyFill="1" applyBorder="1" applyProtection="1">
      <protection locked="0"/>
    </xf>
    <xf numFmtId="164" fontId="18" fillId="3" borderId="110" xfId="0" applyNumberFormat="1" applyFont="1" applyFill="1" applyBorder="1" applyProtection="1"/>
    <xf numFmtId="164" fontId="19" fillId="3" borderId="345" xfId="0" applyNumberFormat="1" applyFont="1" applyFill="1" applyBorder="1" applyProtection="1">
      <protection locked="0"/>
    </xf>
    <xf numFmtId="164" fontId="18" fillId="3" borderId="328" xfId="0" applyNumberFormat="1" applyFont="1" applyFill="1" applyBorder="1" applyProtection="1">
      <protection locked="0"/>
    </xf>
    <xf numFmtId="164" fontId="18" fillId="3" borderId="346" xfId="0" applyNumberFormat="1" applyFont="1" applyFill="1" applyBorder="1" applyProtection="1">
      <protection locked="0"/>
    </xf>
    <xf numFmtId="164" fontId="18" fillId="3" borderId="347" xfId="0" applyNumberFormat="1" applyFont="1" applyFill="1" applyBorder="1" applyProtection="1">
      <protection locked="0"/>
    </xf>
    <xf numFmtId="164" fontId="3" fillId="3" borderId="328" xfId="0" applyNumberFormat="1" applyFont="1" applyFill="1" applyBorder="1" applyProtection="1">
      <protection locked="0"/>
    </xf>
    <xf numFmtId="164" fontId="3" fillId="3" borderId="346" xfId="0" applyNumberFormat="1" applyFont="1" applyFill="1" applyBorder="1" applyProtection="1">
      <protection locked="0"/>
    </xf>
    <xf numFmtId="164" fontId="18" fillId="3" borderId="347" xfId="0" applyNumberFormat="1" applyFont="1" applyFill="1" applyBorder="1" applyProtection="1"/>
    <xf numFmtId="164" fontId="29" fillId="3" borderId="345" xfId="0" applyNumberFormat="1" applyFont="1" applyFill="1" applyBorder="1" applyProtection="1">
      <protection locked="0"/>
    </xf>
    <xf numFmtId="164" fontId="18" fillId="0" borderId="347" xfId="0" applyNumberFormat="1" applyFont="1" applyFill="1" applyBorder="1" applyProtection="1">
      <protection locked="0"/>
    </xf>
    <xf numFmtId="164" fontId="18" fillId="2" borderId="348" xfId="0" applyNumberFormat="1" applyFont="1" applyFill="1" applyBorder="1" applyProtection="1">
      <protection locked="0"/>
    </xf>
    <xf numFmtId="164" fontId="18" fillId="3" borderId="345" xfId="0" applyNumberFormat="1" applyFont="1" applyFill="1" applyBorder="1" applyAlignment="1" applyProtection="1">
      <alignment horizontal="fill"/>
      <protection locked="0"/>
    </xf>
    <xf numFmtId="164" fontId="18" fillId="3" borderId="343" xfId="0" applyNumberFormat="1" applyFont="1" applyFill="1" applyBorder="1" applyProtection="1"/>
    <xf numFmtId="164" fontId="29" fillId="3" borderId="343" xfId="0" applyNumberFormat="1" applyFont="1" applyFill="1" applyBorder="1" applyProtection="1">
      <protection locked="0"/>
    </xf>
    <xf numFmtId="164" fontId="18" fillId="0" borderId="341" xfId="0" applyNumberFormat="1" applyFont="1" applyFill="1" applyBorder="1" applyProtection="1">
      <protection locked="0"/>
    </xf>
    <xf numFmtId="164" fontId="18" fillId="0" borderId="328" xfId="0" applyNumberFormat="1" applyFont="1" applyFill="1" applyBorder="1" applyProtection="1">
      <protection locked="0"/>
    </xf>
    <xf numFmtId="164" fontId="18" fillId="3" borderId="341" xfId="0" applyNumberFormat="1" applyFont="1" applyFill="1" applyBorder="1" applyProtection="1"/>
    <xf numFmtId="164" fontId="18" fillId="3" borderId="328" xfId="0" applyNumberFormat="1" applyFont="1" applyFill="1" applyBorder="1" applyProtection="1"/>
    <xf numFmtId="164" fontId="19" fillId="3" borderId="343" xfId="0" applyNumberFormat="1" applyFont="1" applyFill="1" applyBorder="1" applyAlignment="1" applyProtection="1">
      <protection locked="0"/>
    </xf>
    <xf numFmtId="164" fontId="19" fillId="3" borderId="343" xfId="0" applyNumberFormat="1" applyFont="1" applyFill="1" applyBorder="1" applyProtection="1">
      <protection locked="0"/>
    </xf>
    <xf numFmtId="164" fontId="18" fillId="14" borderId="349" xfId="0" applyNumberFormat="1" applyFont="1" applyFill="1" applyBorder="1" applyProtection="1"/>
    <xf numFmtId="164" fontId="18" fillId="14" borderId="343" xfId="0" applyNumberFormat="1" applyFont="1" applyFill="1" applyBorder="1" applyProtection="1"/>
    <xf numFmtId="164" fontId="18" fillId="14" borderId="327" xfId="0" applyNumberFormat="1" applyFont="1" applyFill="1" applyBorder="1" applyProtection="1"/>
    <xf numFmtId="164" fontId="18" fillId="14" borderId="113" xfId="0" applyNumberFormat="1" applyFont="1" applyFill="1" applyBorder="1" applyProtection="1"/>
    <xf numFmtId="164" fontId="29" fillId="14" borderId="343" xfId="0" applyNumberFormat="1" applyFont="1" applyFill="1" applyBorder="1" applyProtection="1">
      <protection locked="0"/>
    </xf>
    <xf numFmtId="164" fontId="19" fillId="14" borderId="343" xfId="0" applyNumberFormat="1" applyFont="1" applyFill="1" applyBorder="1" applyAlignment="1" applyProtection="1"/>
    <xf numFmtId="164" fontId="19" fillId="14" borderId="343" xfId="0" applyNumberFormat="1" applyFont="1" applyFill="1" applyBorder="1" applyProtection="1"/>
    <xf numFmtId="164" fontId="18" fillId="14" borderId="350" xfId="0" applyNumberFormat="1" applyFont="1" applyFill="1" applyBorder="1" applyProtection="1"/>
    <xf numFmtId="1" fontId="19" fillId="2" borderId="343" xfId="0" applyNumberFormat="1" applyFont="1" applyFill="1" applyBorder="1" applyAlignment="1" applyProtection="1">
      <alignment horizontal="center" vertical="center"/>
      <protection locked="0"/>
    </xf>
    <xf numFmtId="0" fontId="19" fillId="14" borderId="343" xfId="0" applyFont="1" applyFill="1" applyBorder="1" applyAlignment="1" applyProtection="1">
      <alignment horizontal="center" vertical="center"/>
      <protection locked="0"/>
    </xf>
    <xf numFmtId="164" fontId="4" fillId="14" borderId="343" xfId="0" applyNumberFormat="1" applyFont="1" applyFill="1" applyBorder="1" applyProtection="1">
      <protection locked="0"/>
    </xf>
    <xf numFmtId="164" fontId="19" fillId="14" borderId="343" xfId="0" applyNumberFormat="1" applyFont="1" applyFill="1" applyBorder="1" applyProtection="1">
      <protection locked="0"/>
    </xf>
    <xf numFmtId="164" fontId="3" fillId="3" borderId="324" xfId="0" applyNumberFormat="1" applyFont="1" applyFill="1" applyBorder="1" applyProtection="1">
      <protection locked="0"/>
    </xf>
    <xf numFmtId="164" fontId="3" fillId="3" borderId="347" xfId="0" applyNumberFormat="1" applyFont="1" applyFill="1" applyBorder="1" applyProtection="1">
      <protection locked="0"/>
    </xf>
    <xf numFmtId="0" fontId="19" fillId="3" borderId="113" xfId="0" applyFont="1" applyFill="1" applyBorder="1" applyAlignment="1" applyProtection="1">
      <alignment horizontal="left"/>
      <protection locked="0"/>
    </xf>
    <xf numFmtId="0" fontId="18" fillId="2" borderId="343" xfId="0" applyFont="1" applyFill="1" applyBorder="1" applyAlignment="1" applyProtection="1">
      <alignment horizontal="left"/>
      <protection locked="0"/>
    </xf>
    <xf numFmtId="0" fontId="18" fillId="2" borderId="343" xfId="0" quotePrefix="1" applyFont="1" applyFill="1" applyBorder="1" applyAlignment="1" applyProtection="1">
      <alignment horizontal="left"/>
      <protection locked="0"/>
    </xf>
    <xf numFmtId="0" fontId="18" fillId="2" borderId="337" xfId="0" applyFont="1" applyFill="1" applyBorder="1" applyAlignment="1" applyProtection="1">
      <alignment horizontal="left"/>
      <protection locked="0"/>
    </xf>
    <xf numFmtId="0" fontId="18" fillId="2" borderId="117" xfId="0" applyFont="1" applyFill="1" applyBorder="1" applyAlignment="1" applyProtection="1">
      <alignment horizontal="left"/>
      <protection locked="0"/>
    </xf>
    <xf numFmtId="0" fontId="18" fillId="2" borderId="109" xfId="0" applyFont="1" applyFill="1" applyBorder="1" applyAlignment="1" applyProtection="1">
      <alignment horizontal="left"/>
      <protection locked="0"/>
    </xf>
    <xf numFmtId="0" fontId="18" fillId="2" borderId="117" xfId="0" quotePrefix="1" applyFont="1" applyFill="1" applyBorder="1" applyAlignment="1" applyProtection="1">
      <alignment horizontal="left"/>
      <protection locked="0"/>
    </xf>
    <xf numFmtId="164" fontId="3" fillId="0" borderId="52" xfId="0" applyNumberFormat="1" applyFont="1" applyFill="1" applyBorder="1" applyAlignment="1">
      <alignment vertical="center"/>
    </xf>
    <xf numFmtId="164" fontId="3" fillId="0" borderId="53" xfId="0" applyNumberFormat="1" applyFont="1" applyFill="1" applyBorder="1" applyAlignment="1">
      <alignment vertical="center"/>
    </xf>
    <xf numFmtId="164" fontId="3" fillId="0" borderId="51" xfId="0" applyNumberFormat="1" applyFont="1" applyFill="1" applyBorder="1" applyAlignment="1">
      <alignment vertical="center"/>
    </xf>
    <xf numFmtId="169" fontId="4" fillId="3" borderId="118" xfId="3" applyNumberFormat="1" applyFont="1" applyFill="1" applyBorder="1" applyAlignment="1">
      <alignment vertical="center"/>
    </xf>
    <xf numFmtId="164" fontId="11" fillId="0" borderId="1" xfId="0" applyNumberFormat="1" applyFont="1" applyFill="1" applyBorder="1" applyAlignment="1">
      <alignment vertical="center"/>
    </xf>
    <xf numFmtId="164" fontId="3" fillId="0" borderId="1" xfId="3" applyNumberFormat="1" applyFont="1" applyFill="1" applyBorder="1" applyAlignment="1">
      <alignment horizontal="center" vertical="center"/>
    </xf>
    <xf numFmtId="3" fontId="3" fillId="14" borderId="99" xfId="0" applyNumberFormat="1" applyFont="1" applyFill="1" applyBorder="1" applyAlignment="1" applyProtection="1">
      <alignment horizontal="right" vertical="center"/>
    </xf>
    <xf numFmtId="3" fontId="3" fillId="14" borderId="103" xfId="0" applyNumberFormat="1" applyFont="1" applyFill="1" applyBorder="1" applyAlignment="1" applyProtection="1">
      <alignment horizontal="right" vertical="center"/>
    </xf>
    <xf numFmtId="164" fontId="3" fillId="14" borderId="154" xfId="0" applyNumberFormat="1" applyFont="1" applyFill="1" applyBorder="1" applyAlignment="1" applyProtection="1">
      <alignment horizontal="right" vertical="center"/>
      <protection locked="0"/>
    </xf>
    <xf numFmtId="164" fontId="3" fillId="14" borderId="157" xfId="0" applyNumberFormat="1" applyFont="1" applyFill="1" applyBorder="1" applyAlignment="1" applyProtection="1">
      <alignment horizontal="right" vertical="center"/>
      <protection locked="0"/>
    </xf>
    <xf numFmtId="164" fontId="3" fillId="14" borderId="160" xfId="0" applyNumberFormat="1" applyFont="1" applyFill="1" applyBorder="1" applyAlignment="1" applyProtection="1">
      <alignment horizontal="right" vertical="center"/>
      <protection locked="0"/>
    </xf>
    <xf numFmtId="164" fontId="4" fillId="14" borderId="111" xfId="0" applyNumberFormat="1" applyFont="1" applyFill="1" applyBorder="1" applyAlignment="1" applyProtection="1">
      <alignment horizontal="center" vertical="center"/>
    </xf>
    <xf numFmtId="164" fontId="4" fillId="14" borderId="167" xfId="0" applyNumberFormat="1" applyFont="1" applyFill="1" applyBorder="1" applyAlignment="1" applyProtection="1">
      <alignment horizontal="center" vertical="center"/>
      <protection locked="0"/>
    </xf>
    <xf numFmtId="4" fontId="3" fillId="14" borderId="167" xfId="0" applyNumberFormat="1" applyFont="1" applyFill="1" applyBorder="1" applyAlignment="1" applyProtection="1">
      <alignment horizontal="right" vertical="center"/>
      <protection locked="0"/>
    </xf>
    <xf numFmtId="4" fontId="3" fillId="14" borderId="97" xfId="0" applyNumberFormat="1" applyFont="1" applyFill="1" applyBorder="1" applyAlignment="1" applyProtection="1">
      <alignment horizontal="right" vertical="center"/>
      <protection locked="0"/>
    </xf>
    <xf numFmtId="164" fontId="4" fillId="14" borderId="121" xfId="0" applyNumberFormat="1" applyFont="1" applyFill="1" applyBorder="1" applyAlignment="1" applyProtection="1">
      <alignment horizontal="right" vertical="center"/>
      <protection locked="0"/>
    </xf>
    <xf numFmtId="164" fontId="3" fillId="14" borderId="174" xfId="0" applyNumberFormat="1" applyFont="1" applyFill="1" applyBorder="1" applyAlignment="1" applyProtection="1">
      <alignment horizontal="right" vertical="center"/>
      <protection locked="0"/>
    </xf>
    <xf numFmtId="164" fontId="3" fillId="14" borderId="107" xfId="0" applyNumberFormat="1" applyFont="1" applyFill="1" applyBorder="1" applyAlignment="1" applyProtection="1">
      <alignment horizontal="right" vertical="center"/>
      <protection locked="0"/>
    </xf>
    <xf numFmtId="164" fontId="3" fillId="14" borderId="115" xfId="0" applyNumberFormat="1" applyFont="1" applyFill="1" applyBorder="1" applyAlignment="1" applyProtection="1">
      <alignment horizontal="right" vertical="center"/>
      <protection locked="0"/>
    </xf>
    <xf numFmtId="164" fontId="3" fillId="14" borderId="121" xfId="0" applyNumberFormat="1" applyFont="1" applyFill="1" applyBorder="1" applyAlignment="1" applyProtection="1">
      <alignment horizontal="right" vertical="center"/>
      <protection locked="0"/>
    </xf>
    <xf numFmtId="164" fontId="4" fillId="14" borderId="121" xfId="0" applyNumberFormat="1" applyFont="1" applyFill="1" applyBorder="1" applyAlignment="1" applyProtection="1">
      <alignment horizontal="right" vertical="center"/>
    </xf>
    <xf numFmtId="164" fontId="3" fillId="14" borderId="124" xfId="0" applyNumberFormat="1" applyFont="1" applyFill="1" applyBorder="1" applyAlignment="1" applyProtection="1">
      <alignment horizontal="right" vertical="center"/>
    </xf>
    <xf numFmtId="164" fontId="3" fillId="14" borderId="107" xfId="0" applyNumberFormat="1" applyFont="1" applyFill="1" applyBorder="1" applyAlignment="1" applyProtection="1">
      <alignment horizontal="right" vertical="center"/>
    </xf>
    <xf numFmtId="0" fontId="8" fillId="2" borderId="0" xfId="0" applyFont="1" applyFill="1" applyBorder="1" applyAlignment="1">
      <alignment horizontal="center" vertical="center"/>
    </xf>
    <xf numFmtId="0" fontId="6" fillId="0" borderId="0" xfId="0" applyFont="1"/>
    <xf numFmtId="0" fontId="6" fillId="16" borderId="353" xfId="0" applyFont="1" applyFill="1" applyBorder="1"/>
    <xf numFmtId="0" fontId="6" fillId="0" borderId="354" xfId="0" applyFont="1" applyBorder="1"/>
    <xf numFmtId="2" fontId="6" fillId="0" borderId="355" xfId="0" applyNumberFormat="1" applyFont="1" applyBorder="1"/>
    <xf numFmtId="0" fontId="6" fillId="0" borderId="356" xfId="0" applyFont="1" applyBorder="1"/>
    <xf numFmtId="2" fontId="6" fillId="0" borderId="357" xfId="0" applyNumberFormat="1" applyFont="1" applyBorder="1"/>
    <xf numFmtId="43" fontId="6" fillId="0" borderId="0" xfId="0" applyNumberFormat="1" applyFont="1"/>
    <xf numFmtId="0" fontId="6" fillId="16" borderId="356" xfId="0" applyFont="1" applyFill="1" applyBorder="1"/>
    <xf numFmtId="2" fontId="6" fillId="16" borderId="357" xfId="0" applyNumberFormat="1" applyFont="1" applyFill="1" applyBorder="1"/>
    <xf numFmtId="0" fontId="6" fillId="0" borderId="0" xfId="0" applyFont="1" applyBorder="1"/>
    <xf numFmtId="0" fontId="8" fillId="0" borderId="0" xfId="0" applyFont="1"/>
    <xf numFmtId="0" fontId="6" fillId="0" borderId="358" xfId="0" applyFont="1" applyBorder="1"/>
    <xf numFmtId="2" fontId="6" fillId="0" borderId="359" xfId="0" applyNumberFormat="1" applyFont="1" applyBorder="1"/>
    <xf numFmtId="0" fontId="6" fillId="0" borderId="360" xfId="0" applyFont="1" applyBorder="1"/>
    <xf numFmtId="2" fontId="6" fillId="0" borderId="361" xfId="0" applyNumberFormat="1" applyFont="1" applyBorder="1"/>
    <xf numFmtId="2" fontId="6" fillId="0" borderId="362" xfId="0" applyNumberFormat="1" applyFont="1" applyBorder="1"/>
    <xf numFmtId="2" fontId="6" fillId="16" borderId="362" xfId="0" applyNumberFormat="1" applyFont="1" applyFill="1" applyBorder="1"/>
    <xf numFmtId="2" fontId="6" fillId="0" borderId="363" xfId="0" applyNumberFormat="1" applyFont="1" applyBorder="1"/>
    <xf numFmtId="0" fontId="11" fillId="16" borderId="0" xfId="0" applyFont="1" applyFill="1"/>
    <xf numFmtId="0" fontId="11" fillId="16" borderId="364" xfId="0" applyFont="1" applyFill="1" applyBorder="1"/>
    <xf numFmtId="0" fontId="11" fillId="16" borderId="365" xfId="0" applyFont="1" applyFill="1" applyBorder="1"/>
    <xf numFmtId="0" fontId="11" fillId="16" borderId="372" xfId="0" applyFont="1" applyFill="1" applyBorder="1"/>
    <xf numFmtId="2" fontId="11" fillId="16" borderId="373" xfId="0" applyNumberFormat="1" applyFont="1" applyFill="1" applyBorder="1"/>
    <xf numFmtId="0" fontId="30" fillId="17" borderId="368" xfId="0" applyFont="1" applyFill="1" applyBorder="1"/>
    <xf numFmtId="2" fontId="30" fillId="17" borderId="374" xfId="0" applyNumberFormat="1" applyFont="1" applyFill="1" applyBorder="1"/>
    <xf numFmtId="0" fontId="30" fillId="4" borderId="0" xfId="0" applyFont="1" applyFill="1"/>
    <xf numFmtId="0" fontId="30" fillId="17" borderId="0" xfId="0" applyFont="1" applyFill="1"/>
    <xf numFmtId="0" fontId="30" fillId="17" borderId="375" xfId="0" applyFont="1" applyFill="1" applyBorder="1"/>
    <xf numFmtId="2" fontId="30" fillId="17" borderId="376" xfId="0" applyNumberFormat="1" applyFont="1" applyFill="1" applyBorder="1"/>
    <xf numFmtId="0" fontId="11" fillId="16" borderId="375" xfId="0" applyFont="1" applyFill="1" applyBorder="1"/>
    <xf numFmtId="2" fontId="11" fillId="16" borderId="367" xfId="0" applyNumberFormat="1" applyFont="1" applyFill="1" applyBorder="1"/>
    <xf numFmtId="0" fontId="11" fillId="16" borderId="368" xfId="0" applyFont="1" applyFill="1" applyBorder="1"/>
    <xf numFmtId="2" fontId="11" fillId="16" borderId="369" xfId="0" applyNumberFormat="1" applyFont="1" applyFill="1" applyBorder="1"/>
    <xf numFmtId="0" fontId="11" fillId="17" borderId="375" xfId="0" applyFont="1" applyFill="1" applyBorder="1"/>
    <xf numFmtId="2" fontId="11" fillId="17" borderId="374" xfId="0" applyNumberFormat="1" applyFont="1" applyFill="1" applyBorder="1"/>
    <xf numFmtId="0" fontId="11" fillId="17" borderId="0" xfId="0" applyFont="1" applyFill="1"/>
    <xf numFmtId="0" fontId="30" fillId="17" borderId="379" xfId="0" applyFont="1" applyFill="1" applyBorder="1"/>
    <xf numFmtId="2" fontId="30" fillId="17" borderId="380" xfId="0" applyNumberFormat="1" applyFont="1" applyFill="1" applyBorder="1"/>
    <xf numFmtId="0" fontId="11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2" fontId="11" fillId="4" borderId="0" xfId="0" applyNumberFormat="1" applyFont="1" applyFill="1" applyAlignment="1">
      <alignment horizontal="center"/>
    </xf>
    <xf numFmtId="2" fontId="30" fillId="17" borderId="369" xfId="0" applyNumberFormat="1" applyFont="1" applyFill="1" applyBorder="1"/>
    <xf numFmtId="2" fontId="30" fillId="17" borderId="371" xfId="0" applyNumberFormat="1" applyFont="1" applyFill="1" applyBorder="1"/>
    <xf numFmtId="2" fontId="11" fillId="17" borderId="369" xfId="0" applyNumberFormat="1" applyFont="1" applyFill="1" applyBorder="1"/>
    <xf numFmtId="2" fontId="30" fillId="17" borderId="381" xfId="0" applyNumberFormat="1" applyFont="1" applyFill="1" applyBorder="1"/>
    <xf numFmtId="164" fontId="3" fillId="2" borderId="0" xfId="0" applyNumberFormat="1" applyFont="1" applyFill="1" applyBorder="1" applyAlignment="1">
      <alignment vertical="center"/>
    </xf>
    <xf numFmtId="164" fontId="3" fillId="3" borderId="382" xfId="0" applyNumberFormat="1" applyFont="1" applyFill="1" applyBorder="1" applyAlignment="1" applyProtection="1">
      <alignment horizontal="right" vertical="center"/>
    </xf>
    <xf numFmtId="164" fontId="3" fillId="3" borderId="338" xfId="0" applyNumberFormat="1" applyFont="1" applyFill="1" applyBorder="1" applyAlignment="1" applyProtection="1">
      <alignment horizontal="right" vertical="center"/>
      <protection locked="0"/>
    </xf>
    <xf numFmtId="164" fontId="4" fillId="3" borderId="152" xfId="0" applyNumberFormat="1" applyFont="1" applyFill="1" applyBorder="1" applyAlignment="1" applyProtection="1">
      <alignment horizontal="right" vertical="center"/>
      <protection locked="0"/>
    </xf>
    <xf numFmtId="164" fontId="4" fillId="3" borderId="153" xfId="0" applyNumberFormat="1" applyFont="1" applyFill="1" applyBorder="1" applyAlignment="1" applyProtection="1">
      <alignment horizontal="right" vertical="center"/>
      <protection locked="0"/>
    </xf>
    <xf numFmtId="164" fontId="4" fillId="2" borderId="340" xfId="0" applyNumberFormat="1" applyFont="1" applyFill="1" applyBorder="1" applyAlignment="1" applyProtection="1">
      <alignment horizontal="right" vertical="center"/>
    </xf>
    <xf numFmtId="0" fontId="3" fillId="18" borderId="12" xfId="0" applyFont="1" applyFill="1" applyBorder="1" applyAlignment="1">
      <alignment vertical="center"/>
    </xf>
    <xf numFmtId="164" fontId="3" fillId="18" borderId="12" xfId="0" applyNumberFormat="1" applyFont="1" applyFill="1" applyBorder="1" applyAlignment="1">
      <alignment vertical="center"/>
    </xf>
    <xf numFmtId="0" fontId="3" fillId="3" borderId="118" xfId="0" applyFont="1" applyFill="1" applyBorder="1" applyAlignment="1">
      <alignment vertical="center"/>
    </xf>
    <xf numFmtId="164" fontId="3" fillId="3" borderId="118" xfId="0" applyNumberFormat="1" applyFont="1" applyFill="1" applyBorder="1" applyAlignment="1">
      <alignment vertical="center"/>
    </xf>
    <xf numFmtId="0" fontId="6" fillId="2" borderId="0" xfId="0" applyFont="1" applyFill="1"/>
    <xf numFmtId="0" fontId="6" fillId="4" borderId="0" xfId="0" applyFont="1" applyFill="1"/>
    <xf numFmtId="0" fontId="8" fillId="2" borderId="383" xfId="0" quotePrefix="1" applyFont="1" applyFill="1" applyBorder="1" applyAlignment="1" applyProtection="1">
      <alignment horizontal="left"/>
      <protection locked="0"/>
    </xf>
    <xf numFmtId="0" fontId="25" fillId="2" borderId="384" xfId="0" applyFont="1" applyFill="1" applyBorder="1" applyProtection="1">
      <protection locked="0"/>
    </xf>
    <xf numFmtId="0" fontId="31" fillId="2" borderId="385" xfId="0" applyFont="1" applyFill="1" applyBorder="1" applyAlignment="1" applyProtection="1">
      <alignment horizontal="right"/>
      <protection locked="0"/>
    </xf>
    <xf numFmtId="0" fontId="32" fillId="2" borderId="191" xfId="0" applyFont="1" applyFill="1" applyBorder="1" applyProtection="1">
      <protection locked="0"/>
    </xf>
    <xf numFmtId="0" fontId="33" fillId="9" borderId="386" xfId="0" applyFont="1" applyFill="1" applyBorder="1" applyAlignment="1" applyProtection="1">
      <alignment horizontal="center"/>
      <protection locked="0"/>
    </xf>
    <xf numFmtId="0" fontId="32" fillId="2" borderId="0" xfId="0" applyFont="1" applyFill="1" applyBorder="1" applyProtection="1">
      <protection locked="0"/>
    </xf>
    <xf numFmtId="0" fontId="31" fillId="2" borderId="387" xfId="0" applyFont="1" applyFill="1" applyBorder="1" applyAlignment="1" applyProtection="1">
      <alignment horizontal="right"/>
      <protection locked="0"/>
    </xf>
    <xf numFmtId="0" fontId="6" fillId="2" borderId="0" xfId="0" applyFont="1" applyFill="1" applyAlignment="1">
      <alignment horizontal="right"/>
    </xf>
    <xf numFmtId="0" fontId="6" fillId="4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2" borderId="0" xfId="0" applyFont="1" applyFill="1" applyBorder="1"/>
    <xf numFmtId="0" fontId="8" fillId="2" borderId="0" xfId="0" applyFont="1" applyFill="1"/>
    <xf numFmtId="0" fontId="8" fillId="4" borderId="0" xfId="0" applyFont="1" applyFill="1"/>
    <xf numFmtId="0" fontId="34" fillId="2" borderId="0" xfId="0" applyFont="1" applyFill="1"/>
    <xf numFmtId="0" fontId="34" fillId="4" borderId="0" xfId="0" applyFont="1" applyFill="1"/>
    <xf numFmtId="0" fontId="34" fillId="0" borderId="0" xfId="0" applyFont="1"/>
    <xf numFmtId="0" fontId="6" fillId="2" borderId="389" xfId="0" applyFont="1" applyFill="1" applyBorder="1"/>
    <xf numFmtId="0" fontId="6" fillId="2" borderId="391" xfId="0" applyFont="1" applyFill="1" applyBorder="1"/>
    <xf numFmtId="0" fontId="34" fillId="2" borderId="391" xfId="0" applyFont="1" applyFill="1" applyBorder="1"/>
    <xf numFmtId="0" fontId="6" fillId="2" borderId="392" xfId="0" applyFont="1" applyFill="1" applyBorder="1"/>
    <xf numFmtId="0" fontId="6" fillId="2" borderId="393" xfId="0" applyFont="1" applyFill="1" applyBorder="1"/>
    <xf numFmtId="0" fontId="8" fillId="2" borderId="396" xfId="0" applyFont="1" applyFill="1" applyBorder="1"/>
    <xf numFmtId="0" fontId="6" fillId="4" borderId="0" xfId="0" applyFont="1" applyFill="1" applyAlignment="1">
      <alignment vertical="center"/>
    </xf>
    <xf numFmtId="0" fontId="8" fillId="2" borderId="383" xfId="0" quotePrefix="1" applyFont="1" applyFill="1" applyBorder="1" applyAlignment="1" applyProtection="1">
      <alignment horizontal="left" vertical="center"/>
      <protection locked="0"/>
    </xf>
    <xf numFmtId="0" fontId="25" fillId="2" borderId="384" xfId="0" applyFont="1" applyFill="1" applyBorder="1" applyAlignment="1" applyProtection="1">
      <alignment vertical="center"/>
      <protection locked="0"/>
    </xf>
    <xf numFmtId="0" fontId="31" fillId="2" borderId="385" xfId="0" applyFont="1" applyFill="1" applyBorder="1" applyAlignment="1" applyProtection="1">
      <alignment horizontal="right" vertical="center"/>
      <protection locked="0"/>
    </xf>
    <xf numFmtId="0" fontId="32" fillId="2" borderId="191" xfId="0" applyFont="1" applyFill="1" applyBorder="1" applyAlignment="1" applyProtection="1">
      <alignment vertical="center"/>
      <protection locked="0"/>
    </xf>
    <xf numFmtId="0" fontId="33" fillId="9" borderId="386" xfId="0" applyFont="1" applyFill="1" applyBorder="1" applyAlignment="1" applyProtection="1">
      <alignment horizontal="center" vertical="center"/>
      <protection locked="0"/>
    </xf>
    <xf numFmtId="0" fontId="32" fillId="2" borderId="0" xfId="0" applyFont="1" applyFill="1" applyBorder="1" applyAlignment="1" applyProtection="1">
      <alignment vertical="center"/>
      <protection locked="0"/>
    </xf>
    <xf numFmtId="0" fontId="31" fillId="2" borderId="387" xfId="0" applyFont="1" applyFill="1" applyBorder="1" applyAlignment="1" applyProtection="1">
      <alignment horizontal="right" vertical="center"/>
      <protection locked="0"/>
    </xf>
    <xf numFmtId="0" fontId="6" fillId="2" borderId="0" xfId="0" applyFont="1" applyFill="1" applyAlignment="1">
      <alignment horizontal="right" vertical="center"/>
    </xf>
    <xf numFmtId="0" fontId="33" fillId="2" borderId="387" xfId="0" applyFont="1" applyFill="1" applyBorder="1" applyAlignment="1" applyProtection="1">
      <alignment horizontal="left" vertical="center"/>
      <protection locked="0"/>
    </xf>
    <xf numFmtId="0" fontId="6" fillId="4" borderId="0" xfId="0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2" borderId="390" xfId="0" applyFont="1" applyFill="1" applyBorder="1" applyAlignment="1">
      <alignment vertical="center"/>
    </xf>
    <xf numFmtId="0" fontId="6" fillId="2" borderId="391" xfId="0" applyFont="1" applyFill="1" applyBorder="1" applyAlignment="1">
      <alignment vertical="center"/>
    </xf>
    <xf numFmtId="164" fontId="6" fillId="2" borderId="109" xfId="0" applyNumberFormat="1" applyFont="1" applyFill="1" applyBorder="1" applyAlignment="1">
      <alignment vertical="center"/>
    </xf>
    <xf numFmtId="0" fontId="6" fillId="2" borderId="393" xfId="0" applyFont="1" applyFill="1" applyBorder="1" applyAlignment="1">
      <alignment vertical="center"/>
    </xf>
    <xf numFmtId="164" fontId="6" fillId="2" borderId="177" xfId="0" applyNumberFormat="1" applyFont="1" applyFill="1" applyBorder="1" applyAlignment="1">
      <alignment vertical="center"/>
    </xf>
    <xf numFmtId="0" fontId="6" fillId="2" borderId="394" xfId="0" applyFont="1" applyFill="1" applyBorder="1" applyAlignment="1">
      <alignment vertical="center"/>
    </xf>
    <xf numFmtId="164" fontId="6" fillId="2" borderId="395" xfId="0" applyNumberFormat="1" applyFont="1" applyFill="1" applyBorder="1" applyAlignment="1">
      <alignment vertical="center"/>
    </xf>
    <xf numFmtId="0" fontId="6" fillId="2" borderId="398" xfId="0" applyFont="1" applyFill="1" applyBorder="1" applyAlignment="1">
      <alignment vertical="center"/>
    </xf>
    <xf numFmtId="164" fontId="6" fillId="2" borderId="399" xfId="0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396" xfId="0" applyFont="1" applyFill="1" applyBorder="1" applyAlignment="1">
      <alignment vertical="center"/>
    </xf>
    <xf numFmtId="164" fontId="8" fillId="2" borderId="126" xfId="0" applyNumberFormat="1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34" fillId="2" borderId="0" xfId="0" applyFont="1" applyFill="1" applyAlignment="1">
      <alignment vertical="center"/>
    </xf>
    <xf numFmtId="0" fontId="34" fillId="2" borderId="391" xfId="0" applyFont="1" applyFill="1" applyBorder="1" applyAlignment="1">
      <alignment vertical="center"/>
    </xf>
    <xf numFmtId="164" fontId="34" fillId="2" borderId="109" xfId="0" applyNumberFormat="1" applyFont="1" applyFill="1" applyBorder="1" applyAlignment="1">
      <alignment vertical="center"/>
    </xf>
    <xf numFmtId="0" fontId="34" fillId="4" borderId="0" xfId="0" applyFont="1" applyFill="1" applyAlignment="1">
      <alignment vertical="center"/>
    </xf>
    <xf numFmtId="0" fontId="34" fillId="0" borderId="0" xfId="0" applyFont="1" applyAlignment="1">
      <alignment vertical="center"/>
    </xf>
    <xf numFmtId="0" fontId="6" fillId="2" borderId="392" xfId="0" applyFont="1" applyFill="1" applyBorder="1" applyAlignment="1">
      <alignment vertical="center"/>
    </xf>
    <xf numFmtId="164" fontId="6" fillId="2" borderId="117" xfId="0" applyNumberFormat="1" applyFont="1" applyFill="1" applyBorder="1" applyAlignment="1">
      <alignment vertical="center"/>
    </xf>
    <xf numFmtId="0" fontId="8" fillId="5" borderId="388" xfId="0" applyFont="1" applyFill="1" applyBorder="1" applyAlignment="1">
      <alignment vertical="center"/>
    </xf>
    <xf numFmtId="4" fontId="8" fillId="5" borderId="118" xfId="0" applyNumberFormat="1" applyFont="1" applyFill="1" applyBorder="1" applyAlignment="1">
      <alignment vertical="center"/>
    </xf>
    <xf numFmtId="0" fontId="6" fillId="2" borderId="389" xfId="0" applyFont="1" applyFill="1" applyBorder="1" applyAlignment="1">
      <alignment vertical="center"/>
    </xf>
    <xf numFmtId="0" fontId="6" fillId="2" borderId="0" xfId="0" applyNumberFormat="1" applyFont="1" applyFill="1" applyAlignment="1">
      <alignment vertical="center"/>
    </xf>
    <xf numFmtId="1" fontId="33" fillId="2" borderId="343" xfId="0" applyNumberFormat="1" applyFont="1" applyFill="1" applyBorder="1" applyAlignment="1" applyProtection="1">
      <alignment horizontal="center" vertical="center"/>
    </xf>
    <xf numFmtId="0" fontId="25" fillId="2" borderId="401" xfId="0" applyFont="1" applyFill="1" applyBorder="1" applyAlignment="1" applyProtection="1">
      <alignment vertical="center"/>
      <protection locked="0"/>
    </xf>
    <xf numFmtId="0" fontId="32" fillId="2" borderId="402" xfId="0" applyFont="1" applyFill="1" applyBorder="1" applyAlignment="1" applyProtection="1">
      <alignment vertical="center"/>
      <protection locked="0"/>
    </xf>
    <xf numFmtId="0" fontId="33" fillId="9" borderId="403" xfId="0" applyFont="1" applyFill="1" applyBorder="1" applyAlignment="1" applyProtection="1">
      <alignment horizontal="center" vertical="center"/>
      <protection locked="0"/>
    </xf>
    <xf numFmtId="0" fontId="32" fillId="2" borderId="404" xfId="0" applyFont="1" applyFill="1" applyBorder="1" applyAlignment="1" applyProtection="1">
      <alignment vertical="center"/>
      <protection locked="0"/>
    </xf>
    <xf numFmtId="1" fontId="33" fillId="2" borderId="405" xfId="0" applyNumberFormat="1" applyFont="1" applyFill="1" applyBorder="1" applyAlignment="1" applyProtection="1">
      <alignment horizontal="center" vertical="center"/>
    </xf>
    <xf numFmtId="164" fontId="6" fillId="2" borderId="407" xfId="0" applyNumberFormat="1" applyFont="1" applyFill="1" applyBorder="1" applyAlignment="1">
      <alignment vertical="center"/>
    </xf>
    <xf numFmtId="164" fontId="6" fillId="2" borderId="408" xfId="0" applyNumberFormat="1" applyFont="1" applyFill="1" applyBorder="1" applyAlignment="1">
      <alignment vertical="center"/>
    </xf>
    <xf numFmtId="164" fontId="6" fillId="2" borderId="397" xfId="0" applyNumberFormat="1" applyFont="1" applyFill="1" applyBorder="1" applyAlignment="1">
      <alignment vertical="center"/>
    </xf>
    <xf numFmtId="164" fontId="6" fillId="2" borderId="400" xfId="0" applyNumberFormat="1" applyFont="1" applyFill="1" applyBorder="1" applyAlignment="1">
      <alignment vertical="center"/>
    </xf>
    <xf numFmtId="164" fontId="8" fillId="2" borderId="409" xfId="0" applyNumberFormat="1" applyFont="1" applyFill="1" applyBorder="1" applyAlignment="1">
      <alignment vertical="center"/>
    </xf>
    <xf numFmtId="164" fontId="34" fillId="2" borderId="407" xfId="0" applyNumberFormat="1" applyFont="1" applyFill="1" applyBorder="1" applyAlignment="1">
      <alignment vertical="center"/>
    </xf>
    <xf numFmtId="164" fontId="6" fillId="2" borderId="410" xfId="0" applyNumberFormat="1" applyFont="1" applyFill="1" applyBorder="1" applyAlignment="1">
      <alignment vertical="center"/>
    </xf>
    <xf numFmtId="0" fontId="6" fillId="2" borderId="404" xfId="0" applyFont="1" applyFill="1" applyBorder="1" applyAlignment="1">
      <alignment vertical="center"/>
    </xf>
    <xf numFmtId="0" fontId="8" fillId="5" borderId="411" xfId="0" applyFont="1" applyFill="1" applyBorder="1" applyAlignment="1">
      <alignment vertical="center"/>
    </xf>
    <xf numFmtId="9" fontId="8" fillId="5" borderId="412" xfId="2" applyFont="1" applyFill="1" applyBorder="1" applyAlignment="1">
      <alignment vertical="center"/>
    </xf>
    <xf numFmtId="0" fontId="6" fillId="2" borderId="413" xfId="0" applyFont="1" applyFill="1" applyBorder="1" applyAlignment="1">
      <alignment vertical="center"/>
    </xf>
    <xf numFmtId="164" fontId="6" fillId="3" borderId="337" xfId="0" applyNumberFormat="1" applyFont="1" applyFill="1" applyBorder="1" applyAlignment="1">
      <alignment vertical="center"/>
    </xf>
    <xf numFmtId="164" fontId="6" fillId="3" borderId="406" xfId="0" applyNumberFormat="1" applyFont="1" applyFill="1" applyBorder="1" applyAlignment="1">
      <alignment vertical="center"/>
    </xf>
    <xf numFmtId="164" fontId="6" fillId="3" borderId="109" xfId="0" applyNumberFormat="1" applyFont="1" applyFill="1" applyBorder="1" applyAlignment="1">
      <alignment vertical="center"/>
    </xf>
    <xf numFmtId="164" fontId="6" fillId="3" borderId="407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4" fontId="6" fillId="3" borderId="51" xfId="0" applyNumberFormat="1" applyFont="1" applyFill="1" applyBorder="1" applyAlignment="1">
      <alignment horizontal="center" vertical="center"/>
    </xf>
    <xf numFmtId="4" fontId="6" fillId="2" borderId="52" xfId="0" applyNumberFormat="1" applyFont="1" applyFill="1" applyBorder="1" applyAlignment="1">
      <alignment horizontal="center" vertical="center"/>
    </xf>
    <xf numFmtId="4" fontId="6" fillId="3" borderId="52" xfId="0" applyNumberFormat="1" applyFont="1" applyFill="1" applyBorder="1" applyAlignment="1">
      <alignment horizontal="center" vertical="center"/>
    </xf>
    <xf numFmtId="0" fontId="35" fillId="4" borderId="0" xfId="0" applyFont="1" applyFill="1" applyAlignment="1">
      <alignment vertical="center"/>
    </xf>
    <xf numFmtId="0" fontId="35" fillId="0" borderId="0" xfId="0" applyFont="1" applyAlignment="1">
      <alignment vertical="center"/>
    </xf>
    <xf numFmtId="3" fontId="6" fillId="2" borderId="0" xfId="0" applyNumberFormat="1" applyFont="1" applyFill="1" applyAlignment="1">
      <alignment horizontal="center" vertical="center"/>
    </xf>
    <xf numFmtId="9" fontId="6" fillId="2" borderId="0" xfId="2" applyFont="1" applyFill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0" fontId="6" fillId="20" borderId="0" xfId="0" applyFont="1" applyFill="1" applyAlignment="1">
      <alignment vertical="center"/>
    </xf>
    <xf numFmtId="164" fontId="6" fillId="5" borderId="118" xfId="0" applyNumberFormat="1" applyFont="1" applyFill="1" applyBorder="1"/>
    <xf numFmtId="0" fontId="6" fillId="3" borderId="118" xfId="0" applyFont="1" applyFill="1" applyBorder="1" applyAlignment="1">
      <alignment horizontal="right"/>
    </xf>
    <xf numFmtId="164" fontId="6" fillId="3" borderId="118" xfId="0" applyNumberFormat="1" applyFont="1" applyFill="1" applyBorder="1"/>
    <xf numFmtId="43" fontId="6" fillId="3" borderId="118" xfId="0" applyNumberFormat="1" applyFont="1" applyFill="1" applyBorder="1"/>
    <xf numFmtId="0" fontId="25" fillId="2" borderId="401" xfId="0" applyFont="1" applyFill="1" applyBorder="1" applyProtection="1">
      <protection locked="0"/>
    </xf>
    <xf numFmtId="0" fontId="32" fillId="2" borderId="402" xfId="0" applyFont="1" applyFill="1" applyBorder="1" applyProtection="1">
      <protection locked="0"/>
    </xf>
    <xf numFmtId="0" fontId="33" fillId="9" borderId="403" xfId="0" applyFont="1" applyFill="1" applyBorder="1" applyAlignment="1" applyProtection="1">
      <alignment horizontal="center"/>
      <protection locked="0"/>
    </xf>
    <xf numFmtId="0" fontId="32" fillId="2" borderId="404" xfId="0" applyFont="1" applyFill="1" applyBorder="1" applyProtection="1">
      <protection locked="0"/>
    </xf>
    <xf numFmtId="0" fontId="6" fillId="2" borderId="404" xfId="0" applyFont="1" applyFill="1" applyBorder="1"/>
    <xf numFmtId="0" fontId="8" fillId="5" borderId="411" xfId="0" applyFont="1" applyFill="1" applyBorder="1"/>
    <xf numFmtId="9" fontId="8" fillId="5" borderId="412" xfId="2" applyFont="1" applyFill="1" applyBorder="1"/>
    <xf numFmtId="0" fontId="6" fillId="2" borderId="413" xfId="0" applyFont="1" applyFill="1" applyBorder="1"/>
    <xf numFmtId="0" fontId="8" fillId="5" borderId="414" xfId="0" applyFont="1" applyFill="1" applyBorder="1"/>
    <xf numFmtId="4" fontId="8" fillId="5" borderId="90" xfId="0" applyNumberFormat="1" applyFont="1" applyFill="1" applyBorder="1"/>
    <xf numFmtId="0" fontId="34" fillId="2" borderId="391" xfId="0" applyFont="1" applyFill="1" applyBorder="1" applyAlignment="1">
      <alignment horizontal="right"/>
    </xf>
    <xf numFmtId="0" fontId="6" fillId="2" borderId="415" xfId="0" applyFont="1" applyFill="1" applyBorder="1"/>
    <xf numFmtId="0" fontId="6" fillId="2" borderId="417" xfId="0" applyFont="1" applyFill="1" applyBorder="1"/>
    <xf numFmtId="0" fontId="6" fillId="2" borderId="396" xfId="0" applyFont="1" applyFill="1" applyBorder="1"/>
    <xf numFmtId="0" fontId="33" fillId="2" borderId="419" xfId="0" applyFont="1" applyFill="1" applyBorder="1" applyAlignment="1" applyProtection="1">
      <alignment horizontal="left"/>
      <protection locked="0"/>
    </xf>
    <xf numFmtId="1" fontId="33" fillId="2" borderId="420" xfId="0" applyNumberFormat="1" applyFont="1" applyFill="1" applyBorder="1" applyAlignment="1" applyProtection="1">
      <alignment horizontal="center" vertical="center"/>
    </xf>
    <xf numFmtId="1" fontId="33" fillId="2" borderId="421" xfId="0" applyNumberFormat="1" applyFont="1" applyFill="1" applyBorder="1" applyAlignment="1" applyProtection="1">
      <alignment horizontal="center" vertical="center"/>
    </xf>
    <xf numFmtId="4" fontId="6" fillId="3" borderId="126" xfId="0" applyNumberFormat="1" applyFont="1" applyFill="1" applyBorder="1"/>
    <xf numFmtId="4" fontId="6" fillId="3" borderId="109" xfId="0" applyNumberFormat="1" applyFont="1" applyFill="1" applyBorder="1"/>
    <xf numFmtId="4" fontId="34" fillId="3" borderId="109" xfId="0" applyNumberFormat="1" applyFont="1" applyFill="1" applyBorder="1"/>
    <xf numFmtId="4" fontId="34" fillId="3" borderId="407" xfId="0" applyNumberFormat="1" applyFont="1" applyFill="1" applyBorder="1"/>
    <xf numFmtId="4" fontId="6" fillId="3" borderId="407" xfId="0" applyNumberFormat="1" applyFont="1" applyFill="1" applyBorder="1"/>
    <xf numFmtId="4" fontId="6" fillId="3" borderId="177" xfId="0" applyNumberFormat="1" applyFont="1" applyFill="1" applyBorder="1"/>
    <xf numFmtId="4" fontId="6" fillId="3" borderId="281" xfId="0" applyNumberFormat="1" applyFont="1" applyFill="1" applyBorder="1"/>
    <xf numFmtId="4" fontId="6" fillId="3" borderId="416" xfId="0" applyNumberFormat="1" applyFont="1" applyFill="1" applyBorder="1"/>
    <xf numFmtId="4" fontId="6" fillId="3" borderId="409" xfId="0" applyNumberFormat="1" applyFont="1" applyFill="1" applyBorder="1"/>
    <xf numFmtId="4" fontId="6" fillId="3" borderId="408" xfId="0" applyNumberFormat="1" applyFont="1" applyFill="1" applyBorder="1"/>
    <xf numFmtId="4" fontId="6" fillId="3" borderId="205" xfId="0" applyNumberFormat="1" applyFont="1" applyFill="1" applyBorder="1"/>
    <xf numFmtId="4" fontId="6" fillId="3" borderId="418" xfId="0" applyNumberFormat="1" applyFont="1" applyFill="1" applyBorder="1"/>
    <xf numFmtId="4" fontId="8" fillId="3" borderId="126" xfId="0" applyNumberFormat="1" applyFont="1" applyFill="1" applyBorder="1"/>
    <xf numFmtId="4" fontId="8" fillId="3" borderId="409" xfId="0" applyNumberFormat="1" applyFont="1" applyFill="1" applyBorder="1"/>
    <xf numFmtId="2" fontId="34" fillId="3" borderId="109" xfId="0" applyNumberFormat="1" applyFont="1" applyFill="1" applyBorder="1"/>
    <xf numFmtId="2" fontId="34" fillId="3" borderId="407" xfId="0" applyNumberFormat="1" applyFont="1" applyFill="1" applyBorder="1"/>
    <xf numFmtId="4" fontId="6" fillId="3" borderId="117" xfId="0" applyNumberFormat="1" applyFont="1" applyFill="1" applyBorder="1"/>
    <xf numFmtId="4" fontId="6" fillId="3" borderId="410" xfId="0" applyNumberFormat="1" applyFont="1" applyFill="1" applyBorder="1"/>
    <xf numFmtId="3" fontId="3" fillId="3" borderId="343" xfId="0" applyNumberFormat="1" applyFont="1" applyFill="1" applyBorder="1" applyAlignment="1">
      <alignment horizontal="center" vertical="center"/>
    </xf>
    <xf numFmtId="49" fontId="4" fillId="2" borderId="345" xfId="0" quotePrefix="1" applyNumberFormat="1" applyFont="1" applyFill="1" applyBorder="1" applyAlignment="1">
      <alignment vertical="center"/>
    </xf>
    <xf numFmtId="49" fontId="4" fillId="2" borderId="352" xfId="0" quotePrefix="1" applyNumberFormat="1" applyFont="1" applyFill="1" applyBorder="1" applyAlignment="1">
      <alignment vertical="center"/>
    </xf>
    <xf numFmtId="49" fontId="4" fillId="2" borderId="351" xfId="0" quotePrefix="1" applyNumberFormat="1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6" fillId="2" borderId="65" xfId="0" applyFont="1" applyFill="1" applyBorder="1" applyAlignment="1">
      <alignment horizontal="left" vertical="center"/>
    </xf>
    <xf numFmtId="0" fontId="6" fillId="2" borderId="67" xfId="0" applyFont="1" applyFill="1" applyBorder="1" applyAlignment="1">
      <alignment horizontal="left" vertical="center"/>
    </xf>
    <xf numFmtId="4" fontId="6" fillId="3" borderId="68" xfId="0" applyNumberFormat="1" applyFont="1" applyFill="1" applyBorder="1" applyAlignment="1">
      <alignment horizontal="center" vertical="center"/>
    </xf>
    <xf numFmtId="0" fontId="6" fillId="2" borderId="69" xfId="0" applyFont="1" applyFill="1" applyBorder="1" applyAlignment="1">
      <alignment horizontal="left" vertical="center"/>
    </xf>
    <xf numFmtId="4" fontId="6" fillId="2" borderId="70" xfId="0" applyNumberFormat="1" applyFont="1" applyFill="1" applyBorder="1" applyAlignment="1">
      <alignment horizontal="center" vertical="center"/>
    </xf>
    <xf numFmtId="4" fontId="6" fillId="2" borderId="71" xfId="0" applyNumberFormat="1" applyFont="1" applyFill="1" applyBorder="1" applyAlignment="1">
      <alignment horizontal="center" vertical="center"/>
    </xf>
    <xf numFmtId="4" fontId="6" fillId="3" borderId="70" xfId="0" applyNumberFormat="1" applyFont="1" applyFill="1" applyBorder="1" applyAlignment="1">
      <alignment horizontal="center" vertical="center"/>
    </xf>
    <xf numFmtId="4" fontId="6" fillId="3" borderId="71" xfId="0" applyNumberFormat="1" applyFont="1" applyFill="1" applyBorder="1" applyAlignment="1">
      <alignment horizontal="center" vertical="center"/>
    </xf>
    <xf numFmtId="1" fontId="8" fillId="3" borderId="8" xfId="0" applyNumberFormat="1" applyFont="1" applyFill="1" applyBorder="1" applyAlignment="1">
      <alignment horizontal="center" vertical="center"/>
    </xf>
    <xf numFmtId="1" fontId="8" fillId="3" borderId="22" xfId="0" applyNumberFormat="1" applyFont="1" applyFill="1" applyBorder="1" applyAlignment="1">
      <alignment horizontal="center" vertical="center"/>
    </xf>
    <xf numFmtId="10" fontId="6" fillId="3" borderId="51" xfId="1" applyNumberFormat="1" applyFont="1" applyFill="1" applyBorder="1" applyAlignment="1">
      <alignment horizontal="center" vertical="center"/>
    </xf>
    <xf numFmtId="10" fontId="6" fillId="3" borderId="52" xfId="1" applyNumberFormat="1" applyFont="1" applyFill="1" applyBorder="1" applyAlignment="1">
      <alignment horizontal="center" vertical="center"/>
    </xf>
    <xf numFmtId="10" fontId="6" fillId="3" borderId="68" xfId="1" applyNumberFormat="1" applyFont="1" applyFill="1" applyBorder="1" applyAlignment="1">
      <alignment horizontal="center" vertical="center"/>
    </xf>
    <xf numFmtId="9" fontId="6" fillId="2" borderId="51" xfId="2" applyFont="1" applyFill="1" applyBorder="1" applyAlignment="1">
      <alignment horizontal="center" vertical="center"/>
    </xf>
    <xf numFmtId="174" fontId="6" fillId="2" borderId="52" xfId="0" applyNumberFormat="1" applyFont="1" applyFill="1" applyBorder="1" applyAlignment="1">
      <alignment horizontal="center" vertical="center"/>
    </xf>
    <xf numFmtId="9" fontId="6" fillId="2" borderId="52" xfId="2" applyFont="1" applyFill="1" applyBorder="1" applyAlignment="1">
      <alignment horizontal="center" vertical="center"/>
    </xf>
    <xf numFmtId="173" fontId="6" fillId="2" borderId="51" xfId="0" applyNumberFormat="1" applyFont="1" applyFill="1" applyBorder="1" applyAlignment="1">
      <alignment horizontal="center" vertical="center"/>
    </xf>
    <xf numFmtId="173" fontId="6" fillId="2" borderId="52" xfId="0" applyNumberFormat="1" applyFont="1" applyFill="1" applyBorder="1" applyAlignment="1">
      <alignment horizontal="center" vertical="center"/>
    </xf>
    <xf numFmtId="3" fontId="6" fillId="2" borderId="52" xfId="0" applyNumberFormat="1" applyFont="1" applyFill="1" applyBorder="1" applyAlignment="1">
      <alignment horizontal="center" vertical="center"/>
    </xf>
    <xf numFmtId="10" fontId="6" fillId="2" borderId="52" xfId="0" applyNumberFormat="1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vertical="center"/>
    </xf>
    <xf numFmtId="4" fontId="6" fillId="2" borderId="51" xfId="0" applyNumberFormat="1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vertical="center"/>
    </xf>
    <xf numFmtId="0" fontId="6" fillId="2" borderId="51" xfId="0" applyFont="1" applyFill="1" applyBorder="1" applyAlignment="1">
      <alignment horizontal="center" vertical="center"/>
    </xf>
    <xf numFmtId="175" fontId="6" fillId="2" borderId="52" xfId="0" applyNumberFormat="1" applyFont="1" applyFill="1" applyBorder="1" applyAlignment="1">
      <alignment horizontal="center" vertical="center"/>
    </xf>
    <xf numFmtId="0" fontId="6" fillId="4" borderId="51" xfId="0" quotePrefix="1" applyFont="1" applyFill="1" applyBorder="1" applyAlignment="1">
      <alignment horizontal="left" vertical="center"/>
    </xf>
    <xf numFmtId="9" fontId="6" fillId="4" borderId="51" xfId="0" applyNumberFormat="1" applyFont="1" applyFill="1" applyBorder="1" applyAlignment="1">
      <alignment horizontal="center" vertical="center"/>
    </xf>
    <xf numFmtId="0" fontId="6" fillId="4" borderId="52" xfId="0" applyFont="1" applyFill="1" applyBorder="1" applyAlignment="1">
      <alignment vertical="center"/>
    </xf>
    <xf numFmtId="0" fontId="6" fillId="4" borderId="53" xfId="0" applyFont="1" applyFill="1" applyBorder="1" applyAlignment="1">
      <alignment vertical="center"/>
    </xf>
    <xf numFmtId="10" fontId="6" fillId="2" borderId="51" xfId="0" applyNumberFormat="1" applyFont="1" applyFill="1" applyBorder="1" applyAlignment="1">
      <alignment horizontal="center" vertical="center"/>
    </xf>
    <xf numFmtId="10" fontId="6" fillId="2" borderId="53" xfId="0" applyNumberFormat="1" applyFont="1" applyFill="1" applyBorder="1" applyAlignment="1">
      <alignment horizontal="center" vertical="center"/>
    </xf>
    <xf numFmtId="10" fontId="6" fillId="4" borderId="52" xfId="0" applyNumberFormat="1" applyFont="1" applyFill="1" applyBorder="1" applyAlignment="1">
      <alignment horizontal="center" vertical="center"/>
    </xf>
    <xf numFmtId="4" fontId="6" fillId="4" borderId="52" xfId="0" applyNumberFormat="1" applyFont="1" applyFill="1" applyBorder="1" applyAlignment="1">
      <alignment vertical="center"/>
    </xf>
    <xf numFmtId="0" fontId="6" fillId="4" borderId="52" xfId="0" quotePrefix="1" applyFont="1" applyFill="1" applyBorder="1" applyAlignment="1">
      <alignment horizontal="left" vertical="center"/>
    </xf>
    <xf numFmtId="9" fontId="6" fillId="4" borderId="52" xfId="0" applyNumberFormat="1" applyFont="1" applyFill="1" applyBorder="1" applyAlignment="1">
      <alignment horizontal="center" vertical="center"/>
    </xf>
    <xf numFmtId="173" fontId="6" fillId="4" borderId="52" xfId="0" applyNumberFormat="1" applyFont="1" applyFill="1" applyBorder="1" applyAlignment="1">
      <alignment horizontal="center" vertical="center"/>
    </xf>
    <xf numFmtId="175" fontId="6" fillId="4" borderId="53" xfId="0" applyNumberFormat="1" applyFont="1" applyFill="1" applyBorder="1" applyAlignment="1">
      <alignment horizontal="center" vertical="center"/>
    </xf>
    <xf numFmtId="1" fontId="8" fillId="3" borderId="229" xfId="0" applyNumberFormat="1" applyFont="1" applyFill="1" applyBorder="1" applyAlignment="1">
      <alignment horizontal="center" vertical="center"/>
    </xf>
    <xf numFmtId="1" fontId="8" fillId="3" borderId="423" xfId="0" applyNumberFormat="1" applyFont="1" applyFill="1" applyBorder="1" applyAlignment="1">
      <alignment horizontal="center" vertical="center"/>
    </xf>
    <xf numFmtId="0" fontId="8" fillId="21" borderId="224" xfId="0" applyFont="1" applyFill="1" applyBorder="1" applyAlignment="1">
      <alignment horizontal="center" vertical="center"/>
    </xf>
    <xf numFmtId="0" fontId="8" fillId="21" borderId="45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vertical="center"/>
    </xf>
    <xf numFmtId="9" fontId="6" fillId="2" borderId="66" xfId="2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vertical="center"/>
    </xf>
    <xf numFmtId="4" fontId="6" fillId="2" borderId="68" xfId="0" applyNumberFormat="1" applyFont="1" applyFill="1" applyBorder="1" applyAlignment="1">
      <alignment horizontal="center" vertical="center"/>
    </xf>
    <xf numFmtId="10" fontId="6" fillId="2" borderId="68" xfId="0" applyNumberFormat="1" applyFont="1" applyFill="1" applyBorder="1" applyAlignment="1">
      <alignment horizontal="center" vertical="center"/>
    </xf>
    <xf numFmtId="9" fontId="6" fillId="2" borderId="68" xfId="2" applyFont="1" applyFill="1" applyBorder="1" applyAlignment="1">
      <alignment horizontal="center" vertical="center"/>
    </xf>
    <xf numFmtId="175" fontId="6" fillId="2" borderId="68" xfId="0" applyNumberFormat="1" applyFont="1" applyFill="1" applyBorder="1" applyAlignment="1">
      <alignment horizontal="center" vertical="center"/>
    </xf>
    <xf numFmtId="3" fontId="6" fillId="2" borderId="68" xfId="0" applyNumberFormat="1" applyFont="1" applyFill="1" applyBorder="1" applyAlignment="1">
      <alignment horizontal="center" vertical="center"/>
    </xf>
    <xf numFmtId="173" fontId="6" fillId="2" borderId="68" xfId="0" applyNumberFormat="1" applyFont="1" applyFill="1" applyBorder="1" applyAlignment="1">
      <alignment horizontal="center" vertical="center"/>
    </xf>
    <xf numFmtId="0" fontId="6" fillId="2" borderId="69" xfId="0" applyFont="1" applyFill="1" applyBorder="1" applyAlignment="1">
      <alignment vertical="center"/>
    </xf>
    <xf numFmtId="9" fontId="6" fillId="2" borderId="70" xfId="2" applyFont="1" applyFill="1" applyBorder="1" applyAlignment="1">
      <alignment horizontal="center" vertical="center"/>
    </xf>
    <xf numFmtId="9" fontId="6" fillId="2" borderId="71" xfId="2" applyFont="1" applyFill="1" applyBorder="1" applyAlignment="1">
      <alignment horizontal="center" vertical="center"/>
    </xf>
    <xf numFmtId="4" fontId="6" fillId="2" borderId="66" xfId="0" applyNumberFormat="1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left" vertical="center"/>
    </xf>
    <xf numFmtId="0" fontId="24" fillId="2" borderId="45" xfId="0" applyFont="1" applyFill="1" applyBorder="1" applyAlignment="1">
      <alignment horizontal="center" vertical="center"/>
    </xf>
    <xf numFmtId="173" fontId="6" fillId="2" borderId="66" xfId="0" applyNumberFormat="1" applyFont="1" applyFill="1" applyBorder="1" applyAlignment="1">
      <alignment horizontal="center" vertical="center"/>
    </xf>
    <xf numFmtId="0" fontId="6" fillId="2" borderId="67" xfId="0" quotePrefix="1" applyFont="1" applyFill="1" applyBorder="1" applyAlignment="1">
      <alignment horizontal="left" vertical="center"/>
    </xf>
    <xf numFmtId="3" fontId="6" fillId="2" borderId="70" xfId="0" applyNumberFormat="1" applyFont="1" applyFill="1" applyBorder="1" applyAlignment="1">
      <alignment vertical="center"/>
    </xf>
    <xf numFmtId="0" fontId="6" fillId="2" borderId="70" xfId="0" applyFont="1" applyFill="1" applyBorder="1" applyAlignment="1">
      <alignment vertical="center"/>
    </xf>
    <xf numFmtId="3" fontId="6" fillId="2" borderId="71" xfId="0" applyNumberFormat="1" applyFont="1" applyFill="1" applyBorder="1" applyAlignment="1">
      <alignment vertical="center"/>
    </xf>
    <xf numFmtId="0" fontId="8" fillId="2" borderId="45" xfId="0" applyFont="1" applyFill="1" applyBorder="1" applyAlignment="1">
      <alignment horizontal="center" vertical="center"/>
    </xf>
    <xf numFmtId="0" fontId="6" fillId="2" borderId="65" xfId="0" quotePrefix="1" applyFont="1" applyFill="1" applyBorder="1" applyAlignment="1">
      <alignment horizontal="left" vertical="center"/>
    </xf>
    <xf numFmtId="174" fontId="6" fillId="2" borderId="68" xfId="0" applyNumberFormat="1" applyFont="1" applyFill="1" applyBorder="1" applyAlignment="1">
      <alignment horizontal="center" vertical="center"/>
    </xf>
    <xf numFmtId="0" fontId="36" fillId="4" borderId="45" xfId="0" applyFont="1" applyFill="1" applyBorder="1" applyAlignment="1">
      <alignment vertical="center"/>
    </xf>
    <xf numFmtId="10" fontId="6" fillId="0" borderId="52" xfId="0" applyNumberFormat="1" applyFont="1" applyFill="1" applyBorder="1" applyAlignment="1">
      <alignment horizontal="center" vertical="center"/>
    </xf>
    <xf numFmtId="9" fontId="6" fillId="0" borderId="52" xfId="0" applyNumberFormat="1" applyFont="1" applyFill="1" applyBorder="1" applyAlignment="1">
      <alignment horizontal="center" vertical="center"/>
    </xf>
    <xf numFmtId="173" fontId="6" fillId="0" borderId="52" xfId="0" applyNumberFormat="1" applyFont="1" applyFill="1" applyBorder="1" applyAlignment="1">
      <alignment horizontal="center" vertical="center"/>
    </xf>
    <xf numFmtId="175" fontId="6" fillId="0" borderId="5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6" fillId="0" borderId="52" xfId="0" applyFont="1" applyFill="1" applyBorder="1" applyAlignment="1">
      <alignment vertical="center"/>
    </xf>
    <xf numFmtId="4" fontId="6" fillId="0" borderId="52" xfId="0" applyNumberFormat="1" applyFont="1" applyFill="1" applyBorder="1" applyAlignment="1">
      <alignment horizontal="center" vertical="center"/>
    </xf>
    <xf numFmtId="0" fontId="6" fillId="0" borderId="53" xfId="0" applyFont="1" applyFill="1" applyBorder="1" applyAlignment="1">
      <alignment vertical="center"/>
    </xf>
    <xf numFmtId="10" fontId="6" fillId="0" borderId="53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10" fontId="6" fillId="0" borderId="0" xfId="0" applyNumberFormat="1" applyFont="1" applyFill="1" applyAlignment="1">
      <alignment horizontal="center" vertical="center"/>
    </xf>
    <xf numFmtId="0" fontId="7" fillId="4" borderId="0" xfId="0" applyFont="1" applyFill="1" applyBorder="1" applyAlignment="1">
      <alignment vertical="center"/>
    </xf>
    <xf numFmtId="0" fontId="6" fillId="2" borderId="45" xfId="0" applyFont="1" applyFill="1" applyBorder="1" applyAlignment="1">
      <alignment vertical="center"/>
    </xf>
    <xf numFmtId="0" fontId="6" fillId="2" borderId="46" xfId="0" applyFont="1" applyFill="1" applyBorder="1" applyAlignment="1">
      <alignment vertical="center"/>
    </xf>
    <xf numFmtId="0" fontId="6" fillId="2" borderId="39" xfId="0" applyFont="1" applyFill="1" applyBorder="1" applyAlignment="1">
      <alignment vertical="center"/>
    </xf>
    <xf numFmtId="0" fontId="6" fillId="4" borderId="39" xfId="0" applyFont="1" applyFill="1" applyBorder="1" applyAlignment="1">
      <alignment vertical="center"/>
    </xf>
    <xf numFmtId="0" fontId="6" fillId="2" borderId="424" xfId="0" applyFont="1" applyFill="1" applyBorder="1" applyAlignment="1">
      <alignment vertical="center"/>
    </xf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6" fillId="2" borderId="63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9" fontId="6" fillId="3" borderId="35" xfId="2" applyFont="1" applyFill="1" applyBorder="1" applyAlignment="1">
      <alignment horizontal="center" vertical="center"/>
    </xf>
    <xf numFmtId="2" fontId="6" fillId="4" borderId="12" xfId="2" applyNumberFormat="1" applyFont="1" applyFill="1" applyBorder="1" applyAlignment="1">
      <alignment horizontal="center" vertical="center"/>
    </xf>
    <xf numFmtId="2" fontId="6" fillId="4" borderId="30" xfId="2" applyNumberFormat="1" applyFont="1" applyFill="1" applyBorder="1" applyAlignment="1">
      <alignment horizontal="center" vertical="center"/>
    </xf>
    <xf numFmtId="2" fontId="6" fillId="4" borderId="34" xfId="2" applyNumberFormat="1" applyFont="1" applyFill="1" applyBorder="1" applyAlignment="1">
      <alignment horizontal="center" vertical="center"/>
    </xf>
    <xf numFmtId="2" fontId="6" fillId="4" borderId="35" xfId="2" applyNumberFormat="1" applyFont="1" applyFill="1" applyBorder="1" applyAlignment="1">
      <alignment horizontal="center" vertical="center"/>
    </xf>
    <xf numFmtId="0" fontId="6" fillId="4" borderId="12" xfId="2" applyNumberFormat="1" applyFont="1" applyFill="1" applyBorder="1" applyAlignment="1">
      <alignment horizontal="center" vertical="center"/>
    </xf>
    <xf numFmtId="0" fontId="6" fillId="4" borderId="30" xfId="2" applyNumberFormat="1" applyFont="1" applyFill="1" applyBorder="1" applyAlignment="1">
      <alignment horizontal="center" vertical="center"/>
    </xf>
    <xf numFmtId="0" fontId="6" fillId="4" borderId="34" xfId="2" applyNumberFormat="1" applyFont="1" applyFill="1" applyBorder="1" applyAlignment="1">
      <alignment horizontal="center" vertical="center"/>
    </xf>
    <xf numFmtId="0" fontId="6" fillId="4" borderId="35" xfId="2" applyNumberFormat="1" applyFont="1" applyFill="1" applyBorder="1" applyAlignment="1">
      <alignment horizontal="center" vertical="center"/>
    </xf>
    <xf numFmtId="0" fontId="6" fillId="3" borderId="432" xfId="0" applyFont="1" applyFill="1" applyBorder="1" applyAlignment="1">
      <alignment horizontal="center" vertical="center"/>
    </xf>
    <xf numFmtId="0" fontId="8" fillId="3" borderId="431" xfId="0" applyFont="1" applyFill="1" applyBorder="1" applyAlignment="1">
      <alignment horizontal="center" vertical="center"/>
    </xf>
    <xf numFmtId="10" fontId="6" fillId="3" borderId="261" xfId="2" applyNumberFormat="1" applyFont="1" applyFill="1" applyBorder="1" applyAlignment="1">
      <alignment horizontal="center" vertical="center"/>
    </xf>
    <xf numFmtId="2" fontId="6" fillId="4" borderId="5" xfId="2" applyNumberFormat="1" applyFont="1" applyFill="1" applyBorder="1" applyAlignment="1">
      <alignment horizontal="center" vertical="center"/>
    </xf>
    <xf numFmtId="2" fontId="6" fillId="4" borderId="261" xfId="2" applyNumberFormat="1" applyFont="1" applyFill="1" applyBorder="1" applyAlignment="1">
      <alignment horizontal="center" vertical="center"/>
    </xf>
    <xf numFmtId="0" fontId="6" fillId="4" borderId="5" xfId="2" applyNumberFormat="1" applyFont="1" applyFill="1" applyBorder="1" applyAlignment="1">
      <alignment horizontal="center" vertical="center"/>
    </xf>
    <xf numFmtId="0" fontId="6" fillId="4" borderId="261" xfId="2" applyNumberFormat="1" applyFont="1" applyFill="1" applyBorder="1" applyAlignment="1">
      <alignment horizontal="center" vertical="center"/>
    </xf>
    <xf numFmtId="165" fontId="6" fillId="4" borderId="433" xfId="2" applyNumberFormat="1" applyFont="1" applyFill="1" applyBorder="1" applyAlignment="1">
      <alignment horizontal="center" vertical="center"/>
    </xf>
    <xf numFmtId="10" fontId="6" fillId="4" borderId="431" xfId="2" applyNumberFormat="1" applyFont="1" applyFill="1" applyBorder="1" applyAlignment="1">
      <alignment horizontal="center" vertical="center"/>
    </xf>
    <xf numFmtId="10" fontId="6" fillId="4" borderId="297" xfId="2" applyNumberFormat="1" applyFont="1" applyFill="1" applyBorder="1" applyAlignment="1">
      <alignment horizontal="center" vertical="center"/>
    </xf>
    <xf numFmtId="10" fontId="6" fillId="4" borderId="77" xfId="2" applyNumberFormat="1" applyFont="1" applyFill="1" applyBorder="1" applyAlignment="1">
      <alignment horizontal="center" vertical="center"/>
    </xf>
    <xf numFmtId="10" fontId="6" fillId="4" borderId="19" xfId="2" applyNumberFormat="1" applyFont="1" applyFill="1" applyBorder="1" applyAlignment="1">
      <alignment horizontal="center" vertical="center"/>
    </xf>
    <xf numFmtId="10" fontId="6" fillId="4" borderId="432" xfId="2" applyNumberFormat="1" applyFont="1" applyFill="1" applyBorder="1" applyAlignment="1">
      <alignment horizontal="center" vertical="center"/>
    </xf>
    <xf numFmtId="10" fontId="6" fillId="3" borderId="77" xfId="0" applyNumberFormat="1" applyFont="1" applyFill="1" applyBorder="1" applyAlignment="1">
      <alignment horizontal="center" vertical="center"/>
    </xf>
    <xf numFmtId="166" fontId="6" fillId="4" borderId="19" xfId="2" applyNumberFormat="1" applyFont="1" applyFill="1" applyBorder="1" applyAlignment="1">
      <alignment horizontal="center" vertical="center"/>
    </xf>
    <xf numFmtId="0" fontId="6" fillId="2" borderId="435" xfId="0" applyFont="1" applyFill="1" applyBorder="1" applyAlignment="1">
      <alignment vertical="center"/>
    </xf>
    <xf numFmtId="0" fontId="6" fillId="2" borderId="167" xfId="0" applyFont="1" applyFill="1" applyBorder="1" applyAlignment="1">
      <alignment vertical="center"/>
    </xf>
    <xf numFmtId="0" fontId="6" fillId="2" borderId="436" xfId="0" applyFont="1" applyFill="1" applyBorder="1" applyAlignment="1">
      <alignment vertical="center"/>
    </xf>
    <xf numFmtId="0" fontId="8" fillId="2" borderId="429" xfId="0" applyFont="1" applyFill="1" applyBorder="1" applyAlignment="1">
      <alignment vertical="center"/>
    </xf>
    <xf numFmtId="0" fontId="6" fillId="2" borderId="436" xfId="0" applyFont="1" applyFill="1" applyBorder="1" applyAlignment="1">
      <alignment horizontal="left" vertical="center"/>
    </xf>
    <xf numFmtId="0" fontId="6" fillId="2" borderId="435" xfId="0" applyFont="1" applyFill="1" applyBorder="1" applyAlignment="1">
      <alignment horizontal="left" vertical="center"/>
    </xf>
    <xf numFmtId="0" fontId="6" fillId="2" borderId="167" xfId="0" applyFont="1" applyFill="1" applyBorder="1" applyAlignment="1">
      <alignment horizontal="right" vertical="center"/>
    </xf>
    <xf numFmtId="0" fontId="6" fillId="2" borderId="436" xfId="0" applyFont="1" applyFill="1" applyBorder="1" applyAlignment="1">
      <alignment horizontal="right" vertical="center"/>
    </xf>
    <xf numFmtId="0" fontId="6" fillId="2" borderId="422" xfId="0" applyFont="1" applyFill="1" applyBorder="1" applyAlignment="1">
      <alignment vertical="center"/>
    </xf>
    <xf numFmtId="0" fontId="6" fillId="2" borderId="436" xfId="0" quotePrefix="1" applyFont="1" applyFill="1" applyBorder="1" applyAlignment="1">
      <alignment horizontal="left" vertical="center"/>
    </xf>
    <xf numFmtId="0" fontId="6" fillId="2" borderId="435" xfId="0" quotePrefix="1" applyFont="1" applyFill="1" applyBorder="1" applyAlignment="1">
      <alignment horizontal="left" vertical="center"/>
    </xf>
    <xf numFmtId="0" fontId="6" fillId="2" borderId="167" xfId="0" applyFont="1" applyFill="1" applyBorder="1" applyAlignment="1">
      <alignment horizontal="left" vertical="center"/>
    </xf>
    <xf numFmtId="0" fontId="3" fillId="3" borderId="91" xfId="0" applyFont="1" applyFill="1" applyBorder="1" applyAlignment="1">
      <alignment horizontal="center" vertical="center"/>
    </xf>
    <xf numFmtId="0" fontId="3" fillId="3" borderId="89" xfId="0" applyFont="1" applyFill="1" applyBorder="1" applyAlignment="1">
      <alignment horizontal="center" vertical="center"/>
    </xf>
    <xf numFmtId="0" fontId="3" fillId="3" borderId="92" xfId="0" applyFont="1" applyFill="1" applyBorder="1" applyAlignment="1">
      <alignment horizontal="center" vertical="center"/>
    </xf>
    <xf numFmtId="0" fontId="11" fillId="3" borderId="91" xfId="0" applyFont="1" applyFill="1" applyBorder="1" applyAlignment="1">
      <alignment horizontal="center" vertical="center" wrapText="1"/>
    </xf>
    <xf numFmtId="0" fontId="11" fillId="3" borderId="89" xfId="0" applyFont="1" applyFill="1" applyBorder="1" applyAlignment="1">
      <alignment horizontal="center" vertical="center" wrapText="1"/>
    </xf>
    <xf numFmtId="0" fontId="11" fillId="3" borderId="92" xfId="0" applyFont="1" applyFill="1" applyBorder="1" applyAlignment="1">
      <alignment horizontal="center" vertical="center" wrapText="1"/>
    </xf>
    <xf numFmtId="0" fontId="18" fillId="3" borderId="91" xfId="0" applyFont="1" applyFill="1" applyBorder="1" applyAlignment="1">
      <alignment horizontal="center" vertical="center"/>
    </xf>
    <xf numFmtId="0" fontId="18" fillId="3" borderId="89" xfId="0" applyFont="1" applyFill="1" applyBorder="1" applyAlignment="1">
      <alignment horizontal="center" vertical="center"/>
    </xf>
    <xf numFmtId="0" fontId="18" fillId="3" borderId="92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19" xfId="0" applyFont="1" applyFill="1" applyBorder="1" applyAlignment="1">
      <alignment vertical="center"/>
    </xf>
    <xf numFmtId="0" fontId="4" fillId="3" borderId="63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64" xfId="0" applyFont="1" applyFill="1" applyBorder="1" applyAlignment="1">
      <alignment vertical="center"/>
    </xf>
    <xf numFmtId="0" fontId="6" fillId="4" borderId="0" xfId="0" applyFont="1" applyFill="1" applyBorder="1" applyAlignment="1">
      <alignment horizontal="center"/>
    </xf>
    <xf numFmtId="0" fontId="6" fillId="4" borderId="444" xfId="0" applyFont="1" applyFill="1" applyBorder="1" applyAlignment="1">
      <alignment horizontal="left"/>
    </xf>
    <xf numFmtId="0" fontId="6" fillId="4" borderId="445" xfId="0" applyFont="1" applyFill="1" applyBorder="1" applyAlignment="1">
      <alignment horizontal="left"/>
    </xf>
    <xf numFmtId="0" fontId="6" fillId="4" borderId="446" xfId="0" applyFont="1" applyFill="1" applyBorder="1" applyAlignment="1">
      <alignment horizontal="left"/>
    </xf>
    <xf numFmtId="0" fontId="6" fillId="4" borderId="447" xfId="0" applyFont="1" applyFill="1" applyBorder="1" applyAlignment="1">
      <alignment horizontal="left"/>
    </xf>
    <xf numFmtId="0" fontId="6" fillId="4" borderId="448" xfId="0" applyFont="1" applyFill="1" applyBorder="1" applyAlignment="1">
      <alignment horizontal="left"/>
    </xf>
    <xf numFmtId="0" fontId="6" fillId="4" borderId="449" xfId="0" applyFont="1" applyFill="1" applyBorder="1" applyAlignment="1">
      <alignment horizontal="left"/>
    </xf>
    <xf numFmtId="0" fontId="6" fillId="4" borderId="450" xfId="0" applyFont="1" applyFill="1" applyBorder="1" applyAlignment="1">
      <alignment horizontal="left"/>
    </xf>
    <xf numFmtId="0" fontId="6" fillId="4" borderId="451" xfId="0" applyFont="1" applyFill="1" applyBorder="1" applyAlignment="1">
      <alignment horizontal="left"/>
    </xf>
    <xf numFmtId="0" fontId="6" fillId="4" borderId="0" xfId="0" applyFont="1" applyFill="1" applyBorder="1" applyAlignment="1"/>
    <xf numFmtId="0" fontId="6" fillId="4" borderId="0" xfId="0" applyFont="1" applyFill="1" applyBorder="1" applyAlignment="1">
      <alignment horizontal="left"/>
    </xf>
    <xf numFmtId="168" fontId="6" fillId="4" borderId="0" xfId="0" applyNumberFormat="1" applyFont="1" applyFill="1" applyBorder="1" applyAlignment="1">
      <alignment horizontal="left"/>
    </xf>
    <xf numFmtId="4" fontId="6" fillId="4" borderId="0" xfId="0" applyNumberFormat="1" applyFont="1" applyFill="1" applyBorder="1" applyAlignment="1">
      <alignment horizontal="left"/>
    </xf>
    <xf numFmtId="10" fontId="6" fillId="3" borderId="5" xfId="0" applyNumberFormat="1" applyFont="1" applyFill="1" applyBorder="1" applyAlignment="1">
      <alignment horizontal="center" vertical="center"/>
    </xf>
    <xf numFmtId="10" fontId="6" fillId="3" borderId="12" xfId="0" applyNumberFormat="1" applyFont="1" applyFill="1" applyBorder="1" applyAlignment="1">
      <alignment horizontal="center" vertical="center"/>
    </xf>
    <xf numFmtId="10" fontId="6" fillId="3" borderId="30" xfId="0" applyNumberFormat="1" applyFont="1" applyFill="1" applyBorder="1" applyAlignment="1">
      <alignment horizontal="center" vertical="center"/>
    </xf>
    <xf numFmtId="9" fontId="6" fillId="3" borderId="5" xfId="2" applyFont="1" applyFill="1" applyBorder="1" applyAlignment="1">
      <alignment horizontal="center" vertical="center"/>
    </xf>
    <xf numFmtId="9" fontId="6" fillId="3" borderId="12" xfId="2" applyFont="1" applyFill="1" applyBorder="1" applyAlignment="1">
      <alignment horizontal="center" vertical="center"/>
    </xf>
    <xf numFmtId="9" fontId="6" fillId="3" borderId="30" xfId="2" applyFont="1" applyFill="1" applyBorder="1" applyAlignment="1">
      <alignment horizontal="center" vertical="center"/>
    </xf>
    <xf numFmtId="0" fontId="6" fillId="3" borderId="431" xfId="0" applyFont="1" applyFill="1" applyBorder="1" applyAlignment="1">
      <alignment horizontal="center" vertical="center"/>
    </xf>
    <xf numFmtId="0" fontId="6" fillId="3" borderId="43" xfId="0" applyNumberFormat="1" applyFont="1" applyFill="1" applyBorder="1" applyAlignment="1">
      <alignment horizontal="center" vertical="center"/>
    </xf>
    <xf numFmtId="0" fontId="6" fillId="3" borderId="44" xfId="0" applyNumberFormat="1" applyFont="1" applyFill="1" applyBorder="1" applyAlignment="1">
      <alignment horizontal="center" vertical="center"/>
    </xf>
    <xf numFmtId="164" fontId="14" fillId="3" borderId="51" xfId="0" applyNumberFormat="1" applyFont="1" applyFill="1" applyBorder="1" applyAlignment="1">
      <alignment vertical="center"/>
    </xf>
    <xf numFmtId="164" fontId="14" fillId="3" borderId="66" xfId="0" applyNumberFormat="1" applyFont="1" applyFill="1" applyBorder="1" applyAlignment="1">
      <alignment vertical="center"/>
    </xf>
    <xf numFmtId="164" fontId="14" fillId="3" borderId="70" xfId="0" applyNumberFormat="1" applyFont="1" applyFill="1" applyBorder="1" applyAlignment="1">
      <alignment vertical="center"/>
    </xf>
    <xf numFmtId="164" fontId="14" fillId="3" borderId="71" xfId="0" applyNumberFormat="1" applyFont="1" applyFill="1" applyBorder="1" applyAlignment="1">
      <alignment vertical="center"/>
    </xf>
    <xf numFmtId="164" fontId="14" fillId="4" borderId="16" xfId="0" applyNumberFormat="1" applyFont="1" applyFill="1" applyBorder="1" applyAlignment="1">
      <alignment vertical="center"/>
    </xf>
    <xf numFmtId="10" fontId="6" fillId="3" borderId="432" xfId="2" applyNumberFormat="1" applyFont="1" applyFill="1" applyBorder="1" applyAlignment="1">
      <alignment horizontal="center" vertical="center"/>
    </xf>
    <xf numFmtId="0" fontId="6" fillId="3" borderId="5" xfId="2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4" fontId="6" fillId="0" borderId="0" xfId="0" applyNumberFormat="1" applyFont="1" applyFill="1" applyBorder="1"/>
    <xf numFmtId="164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38" fillId="3" borderId="12" xfId="0" applyFont="1" applyFill="1" applyBorder="1" applyAlignment="1">
      <alignment horizontal="center" vertical="center"/>
    </xf>
    <xf numFmtId="164" fontId="7" fillId="3" borderId="12" xfId="0" applyNumberFormat="1" applyFont="1" applyFill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164" fontId="7" fillId="3" borderId="12" xfId="0" applyNumberFormat="1" applyFont="1" applyFill="1" applyBorder="1" applyAlignment="1">
      <alignment vertical="center"/>
    </xf>
    <xf numFmtId="164" fontId="7" fillId="3" borderId="12" xfId="0" applyNumberFormat="1" applyFont="1" applyFill="1" applyBorder="1"/>
    <xf numFmtId="10" fontId="7" fillId="3" borderId="12" xfId="0" applyNumberFormat="1" applyFont="1" applyFill="1" applyBorder="1" applyAlignment="1">
      <alignment horizontal="center" vertical="center"/>
    </xf>
    <xf numFmtId="0" fontId="8" fillId="3" borderId="12" xfId="0" applyFont="1" applyFill="1" applyBorder="1"/>
    <xf numFmtId="164" fontId="8" fillId="3" borderId="12" xfId="0" applyNumberFormat="1" applyFont="1" applyFill="1" applyBorder="1"/>
    <xf numFmtId="0" fontId="6" fillId="0" borderId="12" xfId="0" applyFont="1" applyBorder="1"/>
    <xf numFmtId="164" fontId="6" fillId="0" borderId="12" xfId="0" applyNumberFormat="1" applyFont="1" applyFill="1" applyBorder="1"/>
    <xf numFmtId="164" fontId="6" fillId="0" borderId="12" xfId="0" applyNumberFormat="1" applyFont="1" applyBorder="1"/>
    <xf numFmtId="10" fontId="6" fillId="3" borderId="12" xfId="1" applyNumberFormat="1" applyFont="1" applyFill="1" applyBorder="1"/>
    <xf numFmtId="164" fontId="6" fillId="3" borderId="12" xfId="0" applyNumberFormat="1" applyFont="1" applyFill="1" applyBorder="1"/>
    <xf numFmtId="10" fontId="8" fillId="3" borderId="12" xfId="0" applyNumberFormat="1" applyFont="1" applyFill="1" applyBorder="1"/>
    <xf numFmtId="0" fontId="7" fillId="4" borderId="0" xfId="0" applyFont="1" applyFill="1" applyAlignment="1">
      <alignment vertical="center"/>
    </xf>
    <xf numFmtId="0" fontId="7" fillId="4" borderId="0" xfId="0" applyFont="1" applyFill="1"/>
    <xf numFmtId="0" fontId="7" fillId="0" borderId="0" xfId="0" applyFont="1"/>
    <xf numFmtId="0" fontId="6" fillId="2" borderId="452" xfId="0" applyFont="1" applyFill="1" applyBorder="1" applyAlignment="1">
      <alignment vertical="center"/>
    </xf>
    <xf numFmtId="164" fontId="8" fillId="0" borderId="0" xfId="0" applyNumberFormat="1" applyFont="1" applyFill="1" applyBorder="1"/>
    <xf numFmtId="10" fontId="6" fillId="0" borderId="0" xfId="1" applyNumberFormat="1" applyFont="1" applyFill="1" applyBorder="1" applyAlignment="1">
      <alignment horizontal="center" vertical="center"/>
    </xf>
    <xf numFmtId="164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/>
    <xf numFmtId="10" fontId="6" fillId="0" borderId="0" xfId="1" applyNumberFormat="1" applyFont="1" applyFill="1" applyBorder="1"/>
    <xf numFmtId="10" fontId="8" fillId="0" borderId="0" xfId="0" applyNumberFormat="1" applyFont="1" applyFill="1" applyBorder="1"/>
    <xf numFmtId="43" fontId="6" fillId="0" borderId="0" xfId="0" applyNumberFormat="1" applyFont="1" applyFill="1" applyBorder="1"/>
    <xf numFmtId="43" fontId="8" fillId="0" borderId="0" xfId="0" applyNumberFormat="1" applyFont="1" applyFill="1" applyBorder="1"/>
    <xf numFmtId="0" fontId="3" fillId="0" borderId="51" xfId="0" applyFont="1" applyFill="1" applyBorder="1" applyAlignment="1">
      <alignment vertical="center"/>
    </xf>
    <xf numFmtId="0" fontId="3" fillId="0" borderId="52" xfId="0" applyFont="1" applyFill="1" applyBorder="1" applyAlignment="1">
      <alignment vertical="center"/>
    </xf>
    <xf numFmtId="0" fontId="3" fillId="0" borderId="53" xfId="0" applyFont="1" applyFill="1" applyBorder="1" applyAlignment="1">
      <alignment vertical="center"/>
    </xf>
    <xf numFmtId="164" fontId="3" fillId="3" borderId="37" xfId="0" applyNumberFormat="1" applyFont="1" applyFill="1" applyBorder="1" applyAlignment="1">
      <alignment vertical="center"/>
    </xf>
    <xf numFmtId="0" fontId="3" fillId="3" borderId="36" xfId="0" applyFont="1" applyFill="1" applyBorder="1" applyAlignment="1">
      <alignment vertical="center"/>
    </xf>
    <xf numFmtId="164" fontId="6" fillId="3" borderId="189" xfId="0" applyNumberFormat="1" applyFont="1" applyFill="1" applyBorder="1" applyAlignment="1" applyProtection="1">
      <alignment horizontal="right" vertical="center"/>
      <protection locked="0"/>
    </xf>
    <xf numFmtId="164" fontId="6" fillId="3" borderId="117" xfId="0" applyNumberFormat="1" applyFont="1" applyFill="1" applyBorder="1" applyAlignment="1" applyProtection="1">
      <alignment horizontal="right" vertical="center"/>
      <protection locked="0"/>
    </xf>
    <xf numFmtId="10" fontId="3" fillId="0" borderId="12" xfId="1" applyNumberFormat="1" applyFont="1" applyFill="1" applyBorder="1" applyAlignment="1">
      <alignment horizontal="right" vertical="center"/>
    </xf>
    <xf numFmtId="1" fontId="3" fillId="0" borderId="186" xfId="0" applyNumberFormat="1" applyFont="1" applyFill="1" applyBorder="1" applyAlignment="1" applyProtection="1">
      <alignment horizontal="center"/>
      <protection locked="0"/>
    </xf>
    <xf numFmtId="10" fontId="3" fillId="0" borderId="186" xfId="2" applyNumberFormat="1" applyFont="1" applyFill="1" applyBorder="1" applyAlignment="1" applyProtection="1">
      <alignment horizontal="center"/>
      <protection locked="0"/>
    </xf>
    <xf numFmtId="4" fontId="3" fillId="3" borderId="185" xfId="0" applyNumberFormat="1" applyFont="1" applyFill="1" applyBorder="1" applyAlignment="1" applyProtection="1">
      <alignment horizontal="center"/>
      <protection locked="0"/>
    </xf>
    <xf numFmtId="1" fontId="3" fillId="3" borderId="185" xfId="0" applyNumberFormat="1" applyFont="1" applyFill="1" applyBorder="1" applyAlignment="1" applyProtection="1">
      <alignment horizontal="center"/>
      <protection locked="0"/>
    </xf>
    <xf numFmtId="1" fontId="3" fillId="4" borderId="186" xfId="0" applyNumberFormat="1" applyFont="1" applyFill="1" applyBorder="1" applyAlignment="1" applyProtection="1">
      <alignment horizontal="center"/>
      <protection locked="0"/>
    </xf>
    <xf numFmtId="172" fontId="3" fillId="4" borderId="0" xfId="0" applyNumberFormat="1" applyFont="1" applyFill="1" applyBorder="1" applyProtection="1"/>
    <xf numFmtId="1" fontId="3" fillId="4" borderId="185" xfId="0" applyNumberFormat="1" applyFont="1" applyFill="1" applyBorder="1" applyAlignment="1" applyProtection="1">
      <alignment horizontal="center"/>
      <protection locked="0"/>
    </xf>
    <xf numFmtId="15" fontId="3" fillId="4" borderId="191" xfId="0" applyNumberFormat="1" applyFont="1" applyFill="1" applyBorder="1" applyAlignment="1" applyProtection="1">
      <alignment horizontal="center"/>
      <protection locked="0"/>
    </xf>
    <xf numFmtId="10" fontId="3" fillId="4" borderId="185" xfId="2" applyNumberFormat="1" applyFont="1" applyFill="1" applyBorder="1" applyAlignment="1" applyProtection="1">
      <alignment horizontal="center"/>
      <protection locked="0"/>
    </xf>
    <xf numFmtId="10" fontId="3" fillId="4" borderId="186" xfId="2" applyNumberFormat="1" applyFont="1" applyFill="1" applyBorder="1" applyAlignment="1" applyProtection="1">
      <alignment horizontal="center"/>
      <protection locked="0"/>
    </xf>
    <xf numFmtId="4" fontId="3" fillId="3" borderId="0" xfId="0" applyNumberFormat="1" applyFont="1" applyFill="1" applyBorder="1" applyAlignment="1" applyProtection="1">
      <alignment horizontal="center"/>
      <protection locked="0"/>
    </xf>
    <xf numFmtId="1" fontId="4" fillId="4" borderId="0" xfId="0" applyNumberFormat="1" applyFont="1" applyFill="1" applyBorder="1"/>
    <xf numFmtId="174" fontId="3" fillId="4" borderId="0" xfId="0" applyNumberFormat="1" applyFont="1" applyFill="1" applyBorder="1" applyAlignment="1">
      <alignment horizontal="right"/>
    </xf>
    <xf numFmtId="0" fontId="3" fillId="4" borderId="0" xfId="0" applyFont="1" applyFill="1" applyBorder="1"/>
    <xf numFmtId="174" fontId="3" fillId="4" borderId="0" xfId="0" applyNumberFormat="1" applyFont="1" applyFill="1" applyBorder="1"/>
    <xf numFmtId="174" fontId="3" fillId="11" borderId="454" xfId="0" applyNumberFormat="1" applyFont="1" applyFill="1" applyBorder="1" applyAlignment="1">
      <alignment horizontal="right"/>
    </xf>
    <xf numFmtId="174" fontId="3" fillId="11" borderId="455" xfId="0" applyNumberFormat="1" applyFont="1" applyFill="1" applyBorder="1" applyAlignment="1">
      <alignment horizontal="right"/>
    </xf>
    <xf numFmtId="10" fontId="7" fillId="4" borderId="12" xfId="1" applyNumberFormat="1" applyFont="1" applyFill="1" applyBorder="1" applyAlignment="1">
      <alignment vertical="center"/>
    </xf>
    <xf numFmtId="164" fontId="38" fillId="3" borderId="12" xfId="0" applyNumberFormat="1" applyFont="1" applyFill="1" applyBorder="1" applyAlignment="1">
      <alignment vertical="center"/>
    </xf>
    <xf numFmtId="164" fontId="7" fillId="4" borderId="0" xfId="0" applyNumberFormat="1" applyFont="1" applyFill="1" applyAlignment="1">
      <alignment vertical="center"/>
    </xf>
    <xf numFmtId="0" fontId="38" fillId="3" borderId="168" xfId="0" applyFont="1" applyFill="1" applyBorder="1" applyAlignment="1">
      <alignment vertical="center"/>
    </xf>
    <xf numFmtId="0" fontId="38" fillId="3" borderId="4" xfId="0" applyFont="1" applyFill="1" applyBorder="1" applyAlignment="1">
      <alignment vertical="center"/>
    </xf>
    <xf numFmtId="0" fontId="38" fillId="3" borderId="5" xfId="0" applyFont="1" applyFill="1" applyBorder="1" applyAlignment="1">
      <alignment vertical="center"/>
    </xf>
    <xf numFmtId="167" fontId="3" fillId="3" borderId="458" xfId="3" applyFont="1" applyFill="1" applyBorder="1" applyAlignment="1">
      <alignment vertical="center"/>
    </xf>
    <xf numFmtId="164" fontId="3" fillId="3" borderId="458" xfId="3" applyNumberFormat="1" applyFont="1" applyFill="1" applyBorder="1" applyAlignment="1">
      <alignment vertical="center"/>
    </xf>
    <xf numFmtId="167" fontId="4" fillId="3" borderId="458" xfId="3" applyFont="1" applyFill="1" applyBorder="1" applyAlignment="1">
      <alignment vertical="center"/>
    </xf>
    <xf numFmtId="0" fontId="6" fillId="0" borderId="452" xfId="0" applyFont="1" applyFill="1" applyBorder="1" applyAlignment="1">
      <alignment vertical="center"/>
    </xf>
    <xf numFmtId="164" fontId="3" fillId="0" borderId="22" xfId="0" applyNumberFormat="1" applyFont="1" applyFill="1" applyBorder="1" applyAlignment="1">
      <alignment vertical="center"/>
    </xf>
    <xf numFmtId="0" fontId="0" fillId="4" borderId="0" xfId="0" applyFill="1" applyBorder="1" applyAlignment="1">
      <alignment vertical="center"/>
    </xf>
    <xf numFmtId="164" fontId="3" fillId="4" borderId="0" xfId="3" applyNumberFormat="1" applyFont="1" applyFill="1" applyBorder="1" applyAlignment="1">
      <alignment vertical="center"/>
    </xf>
    <xf numFmtId="167" fontId="3" fillId="3" borderId="460" xfId="3" applyFont="1" applyFill="1" applyBorder="1" applyAlignment="1">
      <alignment vertical="center"/>
    </xf>
    <xf numFmtId="164" fontId="3" fillId="3" borderId="460" xfId="3" applyNumberFormat="1" applyFont="1" applyFill="1" applyBorder="1" applyAlignment="1">
      <alignment vertical="center"/>
    </xf>
    <xf numFmtId="167" fontId="3" fillId="3" borderId="459" xfId="3" applyFont="1" applyFill="1" applyBorder="1" applyAlignment="1">
      <alignment vertical="center"/>
    </xf>
    <xf numFmtId="164" fontId="3" fillId="3" borderId="459" xfId="3" applyNumberFormat="1" applyFont="1" applyFill="1" applyBorder="1" applyAlignment="1">
      <alignment vertical="center"/>
    </xf>
    <xf numFmtId="169" fontId="4" fillId="3" borderId="458" xfId="3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" fontId="7" fillId="3" borderId="12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vertical="center"/>
    </xf>
    <xf numFmtId="0" fontId="38" fillId="3" borderId="12" xfId="0" applyFont="1" applyFill="1" applyBorder="1" applyAlignment="1">
      <alignment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12" xfId="0" applyFont="1" applyFill="1" applyBorder="1" applyAlignment="1">
      <alignment vertical="center" wrapText="1"/>
    </xf>
    <xf numFmtId="164" fontId="38" fillId="3" borderId="12" xfId="1" applyNumberFormat="1" applyFont="1" applyFill="1" applyBorder="1" applyAlignment="1">
      <alignment vertical="center"/>
    </xf>
    <xf numFmtId="164" fontId="3" fillId="0" borderId="84" xfId="0" applyNumberFormat="1" applyFont="1" applyFill="1" applyBorder="1" applyAlignment="1">
      <alignment vertical="center"/>
    </xf>
    <xf numFmtId="49" fontId="3" fillId="0" borderId="52" xfId="0" applyNumberFormat="1" applyFont="1" applyFill="1" applyBorder="1" applyAlignment="1">
      <alignment vertical="center"/>
    </xf>
    <xf numFmtId="1" fontId="3" fillId="0" borderId="52" xfId="0" applyNumberFormat="1" applyFont="1" applyFill="1" applyBorder="1" applyAlignment="1">
      <alignment vertical="center"/>
    </xf>
    <xf numFmtId="49" fontId="4" fillId="0" borderId="52" xfId="0" applyNumberFormat="1" applyFont="1" applyFill="1" applyBorder="1" applyAlignment="1">
      <alignment vertical="center"/>
    </xf>
    <xf numFmtId="49" fontId="3" fillId="2" borderId="52" xfId="0" applyNumberFormat="1" applyFont="1" applyFill="1" applyBorder="1" applyAlignment="1">
      <alignment vertical="center"/>
    </xf>
    <xf numFmtId="1" fontId="3" fillId="2" borderId="52" xfId="0" applyNumberFormat="1" applyFont="1" applyFill="1" applyBorder="1" applyAlignment="1">
      <alignment vertical="center"/>
    </xf>
    <xf numFmtId="49" fontId="3" fillId="2" borderId="53" xfId="0" applyNumberFormat="1" applyFont="1" applyFill="1" applyBorder="1" applyAlignment="1">
      <alignment vertical="center"/>
    </xf>
    <xf numFmtId="1" fontId="3" fillId="2" borderId="53" xfId="0" applyNumberFormat="1" applyFont="1" applyFill="1" applyBorder="1" applyAlignment="1">
      <alignment vertical="center"/>
    </xf>
    <xf numFmtId="49" fontId="3" fillId="0" borderId="54" xfId="0" applyNumberFormat="1" applyFont="1" applyFill="1" applyBorder="1" applyAlignment="1">
      <alignment vertical="center"/>
    </xf>
    <xf numFmtId="1" fontId="3" fillId="0" borderId="54" xfId="0" applyNumberFormat="1" applyFont="1" applyFill="1" applyBorder="1" applyAlignment="1">
      <alignment vertical="center"/>
    </xf>
    <xf numFmtId="1" fontId="3" fillId="3" borderId="54" xfId="0" applyNumberFormat="1" applyFont="1" applyFill="1" applyBorder="1" applyAlignment="1">
      <alignment vertical="center"/>
    </xf>
    <xf numFmtId="1" fontId="3" fillId="3" borderId="229" xfId="0" applyNumberFormat="1" applyFont="1" applyFill="1" applyBorder="1" applyAlignment="1">
      <alignment vertical="center"/>
    </xf>
    <xf numFmtId="1" fontId="3" fillId="2" borderId="311" xfId="0" applyNumberFormat="1" applyFont="1" applyFill="1" applyBorder="1" applyAlignment="1">
      <alignment vertical="center"/>
    </xf>
    <xf numFmtId="0" fontId="7" fillId="4" borderId="458" xfId="0" applyFont="1" applyFill="1" applyBorder="1" applyAlignment="1">
      <alignment vertical="center"/>
    </xf>
    <xf numFmtId="0" fontId="7" fillId="4" borderId="458" xfId="0" applyFont="1" applyFill="1" applyBorder="1"/>
    <xf numFmtId="0" fontId="6" fillId="0" borderId="458" xfId="0" applyFont="1" applyFill="1" applyBorder="1" applyAlignment="1">
      <alignment horizontal="left" vertical="center"/>
    </xf>
    <xf numFmtId="0" fontId="7" fillId="0" borderId="458" xfId="0" applyFont="1" applyBorder="1" applyAlignment="1">
      <alignment vertical="center"/>
    </xf>
    <xf numFmtId="0" fontId="7" fillId="0" borderId="458" xfId="0" applyFont="1" applyFill="1" applyBorder="1" applyAlignment="1">
      <alignment vertical="center"/>
    </xf>
    <xf numFmtId="0" fontId="39" fillId="4" borderId="0" xfId="0" applyFont="1" applyFill="1" applyBorder="1" applyAlignment="1">
      <alignment vertical="center"/>
    </xf>
    <xf numFmtId="0" fontId="38" fillId="3" borderId="458" xfId="0" applyFont="1" applyFill="1" applyBorder="1" applyAlignment="1">
      <alignment horizontal="center" vertical="center"/>
    </xf>
    <xf numFmtId="177" fontId="7" fillId="0" borderId="311" xfId="0" applyNumberFormat="1" applyFont="1" applyBorder="1" applyAlignment="1">
      <alignment vertical="center"/>
    </xf>
    <xf numFmtId="49" fontId="3" fillId="3" borderId="345" xfId="0" applyNumberFormat="1" applyFont="1" applyFill="1" applyBorder="1" applyAlignment="1">
      <alignment horizontal="right" vertical="center"/>
    </xf>
    <xf numFmtId="1" fontId="4" fillId="3" borderId="351" xfId="0" applyNumberFormat="1" applyFont="1" applyFill="1" applyBorder="1" applyAlignment="1">
      <alignment horizontal="left" vertical="center"/>
    </xf>
    <xf numFmtId="1" fontId="3" fillId="0" borderId="54" xfId="0" applyNumberFormat="1" applyFont="1" applyFill="1" applyBorder="1" applyAlignment="1">
      <alignment horizontal="right" vertical="center"/>
    </xf>
    <xf numFmtId="0" fontId="6" fillId="3" borderId="12" xfId="0" applyFont="1" applyFill="1" applyBorder="1" applyAlignment="1">
      <alignment vertical="center" wrapText="1"/>
    </xf>
    <xf numFmtId="164" fontId="6" fillId="4" borderId="12" xfId="0" applyNumberFormat="1" applyFont="1" applyFill="1" applyBorder="1"/>
    <xf numFmtId="164" fontId="8" fillId="3" borderId="6" xfId="0" applyNumberFormat="1" applyFont="1" applyFill="1" applyBorder="1"/>
    <xf numFmtId="164" fontId="6" fillId="3" borderId="12" xfId="0" applyNumberFormat="1" applyFont="1" applyFill="1" applyBorder="1" applyAlignment="1">
      <alignment vertical="center" wrapText="1"/>
    </xf>
    <xf numFmtId="2" fontId="6" fillId="22" borderId="362" xfId="0" applyNumberFormat="1" applyFont="1" applyFill="1" applyBorder="1"/>
    <xf numFmtId="0" fontId="0" fillId="3" borderId="465" xfId="0" applyFill="1" applyBorder="1"/>
    <xf numFmtId="2" fontId="6" fillId="22" borderId="465" xfId="0" applyNumberFormat="1" applyFont="1" applyFill="1" applyBorder="1"/>
    <xf numFmtId="0" fontId="0" fillId="22" borderId="465" xfId="0" applyFill="1" applyBorder="1"/>
    <xf numFmtId="2" fontId="11" fillId="4" borderId="0" xfId="0" applyNumberFormat="1" applyFont="1" applyFill="1"/>
    <xf numFmtId="0" fontId="11" fillId="3" borderId="368" xfId="0" applyFont="1" applyFill="1" applyBorder="1"/>
    <xf numFmtId="2" fontId="3" fillId="3" borderId="369" xfId="5" applyNumberFormat="1" applyFont="1" applyFill="1" applyBorder="1" applyAlignment="1" applyProtection="1">
      <alignment horizontal="right" vertical="center"/>
    </xf>
    <xf numFmtId="0" fontId="11" fillId="3" borderId="378" xfId="0" applyFont="1" applyFill="1" applyBorder="1"/>
    <xf numFmtId="0" fontId="11" fillId="3" borderId="377" xfId="0" applyFont="1" applyFill="1" applyBorder="1"/>
    <xf numFmtId="2" fontId="11" fillId="3" borderId="369" xfId="0" applyNumberFormat="1" applyFont="1" applyFill="1" applyBorder="1"/>
    <xf numFmtId="0" fontId="11" fillId="3" borderId="366" xfId="0" applyFont="1" applyFill="1" applyBorder="1"/>
    <xf numFmtId="2" fontId="3" fillId="3" borderId="367" xfId="5" applyNumberFormat="1" applyFont="1" applyFill="1" applyBorder="1" applyAlignment="1" applyProtection="1">
      <alignment vertical="center"/>
    </xf>
    <xf numFmtId="2" fontId="3" fillId="3" borderId="367" xfId="5" applyNumberFormat="1" applyFont="1" applyFill="1" applyBorder="1" applyAlignment="1" applyProtection="1">
      <alignment horizontal="right" vertical="center"/>
    </xf>
    <xf numFmtId="0" fontId="11" fillId="3" borderId="370" xfId="0" applyFont="1" applyFill="1" applyBorder="1"/>
    <xf numFmtId="0" fontId="11" fillId="3" borderId="372" xfId="0" applyFont="1" applyFill="1" applyBorder="1"/>
    <xf numFmtId="2" fontId="11" fillId="3" borderId="373" xfId="0" applyNumberFormat="1" applyFont="1" applyFill="1" applyBorder="1"/>
    <xf numFmtId="176" fontId="6" fillId="0" borderId="437" xfId="0" applyNumberFormat="1" applyFont="1" applyFill="1" applyBorder="1" applyAlignment="1" applyProtection="1">
      <alignment horizontal="center" vertical="center"/>
    </xf>
    <xf numFmtId="0" fontId="11" fillId="16" borderId="0" xfId="0" applyFont="1" applyFill="1" applyBorder="1" applyAlignment="1">
      <alignment horizontal="center" vertical="center"/>
    </xf>
    <xf numFmtId="1" fontId="7" fillId="4" borderId="458" xfId="0" applyNumberFormat="1" applyFont="1" applyFill="1" applyBorder="1" applyAlignment="1">
      <alignment horizontal="center" vertical="center"/>
    </xf>
    <xf numFmtId="1" fontId="7" fillId="0" borderId="458" xfId="0" applyNumberFormat="1" applyFont="1" applyBorder="1" applyAlignment="1">
      <alignment horizontal="center" vertical="center"/>
    </xf>
    <xf numFmtId="49" fontId="4" fillId="3" borderId="40" xfId="0" applyNumberFormat="1" applyFont="1" applyFill="1" applyBorder="1" applyAlignment="1">
      <alignment horizontal="center" vertical="center"/>
    </xf>
    <xf numFmtId="49" fontId="4" fillId="3" borderId="41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vertical="center"/>
    </xf>
    <xf numFmtId="49" fontId="3" fillId="3" borderId="12" xfId="0" applyNumberFormat="1" applyFont="1" applyFill="1" applyBorder="1" applyAlignment="1">
      <alignment vertical="center"/>
    </xf>
    <xf numFmtId="49" fontId="3" fillId="2" borderId="12" xfId="0" applyNumberFormat="1" applyFont="1" applyFill="1" applyBorder="1" applyAlignment="1">
      <alignment vertical="center"/>
    </xf>
    <xf numFmtId="178" fontId="3" fillId="2" borderId="12" xfId="0" applyNumberFormat="1" applyFont="1" applyFill="1" applyBorder="1" applyAlignment="1">
      <alignment vertical="center"/>
    </xf>
    <xf numFmtId="2" fontId="3" fillId="4" borderId="12" xfId="0" applyNumberFormat="1" applyFont="1" applyFill="1" applyBorder="1"/>
    <xf numFmtId="49" fontId="3" fillId="4" borderId="12" xfId="0" applyNumberFormat="1" applyFont="1" applyFill="1" applyBorder="1" applyAlignment="1">
      <alignment vertical="center"/>
    </xf>
    <xf numFmtId="0" fontId="4" fillId="3" borderId="118" xfId="0" applyFont="1" applyFill="1" applyBorder="1" applyAlignment="1">
      <alignment vertical="center"/>
    </xf>
    <xf numFmtId="164" fontId="4" fillId="3" borderId="118" xfId="0" applyNumberFormat="1" applyFont="1" applyFill="1" applyBorder="1" applyAlignment="1">
      <alignment vertical="center"/>
    </xf>
    <xf numFmtId="0" fontId="11" fillId="16" borderId="466" xfId="0" applyFont="1" applyFill="1" applyBorder="1"/>
    <xf numFmtId="0" fontId="11" fillId="16" borderId="467" xfId="0" applyFont="1" applyFill="1" applyBorder="1" applyAlignment="1">
      <alignment horizontal="center" vertical="center"/>
    </xf>
    <xf numFmtId="0" fontId="11" fillId="16" borderId="468" xfId="0" applyFont="1" applyFill="1" applyBorder="1" applyAlignment="1">
      <alignment horizontal="center" vertical="center"/>
    </xf>
    <xf numFmtId="0" fontId="11" fillId="3" borderId="469" xfId="0" applyFont="1" applyFill="1" applyBorder="1"/>
    <xf numFmtId="1" fontId="6" fillId="3" borderId="52" xfId="0" applyNumberFormat="1" applyFont="1" applyFill="1" applyBorder="1" applyAlignment="1">
      <alignment horizontal="center" vertical="center"/>
    </xf>
    <xf numFmtId="1" fontId="6" fillId="3" borderId="68" xfId="0" applyNumberFormat="1" applyFont="1" applyFill="1" applyBorder="1" applyAlignment="1">
      <alignment horizontal="center" vertical="center"/>
    </xf>
    <xf numFmtId="174" fontId="6" fillId="2" borderId="70" xfId="0" applyNumberFormat="1" applyFont="1" applyFill="1" applyBorder="1" applyAlignment="1">
      <alignment horizontal="center" vertical="center"/>
    </xf>
    <xf numFmtId="174" fontId="6" fillId="2" borderId="71" xfId="0" applyNumberFormat="1" applyFont="1" applyFill="1" applyBorder="1" applyAlignment="1">
      <alignment horizontal="center" vertical="center"/>
    </xf>
    <xf numFmtId="10" fontId="6" fillId="3" borderId="51" xfId="2" applyNumberFormat="1" applyFont="1" applyFill="1" applyBorder="1" applyAlignment="1">
      <alignment horizontal="center" vertical="center"/>
    </xf>
    <xf numFmtId="174" fontId="6" fillId="3" borderId="52" xfId="0" applyNumberFormat="1" applyFont="1" applyFill="1" applyBorder="1" applyAlignment="1">
      <alignment horizontal="center" vertical="center"/>
    </xf>
    <xf numFmtId="10" fontId="6" fillId="3" borderId="52" xfId="2" applyNumberFormat="1" applyFont="1" applyFill="1" applyBorder="1" applyAlignment="1">
      <alignment horizontal="center" vertical="center"/>
    </xf>
    <xf numFmtId="174" fontId="6" fillId="3" borderId="70" xfId="0" applyNumberFormat="1" applyFont="1" applyFill="1" applyBorder="1" applyAlignment="1">
      <alignment horizontal="center" vertical="center"/>
    </xf>
    <xf numFmtId="164" fontId="3" fillId="3" borderId="470" xfId="0" applyNumberFormat="1" applyFont="1" applyFill="1" applyBorder="1" applyAlignment="1">
      <alignment vertical="center"/>
    </xf>
    <xf numFmtId="0" fontId="6" fillId="0" borderId="19" xfId="0" applyFont="1" applyFill="1" applyBorder="1" applyAlignment="1">
      <alignment horizontal="center" vertical="center"/>
    </xf>
    <xf numFmtId="9" fontId="6" fillId="0" borderId="77" xfId="1" applyFont="1" applyFill="1" applyBorder="1" applyAlignment="1">
      <alignment horizontal="center" vertical="center"/>
    </xf>
    <xf numFmtId="10" fontId="6" fillId="0" borderId="434" xfId="2" applyNumberFormat="1" applyFont="1" applyFill="1" applyBorder="1" applyAlignment="1">
      <alignment horizontal="center" vertical="center"/>
    </xf>
    <xf numFmtId="0" fontId="3" fillId="3" borderId="109" xfId="0" applyNumberFormat="1" applyFont="1" applyFill="1" applyBorder="1" applyAlignment="1" applyProtection="1">
      <alignment horizontal="right" vertical="center"/>
    </xf>
    <xf numFmtId="2" fontId="3" fillId="2" borderId="0" xfId="0" applyNumberFormat="1" applyFont="1" applyFill="1" applyAlignment="1">
      <alignment vertical="center"/>
    </xf>
    <xf numFmtId="0" fontId="0" fillId="0" borderId="0" xfId="0" applyBorder="1" applyAlignment="1">
      <alignment vertical="center"/>
    </xf>
    <xf numFmtId="0" fontId="4" fillId="11" borderId="313" xfId="0" applyFont="1" applyFill="1" applyBorder="1" applyAlignment="1">
      <alignment horizontal="center" vertical="center"/>
    </xf>
    <xf numFmtId="0" fontId="4" fillId="11" borderId="312" xfId="0" applyFont="1" applyFill="1" applyBorder="1" applyAlignment="1">
      <alignment horizontal="center" vertical="center" wrapText="1"/>
    </xf>
    <xf numFmtId="0" fontId="7" fillId="3" borderId="12" xfId="1" applyNumberFormat="1" applyFont="1" applyFill="1" applyBorder="1" applyAlignment="1">
      <alignment horizontal="center" vertical="center"/>
    </xf>
    <xf numFmtId="0" fontId="6" fillId="3" borderId="12" xfId="0" applyNumberFormat="1" applyFont="1" applyFill="1" applyBorder="1"/>
    <xf numFmtId="4" fontId="3" fillId="3" borderId="343" xfId="0" applyNumberFormat="1" applyFont="1" applyFill="1" applyBorder="1" applyAlignment="1" applyProtection="1">
      <alignment horizontal="right" vertical="center"/>
      <protection locked="0"/>
    </xf>
    <xf numFmtId="43" fontId="6" fillId="3" borderId="12" xfId="0" applyNumberFormat="1" applyFont="1" applyFill="1" applyBorder="1" applyAlignment="1">
      <alignment vertical="center"/>
    </xf>
    <xf numFmtId="164" fontId="3" fillId="3" borderId="52" xfId="0" applyNumberFormat="1" applyFont="1" applyFill="1" applyBorder="1" applyAlignment="1">
      <alignment horizontal="right" vertical="center"/>
    </xf>
    <xf numFmtId="164" fontId="3" fillId="3" borderId="68" xfId="0" applyNumberFormat="1" applyFont="1" applyFill="1" applyBorder="1" applyAlignment="1">
      <alignment horizontal="right" vertical="center"/>
    </xf>
    <xf numFmtId="164" fontId="3" fillId="3" borderId="73" xfId="0" applyNumberFormat="1" applyFont="1" applyFill="1" applyBorder="1" applyAlignment="1">
      <alignment horizontal="center" vertical="center"/>
    </xf>
    <xf numFmtId="164" fontId="3" fillId="3" borderId="74" xfId="0" applyNumberFormat="1" applyFont="1" applyFill="1" applyBorder="1" applyAlignment="1">
      <alignment horizontal="center" vertical="center"/>
    </xf>
    <xf numFmtId="164" fontId="3" fillId="3" borderId="52" xfId="0" applyNumberFormat="1" applyFont="1" applyFill="1" applyBorder="1" applyAlignment="1">
      <alignment horizontal="center" vertical="center"/>
    </xf>
    <xf numFmtId="164" fontId="3" fillId="3" borderId="68" xfId="0" applyNumberFormat="1" applyFont="1" applyFill="1" applyBorder="1" applyAlignment="1">
      <alignment horizontal="center" vertical="center"/>
    </xf>
    <xf numFmtId="164" fontId="3" fillId="3" borderId="70" xfId="0" applyNumberFormat="1" applyFont="1" applyFill="1" applyBorder="1" applyAlignment="1">
      <alignment horizontal="center" vertical="center"/>
    </xf>
    <xf numFmtId="164" fontId="3" fillId="3" borderId="71" xfId="0" applyNumberFormat="1" applyFont="1" applyFill="1" applyBorder="1" applyAlignment="1">
      <alignment horizontal="center" vertical="center"/>
    </xf>
    <xf numFmtId="164" fontId="3" fillId="0" borderId="83" xfId="0" applyNumberFormat="1" applyFont="1" applyFill="1" applyBorder="1" applyAlignment="1">
      <alignment vertical="center"/>
    </xf>
    <xf numFmtId="43" fontId="3" fillId="0" borderId="155" xfId="0" applyNumberFormat="1" applyFont="1" applyFill="1" applyBorder="1" applyAlignment="1" applyProtection="1">
      <alignment horizontal="center" vertical="center"/>
      <protection locked="0"/>
    </xf>
    <xf numFmtId="2" fontId="6" fillId="22" borderId="355" xfId="0" applyNumberFormat="1" applyFont="1" applyFill="1" applyBorder="1"/>
    <xf numFmtId="2" fontId="6" fillId="22" borderId="357" xfId="0" applyNumberFormat="1" applyFont="1" applyFill="1" applyBorder="1"/>
    <xf numFmtId="2" fontId="6" fillId="22" borderId="359" xfId="0" applyNumberFormat="1" applyFont="1" applyFill="1" applyBorder="1"/>
    <xf numFmtId="164" fontId="6" fillId="22" borderId="118" xfId="0" applyNumberFormat="1" applyFont="1" applyFill="1" applyBorder="1"/>
    <xf numFmtId="43" fontId="7" fillId="4" borderId="0" xfId="0" applyNumberFormat="1" applyFont="1" applyFill="1" applyAlignment="1">
      <alignment vertical="center"/>
    </xf>
    <xf numFmtId="43" fontId="7" fillId="4" borderId="0" xfId="0" applyNumberFormat="1" applyFont="1" applyFill="1"/>
    <xf numFmtId="49" fontId="18" fillId="5" borderId="52" xfId="0" quotePrefix="1" applyNumberFormat="1" applyFont="1" applyFill="1" applyBorder="1" applyAlignment="1" applyProtection="1">
      <alignment horizontal="left" vertical="center"/>
      <protection locked="0"/>
    </xf>
    <xf numFmtId="164" fontId="18" fillId="5" borderId="52" xfId="0" applyNumberFormat="1" applyFont="1" applyFill="1" applyBorder="1" applyAlignment="1" applyProtection="1">
      <alignment horizontal="center" vertical="center"/>
    </xf>
    <xf numFmtId="0" fontId="3" fillId="5" borderId="52" xfId="0" applyFont="1" applyFill="1" applyBorder="1" applyAlignment="1">
      <alignment vertical="center"/>
    </xf>
    <xf numFmtId="164" fontId="3" fillId="5" borderId="52" xfId="0" applyNumberFormat="1" applyFont="1" applyFill="1" applyBorder="1" applyAlignment="1">
      <alignment vertical="center"/>
    </xf>
    <xf numFmtId="0" fontId="3" fillId="5" borderId="51" xfId="0" applyFont="1" applyFill="1" applyBorder="1" applyAlignment="1">
      <alignment vertical="center"/>
    </xf>
    <xf numFmtId="164" fontId="3" fillId="5" borderId="51" xfId="0" applyNumberFormat="1" applyFont="1" applyFill="1" applyBorder="1" applyAlignment="1">
      <alignment vertical="center"/>
    </xf>
    <xf numFmtId="0" fontId="0" fillId="4" borderId="0" xfId="0" applyFill="1"/>
    <xf numFmtId="0" fontId="0" fillId="4" borderId="471" xfId="0" applyFill="1" applyBorder="1" applyAlignment="1">
      <alignment horizontal="center" vertical="center"/>
    </xf>
    <xf numFmtId="0" fontId="0" fillId="3" borderId="472" xfId="0" applyFill="1" applyBorder="1"/>
    <xf numFmtId="0" fontId="0" fillId="3" borderId="473" xfId="0" applyFill="1" applyBorder="1"/>
    <xf numFmtId="0" fontId="0" fillId="3" borderId="474" xfId="0" applyFill="1" applyBorder="1"/>
    <xf numFmtId="0" fontId="0" fillId="3" borderId="475" xfId="0" applyFill="1" applyBorder="1"/>
    <xf numFmtId="2" fontId="6" fillId="22" borderId="476" xfId="0" applyNumberFormat="1" applyFont="1" applyFill="1" applyBorder="1"/>
    <xf numFmtId="0" fontId="0" fillId="22" borderId="476" xfId="0" applyFill="1" applyBorder="1"/>
    <xf numFmtId="0" fontId="0" fillId="3" borderId="476" xfId="0" applyFill="1" applyBorder="1"/>
    <xf numFmtId="0" fontId="0" fillId="3" borderId="477" xfId="0" applyFill="1" applyBorder="1"/>
    <xf numFmtId="0" fontId="0" fillId="3" borderId="478" xfId="0" applyFill="1" applyBorder="1"/>
    <xf numFmtId="0" fontId="0" fillId="3" borderId="479" xfId="0" applyFill="1" applyBorder="1"/>
    <xf numFmtId="164" fontId="3" fillId="3" borderId="83" xfId="0" applyNumberFormat="1" applyFont="1" applyFill="1" applyBorder="1" applyAlignment="1">
      <alignment vertical="center"/>
    </xf>
    <xf numFmtId="0" fontId="3" fillId="5" borderId="229" xfId="0" applyFont="1" applyFill="1" applyBorder="1" applyAlignment="1">
      <alignment vertical="center"/>
    </xf>
    <xf numFmtId="164" fontId="3" fillId="5" borderId="229" xfId="0" applyNumberFormat="1" applyFont="1" applyFill="1" applyBorder="1" applyAlignment="1">
      <alignment vertical="center"/>
    </xf>
    <xf numFmtId="49" fontId="18" fillId="5" borderId="52" xfId="0" applyNumberFormat="1" applyFont="1" applyFill="1" applyBorder="1" applyAlignment="1" applyProtection="1">
      <alignment horizontal="left" vertical="center"/>
      <protection locked="0"/>
    </xf>
    <xf numFmtId="4" fontId="6" fillId="5" borderId="452" xfId="0" applyNumberFormat="1" applyFont="1" applyFill="1" applyBorder="1" applyAlignment="1">
      <alignment horizontal="center" vertical="center"/>
    </xf>
    <xf numFmtId="4" fontId="6" fillId="5" borderId="19" xfId="0" applyNumberFormat="1" applyFont="1" applyFill="1" applyBorder="1" applyAlignment="1">
      <alignment horizontal="center" vertical="center"/>
    </xf>
    <xf numFmtId="4" fontId="6" fillId="5" borderId="432" xfId="0" applyNumberFormat="1" applyFont="1" applyFill="1" applyBorder="1" applyAlignment="1">
      <alignment horizontal="center" vertical="center"/>
    </xf>
    <xf numFmtId="0" fontId="6" fillId="5" borderId="449" xfId="0" applyFont="1" applyFill="1" applyBorder="1" applyAlignment="1">
      <alignment horizontal="left"/>
    </xf>
    <xf numFmtId="169" fontId="4" fillId="4" borderId="0" xfId="3" applyNumberFormat="1" applyFont="1" applyFill="1" applyBorder="1" applyAlignment="1">
      <alignment vertical="center"/>
    </xf>
    <xf numFmtId="164" fontId="4" fillId="4" borderId="0" xfId="3" applyNumberFormat="1" applyFont="1" applyFill="1" applyBorder="1" applyAlignment="1">
      <alignment horizontal="center" vertical="center"/>
    </xf>
    <xf numFmtId="9" fontId="6" fillId="0" borderId="64" xfId="1" applyFont="1" applyFill="1" applyBorder="1" applyAlignment="1">
      <alignment horizontal="center" vertical="center"/>
    </xf>
    <xf numFmtId="164" fontId="3" fillId="4" borderId="1" xfId="3" applyNumberFormat="1" applyFont="1" applyFill="1" applyBorder="1" applyAlignment="1">
      <alignment horizontal="center" vertical="center"/>
    </xf>
    <xf numFmtId="167" fontId="3" fillId="12" borderId="460" xfId="3" applyFont="1" applyFill="1" applyBorder="1" applyAlignment="1">
      <alignment horizontal="center" vertical="center"/>
    </xf>
    <xf numFmtId="10" fontId="3" fillId="4" borderId="0" xfId="2" applyNumberFormat="1" applyFont="1" applyFill="1" applyAlignment="1">
      <alignment vertical="center"/>
    </xf>
    <xf numFmtId="167" fontId="3" fillId="4" borderId="0" xfId="3" applyFont="1" applyFill="1" applyBorder="1" applyAlignment="1">
      <alignment horizontal="right" vertical="center"/>
    </xf>
    <xf numFmtId="164" fontId="3" fillId="4" borderId="129" xfId="3" applyNumberFormat="1" applyFont="1" applyFill="1" applyBorder="1" applyAlignment="1">
      <alignment horizontal="center" vertical="center"/>
    </xf>
    <xf numFmtId="10" fontId="3" fillId="4" borderId="0" xfId="2" applyNumberFormat="1" applyFont="1" applyFill="1" applyBorder="1" applyAlignment="1">
      <alignment vertical="center"/>
    </xf>
    <xf numFmtId="164" fontId="3" fillId="4" borderId="0" xfId="3" applyNumberFormat="1" applyFont="1" applyFill="1" applyBorder="1" applyAlignment="1">
      <alignment horizontal="center" vertical="center"/>
    </xf>
    <xf numFmtId="164" fontId="3" fillId="23" borderId="1" xfId="3" applyNumberFormat="1" applyFont="1" applyFill="1" applyBorder="1" applyAlignment="1">
      <alignment vertical="center"/>
    </xf>
    <xf numFmtId="164" fontId="3" fillId="23" borderId="1" xfId="3" applyNumberFormat="1" applyFont="1" applyFill="1" applyBorder="1" applyAlignment="1">
      <alignment horizontal="center" vertical="center"/>
    </xf>
    <xf numFmtId="43" fontId="3" fillId="24" borderId="3" xfId="3" applyNumberFormat="1" applyFont="1" applyFill="1" applyBorder="1" applyAlignment="1">
      <alignment vertical="center"/>
    </xf>
    <xf numFmtId="167" fontId="3" fillId="24" borderId="460" xfId="3" applyFont="1" applyFill="1" applyBorder="1" applyAlignment="1">
      <alignment horizontal="center" vertical="center"/>
    </xf>
    <xf numFmtId="43" fontId="3" fillId="24" borderId="3" xfId="3" applyNumberFormat="1" applyFont="1" applyFill="1" applyBorder="1" applyAlignment="1">
      <alignment horizontal="center" vertical="center"/>
    </xf>
    <xf numFmtId="167" fontId="3" fillId="24" borderId="3" xfId="3" applyFont="1" applyFill="1" applyBorder="1" applyAlignment="1">
      <alignment horizontal="center" vertical="center"/>
    </xf>
    <xf numFmtId="167" fontId="3" fillId="24" borderId="1" xfId="3" applyFont="1" applyFill="1" applyBorder="1" applyAlignment="1">
      <alignment vertical="center"/>
    </xf>
    <xf numFmtId="164" fontId="3" fillId="25" borderId="1" xfId="3" applyNumberFormat="1" applyFont="1" applyFill="1" applyBorder="1" applyAlignment="1">
      <alignment vertical="center"/>
    </xf>
    <xf numFmtId="43" fontId="3" fillId="25" borderId="1" xfId="3" applyNumberFormat="1" applyFont="1" applyFill="1" applyBorder="1" applyAlignment="1">
      <alignment vertical="center"/>
    </xf>
    <xf numFmtId="164" fontId="3" fillId="25" borderId="1" xfId="3" applyNumberFormat="1" applyFont="1" applyFill="1" applyBorder="1" applyAlignment="1">
      <alignment horizontal="center" vertical="center"/>
    </xf>
    <xf numFmtId="43" fontId="11" fillId="4" borderId="0" xfId="0" applyNumberFormat="1" applyFont="1" applyFill="1"/>
    <xf numFmtId="170" fontId="3" fillId="0" borderId="89" xfId="0" applyNumberFormat="1" applyFont="1" applyFill="1" applyBorder="1" applyAlignment="1">
      <alignment horizontal="center" vertical="center"/>
    </xf>
    <xf numFmtId="0" fontId="3" fillId="0" borderId="89" xfId="0" applyNumberFormat="1" applyFont="1" applyFill="1" applyBorder="1" applyAlignment="1">
      <alignment horizontal="left" vertical="center"/>
    </xf>
    <xf numFmtId="164" fontId="18" fillId="0" borderId="89" xfId="0" applyNumberFormat="1" applyFont="1" applyFill="1" applyBorder="1" applyAlignment="1">
      <alignment horizontal="center" vertical="center"/>
    </xf>
    <xf numFmtId="43" fontId="3" fillId="4" borderId="0" xfId="0" applyNumberFormat="1" applyFont="1" applyFill="1" applyAlignment="1">
      <alignment vertical="center"/>
    </xf>
    <xf numFmtId="10" fontId="3" fillId="4" borderId="0" xfId="1" applyNumberFormat="1" applyFont="1" applyFill="1" applyAlignment="1">
      <alignment vertical="center"/>
    </xf>
    <xf numFmtId="10" fontId="3" fillId="0" borderId="0" xfId="1" applyNumberFormat="1" applyFont="1" applyAlignment="1">
      <alignment vertical="center"/>
    </xf>
    <xf numFmtId="44" fontId="3" fillId="2" borderId="0" xfId="0" applyNumberFormat="1" applyFont="1" applyFill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6" fillId="2" borderId="426" xfId="0" applyFont="1" applyFill="1" applyBorder="1" applyAlignment="1">
      <alignment horizontal="center" vertical="center"/>
    </xf>
    <xf numFmtId="0" fontId="6" fillId="2" borderId="427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37" fillId="3" borderId="425" xfId="0" applyFont="1" applyFill="1" applyBorder="1" applyAlignment="1">
      <alignment horizontal="center" vertical="center"/>
    </xf>
    <xf numFmtId="0" fontId="37" fillId="3" borderId="430" xfId="0" applyFont="1" applyFill="1" applyBorder="1" applyAlignment="1">
      <alignment horizontal="center" vertical="center"/>
    </xf>
    <xf numFmtId="0" fontId="37" fillId="3" borderId="428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6" fillId="0" borderId="431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6" fillId="0" borderId="44" xfId="0" applyFont="1" applyFill="1" applyBorder="1" applyAlignment="1">
      <alignment horizontal="center" vertical="center"/>
    </xf>
    <xf numFmtId="0" fontId="6" fillId="0" borderId="261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2" fontId="6" fillId="2" borderId="0" xfId="0" applyNumberFormat="1" applyFont="1" applyFill="1" applyBorder="1" applyAlignment="1">
      <alignment horizontal="center" vertical="center"/>
    </xf>
    <xf numFmtId="0" fontId="6" fillId="2" borderId="453" xfId="0" applyFont="1" applyFill="1" applyBorder="1" applyAlignment="1">
      <alignment horizontal="left" vertical="center"/>
    </xf>
    <xf numFmtId="0" fontId="6" fillId="2" borderId="433" xfId="0" applyFont="1" applyFill="1" applyBorder="1" applyAlignment="1">
      <alignment horizontal="left" vertical="center"/>
    </xf>
    <xf numFmtId="49" fontId="9" fillId="6" borderId="15" xfId="0" applyNumberFormat="1" applyFont="1" applyFill="1" applyBorder="1" applyAlignment="1">
      <alignment horizontal="center" vertical="center"/>
    </xf>
    <xf numFmtId="49" fontId="9" fillId="6" borderId="16" xfId="0" applyNumberFormat="1" applyFont="1" applyFill="1" applyBorder="1" applyAlignment="1">
      <alignment horizontal="center" vertical="center"/>
    </xf>
    <xf numFmtId="49" fontId="9" fillId="6" borderId="17" xfId="0" applyNumberFormat="1" applyFont="1" applyFill="1" applyBorder="1" applyAlignment="1">
      <alignment horizontal="center" vertical="center"/>
    </xf>
    <xf numFmtId="49" fontId="3" fillId="2" borderId="4" xfId="0" quotePrefix="1" applyNumberFormat="1" applyFont="1" applyFill="1" applyBorder="1" applyAlignment="1">
      <alignment horizontal="right" vertical="center"/>
    </xf>
    <xf numFmtId="49" fontId="3" fillId="2" borderId="19" xfId="0" quotePrefix="1" applyNumberFormat="1" applyFont="1" applyFill="1" applyBorder="1" applyAlignment="1">
      <alignment horizontal="right" vertical="center"/>
    </xf>
    <xf numFmtId="49" fontId="4" fillId="2" borderId="20" xfId="0" applyNumberFormat="1" applyFont="1" applyFill="1" applyBorder="1" applyAlignment="1">
      <alignment horizontal="center" vertical="center"/>
    </xf>
    <xf numFmtId="49" fontId="4" fillId="2" borderId="38" xfId="0" applyNumberFormat="1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 applyProtection="1">
      <alignment horizontal="center" vertical="center"/>
      <protection locked="0"/>
    </xf>
    <xf numFmtId="1" fontId="4" fillId="2" borderId="40" xfId="0" applyNumberFormat="1" applyFont="1" applyFill="1" applyBorder="1" applyAlignment="1" applyProtection="1">
      <alignment horizontal="center" vertical="center"/>
      <protection locked="0"/>
    </xf>
    <xf numFmtId="1" fontId="4" fillId="2" borderId="21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49" fontId="12" fillId="7" borderId="55" xfId="0" quotePrefix="1" applyNumberFormat="1" applyFont="1" applyFill="1" applyBorder="1" applyAlignment="1">
      <alignment horizontal="center" vertical="center"/>
    </xf>
    <xf numFmtId="49" fontId="12" fillId="7" borderId="56" xfId="0" quotePrefix="1" applyNumberFormat="1" applyFont="1" applyFill="1" applyBorder="1" applyAlignment="1">
      <alignment horizontal="center" vertical="center"/>
    </xf>
    <xf numFmtId="49" fontId="12" fillId="7" borderId="57" xfId="0" quotePrefix="1" applyNumberFormat="1" applyFont="1" applyFill="1" applyBorder="1" applyAlignment="1">
      <alignment horizontal="center" vertical="center"/>
    </xf>
    <xf numFmtId="49" fontId="4" fillId="2" borderId="58" xfId="0" quotePrefix="1" applyNumberFormat="1" applyFont="1" applyFill="1" applyBorder="1" applyAlignment="1">
      <alignment horizontal="right" vertical="center"/>
    </xf>
    <xf numFmtId="49" fontId="4" fillId="2" borderId="48" xfId="0" quotePrefix="1" applyNumberFormat="1" applyFont="1" applyFill="1" applyBorder="1" applyAlignment="1">
      <alignment horizontal="right" vertical="center"/>
    </xf>
    <xf numFmtId="49" fontId="4" fillId="2" borderId="59" xfId="0" quotePrefix="1" applyNumberFormat="1" applyFont="1" applyFill="1" applyBorder="1" applyAlignment="1">
      <alignment horizontal="right" vertical="center"/>
    </xf>
    <xf numFmtId="49" fontId="4" fillId="3" borderId="18" xfId="0" applyNumberFormat="1" applyFont="1" applyFill="1" applyBorder="1" applyAlignment="1">
      <alignment horizontal="left" vertical="center"/>
    </xf>
    <xf numFmtId="49" fontId="4" fillId="3" borderId="4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left" vertical="center"/>
    </xf>
    <xf numFmtId="49" fontId="4" fillId="3" borderId="19" xfId="0" applyNumberFormat="1" applyFont="1" applyFill="1" applyBorder="1" applyAlignment="1">
      <alignment horizontal="left" vertical="center"/>
    </xf>
    <xf numFmtId="0" fontId="4" fillId="3" borderId="75" xfId="0" applyFont="1" applyFill="1" applyBorder="1" applyAlignment="1">
      <alignment horizontal="left" vertical="center"/>
    </xf>
    <xf numFmtId="0" fontId="4" fillId="3" borderId="76" xfId="0" applyFont="1" applyFill="1" applyBorder="1" applyAlignment="1">
      <alignment horizontal="left" vertical="center"/>
    </xf>
    <xf numFmtId="0" fontId="4" fillId="3" borderId="77" xfId="0" applyFont="1" applyFill="1" applyBorder="1" applyAlignment="1">
      <alignment horizontal="left" vertical="center"/>
    </xf>
    <xf numFmtId="49" fontId="4" fillId="3" borderId="144" xfId="0" applyNumberFormat="1" applyFont="1" applyFill="1" applyBorder="1" applyAlignment="1" applyProtection="1">
      <alignment horizontal="center" vertical="center"/>
    </xf>
    <xf numFmtId="49" fontId="4" fillId="3" borderId="113" xfId="0" applyNumberFormat="1" applyFont="1" applyFill="1" applyBorder="1" applyAlignment="1" applyProtection="1">
      <alignment horizontal="center" vertical="center"/>
    </xf>
    <xf numFmtId="49" fontId="4" fillId="2" borderId="168" xfId="0" applyNumberFormat="1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left" vertical="center"/>
    </xf>
    <xf numFmtId="49" fontId="3" fillId="2" borderId="168" xfId="0" applyNumberFormat="1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center"/>
    </xf>
    <xf numFmtId="49" fontId="6" fillId="3" borderId="12" xfId="0" applyNumberFormat="1" applyFont="1" applyFill="1" applyBorder="1" applyAlignment="1">
      <alignment horizontal="right" vertical="center"/>
    </xf>
    <xf numFmtId="49" fontId="6" fillId="3" borderId="221" xfId="0" applyNumberFormat="1" applyFont="1" applyFill="1" applyBorder="1" applyAlignment="1">
      <alignment horizontal="center" vertical="center"/>
    </xf>
    <xf numFmtId="49" fontId="6" fillId="3" borderId="222" xfId="0" applyNumberFormat="1" applyFont="1" applyFill="1" applyBorder="1" applyAlignment="1">
      <alignment horizontal="center" vertical="center"/>
    </xf>
    <xf numFmtId="49" fontId="3" fillId="3" borderId="481" xfId="0" applyNumberFormat="1" applyFont="1" applyFill="1" applyBorder="1" applyAlignment="1">
      <alignment horizontal="right" vertical="center"/>
    </xf>
    <xf numFmtId="49" fontId="3" fillId="3" borderId="486" xfId="0" applyNumberFormat="1" applyFont="1" applyFill="1" applyBorder="1" applyAlignment="1">
      <alignment horizontal="right" vertical="center"/>
    </xf>
    <xf numFmtId="49" fontId="40" fillId="3" borderId="296" xfId="0" applyNumberFormat="1" applyFont="1" applyFill="1" applyBorder="1" applyAlignment="1">
      <alignment horizontal="center" vertical="center"/>
    </xf>
    <xf numFmtId="49" fontId="40" fillId="3" borderId="7" xfId="0" applyNumberFormat="1" applyFont="1" applyFill="1" applyBorder="1" applyAlignment="1">
      <alignment horizontal="center" vertical="center"/>
    </xf>
    <xf numFmtId="49" fontId="40" fillId="3" borderId="297" xfId="0" applyNumberFormat="1" applyFont="1" applyFill="1" applyBorder="1" applyAlignment="1">
      <alignment horizontal="center" vertical="center"/>
    </xf>
    <xf numFmtId="49" fontId="40" fillId="3" borderId="169" xfId="0" applyNumberFormat="1" applyFont="1" applyFill="1" applyBorder="1" applyAlignment="1">
      <alignment horizontal="center" vertical="center"/>
    </xf>
    <xf numFmtId="49" fontId="40" fillId="3" borderId="9" xfId="0" applyNumberFormat="1" applyFont="1" applyFill="1" applyBorder="1" applyAlignment="1">
      <alignment horizontal="center" vertical="center"/>
    </xf>
    <xf numFmtId="49" fontId="40" fillId="3" borderId="482" xfId="0" applyNumberFormat="1" applyFont="1" applyFill="1" applyBorder="1" applyAlignment="1">
      <alignment horizontal="center" vertical="center"/>
    </xf>
    <xf numFmtId="49" fontId="3" fillId="2" borderId="345" xfId="0" applyNumberFormat="1" applyFont="1" applyFill="1" applyBorder="1" applyAlignment="1">
      <alignment vertical="center"/>
    </xf>
    <xf numFmtId="49" fontId="3" fillId="2" borderId="351" xfId="0" applyNumberFormat="1" applyFont="1" applyFill="1" applyBorder="1" applyAlignment="1">
      <alignment vertical="center"/>
    </xf>
    <xf numFmtId="49" fontId="3" fillId="3" borderId="485" xfId="0" applyNumberFormat="1" applyFont="1" applyFill="1" applyBorder="1" applyAlignment="1" applyProtection="1">
      <alignment horizontal="right" vertical="center"/>
      <protection locked="0"/>
    </xf>
    <xf numFmtId="49" fontId="3" fillId="3" borderId="480" xfId="0" applyNumberFormat="1" applyFont="1" applyFill="1" applyBorder="1" applyAlignment="1" applyProtection="1">
      <alignment horizontal="right" vertical="center"/>
      <protection locked="0"/>
    </xf>
    <xf numFmtId="49" fontId="3" fillId="3" borderId="114" xfId="0" applyNumberFormat="1" applyFont="1" applyFill="1" applyBorder="1" applyAlignment="1" applyProtection="1">
      <alignment horizontal="right" vertical="center"/>
    </xf>
    <xf numFmtId="49" fontId="3" fillId="3" borderId="116" xfId="0" applyNumberFormat="1" applyFont="1" applyFill="1" applyBorder="1" applyAlignment="1" applyProtection="1">
      <alignment horizontal="right" vertical="center"/>
    </xf>
    <xf numFmtId="49" fontId="4" fillId="3" borderId="345" xfId="0" applyNumberFormat="1" applyFont="1" applyFill="1" applyBorder="1" applyAlignment="1" applyProtection="1">
      <alignment vertical="center"/>
    </xf>
    <xf numFmtId="49" fontId="4" fillId="3" borderId="351" xfId="0" applyNumberFormat="1" applyFont="1" applyFill="1" applyBorder="1" applyAlignment="1" applyProtection="1">
      <alignment vertical="center"/>
    </xf>
    <xf numFmtId="49" fontId="3" fillId="3" borderId="484" xfId="0" applyNumberFormat="1" applyFont="1" applyFill="1" applyBorder="1" applyAlignment="1">
      <alignment horizontal="center" vertical="center"/>
    </xf>
    <xf numFmtId="49" fontId="3" fillId="3" borderId="351" xfId="0" applyNumberFormat="1" applyFont="1" applyFill="1" applyBorder="1" applyAlignment="1">
      <alignment horizontal="center" vertical="center"/>
    </xf>
    <xf numFmtId="49" fontId="4" fillId="3" borderId="81" xfId="0" applyNumberFormat="1" applyFont="1" applyFill="1" applyBorder="1" applyAlignment="1">
      <alignment horizontal="center" vertical="center"/>
    </xf>
    <xf numFmtId="49" fontId="4" fillId="3" borderId="76" xfId="0" applyNumberFormat="1" applyFont="1" applyFill="1" applyBorder="1" applyAlignment="1">
      <alignment horizontal="center" vertical="center"/>
    </xf>
    <xf numFmtId="49" fontId="4" fillId="3" borderId="431" xfId="0" applyNumberFormat="1" applyFont="1" applyFill="1" applyBorder="1" applyAlignment="1">
      <alignment horizontal="center" vertical="center"/>
    </xf>
    <xf numFmtId="49" fontId="4" fillId="3" borderId="77" xfId="0" applyNumberFormat="1" applyFont="1" applyFill="1" applyBorder="1" applyAlignment="1">
      <alignment horizontal="center" vertical="center"/>
    </xf>
    <xf numFmtId="49" fontId="4" fillId="3" borderId="483" xfId="0" applyNumberFormat="1" applyFont="1" applyFill="1" applyBorder="1" applyAlignment="1">
      <alignment horizontal="center" vertical="center"/>
    </xf>
    <xf numFmtId="49" fontId="4" fillId="3" borderId="38" xfId="0" applyNumberFormat="1" applyFont="1" applyFill="1" applyBorder="1" applyAlignment="1">
      <alignment horizontal="center" vertical="center"/>
    </xf>
    <xf numFmtId="49" fontId="4" fillId="3" borderId="426" xfId="0" applyNumberFormat="1" applyFont="1" applyFill="1" applyBorder="1" applyAlignment="1">
      <alignment horizontal="center" vertical="center"/>
    </xf>
    <xf numFmtId="49" fontId="4" fillId="3" borderId="40" xfId="0" applyNumberFormat="1" applyFont="1" applyFill="1" applyBorder="1" applyAlignment="1">
      <alignment horizontal="center" vertical="center"/>
    </xf>
    <xf numFmtId="49" fontId="8" fillId="5" borderId="169" xfId="0" applyNumberFormat="1" applyFont="1" applyFill="1" applyBorder="1" applyAlignment="1">
      <alignment horizontal="center" vertical="center"/>
    </xf>
    <xf numFmtId="49" fontId="8" fillId="5" borderId="9" xfId="0" applyNumberFormat="1" applyFont="1" applyFill="1" applyBorder="1" applyAlignment="1">
      <alignment horizontal="center" vertical="center"/>
    </xf>
    <xf numFmtId="49" fontId="8" fillId="5" borderId="482" xfId="0" applyNumberFormat="1" applyFont="1" applyFill="1" applyBorder="1" applyAlignment="1">
      <alignment horizontal="center" vertical="center"/>
    </xf>
    <xf numFmtId="167" fontId="4" fillId="12" borderId="1" xfId="3" applyFont="1" applyFill="1" applyBorder="1" applyAlignment="1">
      <alignment horizontal="right" vertical="center"/>
    </xf>
    <xf numFmtId="169" fontId="4" fillId="4" borderId="0" xfId="3" applyNumberFormat="1" applyFont="1" applyFill="1" applyBorder="1" applyAlignment="1">
      <alignment horizontal="center" vertical="center"/>
    </xf>
    <xf numFmtId="167" fontId="4" fillId="24" borderId="1" xfId="3" applyFont="1" applyFill="1" applyBorder="1" applyAlignment="1">
      <alignment horizontal="right" vertical="center"/>
    </xf>
    <xf numFmtId="167" fontId="3" fillId="3" borderId="456" xfId="3" applyFont="1" applyFill="1" applyBorder="1" applyAlignment="1">
      <alignment horizontal="right" vertical="center"/>
    </xf>
    <xf numFmtId="167" fontId="3" fillId="3" borderId="457" xfId="3" applyFont="1" applyFill="1" applyBorder="1" applyAlignment="1">
      <alignment horizontal="right" vertical="center"/>
    </xf>
    <xf numFmtId="167" fontId="3" fillId="3" borderId="1" xfId="3" applyFont="1" applyFill="1" applyBorder="1" applyAlignment="1">
      <alignment horizontal="right" vertical="center"/>
    </xf>
    <xf numFmtId="167" fontId="9" fillId="8" borderId="1" xfId="3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right" vertical="center"/>
    </xf>
    <xf numFmtId="164" fontId="27" fillId="15" borderId="1" xfId="0" applyNumberFormat="1" applyFont="1" applyFill="1" applyBorder="1" applyAlignment="1">
      <alignment horizontal="center" vertical="center"/>
    </xf>
    <xf numFmtId="167" fontId="4" fillId="4" borderId="129" xfId="3" applyFont="1" applyFill="1" applyBorder="1" applyAlignment="1">
      <alignment horizontal="center" vertical="center"/>
    </xf>
    <xf numFmtId="164" fontId="3" fillId="3" borderId="456" xfId="3" applyNumberFormat="1" applyFont="1" applyFill="1" applyBorder="1" applyAlignment="1">
      <alignment horizontal="center" vertical="center"/>
    </xf>
    <xf numFmtId="164" fontId="3" fillId="3" borderId="457" xfId="3" applyNumberFormat="1" applyFont="1" applyFill="1" applyBorder="1" applyAlignment="1">
      <alignment horizontal="center" vertical="center"/>
    </xf>
    <xf numFmtId="167" fontId="3" fillId="3" borderId="456" xfId="3" applyFont="1" applyFill="1" applyBorder="1" applyAlignment="1">
      <alignment horizontal="center" vertical="center"/>
    </xf>
    <xf numFmtId="167" fontId="3" fillId="3" borderId="457" xfId="3" applyFont="1" applyFill="1" applyBorder="1" applyAlignment="1">
      <alignment horizontal="center" vertical="center"/>
    </xf>
    <xf numFmtId="0" fontId="8" fillId="3" borderId="211" xfId="0" applyNumberFormat="1" applyFont="1" applyFill="1" applyBorder="1" applyAlignment="1">
      <alignment horizontal="right" vertical="center"/>
    </xf>
    <xf numFmtId="0" fontId="8" fillId="3" borderId="252" xfId="0" applyNumberFormat="1" applyFont="1" applyFill="1" applyBorder="1" applyAlignment="1">
      <alignment horizontal="right" vertical="center"/>
    </xf>
    <xf numFmtId="0" fontId="8" fillId="2" borderId="208" xfId="0" applyNumberFormat="1" applyFont="1" applyFill="1" applyBorder="1" applyAlignment="1">
      <alignment horizontal="left" vertical="center"/>
    </xf>
    <xf numFmtId="0" fontId="8" fillId="2" borderId="243" xfId="0" applyNumberFormat="1" applyFont="1" applyFill="1" applyBorder="1" applyAlignment="1">
      <alignment horizontal="left" vertical="center"/>
    </xf>
    <xf numFmtId="1" fontId="8" fillId="2" borderId="208" xfId="0" applyNumberFormat="1" applyFont="1" applyFill="1" applyBorder="1" applyAlignment="1">
      <alignment horizontal="center" vertical="center"/>
    </xf>
    <xf numFmtId="1" fontId="8" fillId="2" borderId="209" xfId="0" applyNumberFormat="1" applyFont="1" applyFill="1" applyBorder="1" applyAlignment="1">
      <alignment horizontal="center" vertical="center"/>
    </xf>
    <xf numFmtId="0" fontId="8" fillId="3" borderId="208" xfId="0" applyNumberFormat="1" applyFont="1" applyFill="1" applyBorder="1" applyAlignment="1">
      <alignment horizontal="right" vertical="center"/>
    </xf>
    <xf numFmtId="0" fontId="8" fillId="3" borderId="186" xfId="0" applyNumberFormat="1" applyFont="1" applyFill="1" applyBorder="1" applyAlignment="1">
      <alignment horizontal="right" vertical="center"/>
    </xf>
    <xf numFmtId="0" fontId="8" fillId="3" borderId="243" xfId="0" applyNumberFormat="1" applyFont="1" applyFill="1" applyBorder="1" applyAlignment="1">
      <alignment horizontal="right" vertical="center"/>
    </xf>
    <xf numFmtId="1" fontId="8" fillId="2" borderId="186" xfId="0" applyNumberFormat="1" applyFont="1" applyFill="1" applyBorder="1" applyAlignment="1">
      <alignment horizontal="center" vertical="center"/>
    </xf>
    <xf numFmtId="49" fontId="4" fillId="2" borderId="95" xfId="0" quotePrefix="1" applyNumberFormat="1" applyFont="1" applyFill="1" applyBorder="1" applyAlignment="1">
      <alignment horizontal="right" vertical="center"/>
    </xf>
    <xf numFmtId="49" fontId="4" fillId="2" borderId="96" xfId="0" quotePrefix="1" applyNumberFormat="1" applyFont="1" applyFill="1" applyBorder="1" applyAlignment="1">
      <alignment horizontal="right" vertical="center"/>
    </xf>
    <xf numFmtId="43" fontId="7" fillId="3" borderId="458" xfId="0" applyNumberFormat="1" applyFont="1" applyFill="1" applyBorder="1" applyAlignment="1">
      <alignment horizontal="center" vertical="center"/>
    </xf>
    <xf numFmtId="0" fontId="7" fillId="3" borderId="458" xfId="0" applyFont="1" applyFill="1" applyBorder="1" applyAlignment="1">
      <alignment horizontal="center" vertical="center"/>
    </xf>
    <xf numFmtId="0" fontId="38" fillId="3" borderId="12" xfId="0" applyFont="1" applyFill="1" applyBorder="1" applyAlignment="1">
      <alignment horizontal="left" vertical="center"/>
    </xf>
    <xf numFmtId="0" fontId="38" fillId="3" borderId="456" xfId="0" applyFont="1" applyFill="1" applyBorder="1" applyAlignment="1">
      <alignment horizontal="center" vertical="center"/>
    </xf>
    <xf numFmtId="0" fontId="38" fillId="3" borderId="457" xfId="0" applyFont="1" applyFill="1" applyBorder="1" applyAlignment="1">
      <alignment horizontal="center" vertical="center"/>
    </xf>
    <xf numFmtId="0" fontId="38" fillId="3" borderId="460" xfId="0" applyFont="1" applyFill="1" applyBorder="1" applyAlignment="1">
      <alignment horizontal="center" vertical="center"/>
    </xf>
    <xf numFmtId="0" fontId="38" fillId="3" borderId="90" xfId="0" applyFont="1" applyFill="1" applyBorder="1" applyAlignment="1">
      <alignment horizontal="center" vertical="center"/>
    </xf>
    <xf numFmtId="0" fontId="8" fillId="3" borderId="460" xfId="0" applyFont="1" applyFill="1" applyBorder="1" applyAlignment="1">
      <alignment horizontal="center" vertical="center"/>
    </xf>
    <xf numFmtId="0" fontId="8" fillId="3" borderId="90" xfId="0" applyFont="1" applyFill="1" applyBorder="1" applyAlignment="1">
      <alignment horizontal="center" vertical="center"/>
    </xf>
    <xf numFmtId="0" fontId="38" fillId="3" borderId="461" xfId="0" applyFont="1" applyFill="1" applyBorder="1" applyAlignment="1">
      <alignment horizontal="center" vertical="center"/>
    </xf>
    <xf numFmtId="0" fontId="38" fillId="3" borderId="462" xfId="0" applyFont="1" applyFill="1" applyBorder="1" applyAlignment="1">
      <alignment horizontal="center" vertical="center"/>
    </xf>
    <xf numFmtId="0" fontId="38" fillId="3" borderId="463" xfId="0" applyFont="1" applyFill="1" applyBorder="1" applyAlignment="1">
      <alignment horizontal="center" vertical="center"/>
    </xf>
    <xf numFmtId="0" fontId="38" fillId="3" borderId="128" xfId="0" applyFont="1" applyFill="1" applyBorder="1" applyAlignment="1">
      <alignment horizontal="center" vertical="center"/>
    </xf>
    <xf numFmtId="0" fontId="38" fillId="3" borderId="129" xfId="0" applyFont="1" applyFill="1" applyBorder="1" applyAlignment="1">
      <alignment horizontal="center" vertical="center"/>
    </xf>
    <xf numFmtId="0" fontId="38" fillId="3" borderId="46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7" fillId="3" borderId="458" xfId="0" applyFont="1" applyFill="1" applyBorder="1" applyAlignment="1">
      <alignment horizontal="left" vertical="center"/>
    </xf>
    <xf numFmtId="0" fontId="30" fillId="3" borderId="458" xfId="0" applyFont="1" applyFill="1" applyBorder="1" applyAlignment="1">
      <alignment horizontal="left" vertical="center"/>
    </xf>
    <xf numFmtId="4" fontId="6" fillId="9" borderId="439" xfId="0" applyNumberFormat="1" applyFont="1" applyFill="1" applyBorder="1" applyAlignment="1">
      <alignment horizontal="center" vertical="center" wrapText="1"/>
    </xf>
    <xf numFmtId="4" fontId="6" fillId="9" borderId="442" xfId="0" applyNumberFormat="1" applyFont="1" applyFill="1" applyBorder="1" applyAlignment="1">
      <alignment horizontal="center" vertical="center" wrapText="1"/>
    </xf>
    <xf numFmtId="0" fontId="6" fillId="9" borderId="438" xfId="0" applyFont="1" applyFill="1" applyBorder="1" applyAlignment="1">
      <alignment horizontal="center" vertical="center" wrapText="1"/>
    </xf>
    <xf numFmtId="0" fontId="6" fillId="9" borderId="441" xfId="0" applyFont="1" applyFill="1" applyBorder="1" applyAlignment="1">
      <alignment horizontal="center" vertical="center" wrapText="1"/>
    </xf>
    <xf numFmtId="0" fontId="6" fillId="9" borderId="439" xfId="0" applyFont="1" applyFill="1" applyBorder="1" applyAlignment="1">
      <alignment horizontal="center" vertical="center" wrapText="1"/>
    </xf>
    <xf numFmtId="0" fontId="6" fillId="9" borderId="442" xfId="0" applyFont="1" applyFill="1" applyBorder="1" applyAlignment="1">
      <alignment horizontal="center" vertical="center" wrapText="1"/>
    </xf>
    <xf numFmtId="0" fontId="6" fillId="9" borderId="367" xfId="0" applyFont="1" applyFill="1" applyBorder="1" applyAlignment="1">
      <alignment horizontal="center" vertical="center" wrapText="1"/>
    </xf>
    <xf numFmtId="168" fontId="6" fillId="9" borderId="439" xfId="0" applyNumberFormat="1" applyFont="1" applyFill="1" applyBorder="1" applyAlignment="1">
      <alignment horizontal="center" vertical="center" wrapText="1"/>
    </xf>
    <xf numFmtId="168" fontId="6" fillId="9" borderId="442" xfId="0" applyNumberFormat="1" applyFont="1" applyFill="1" applyBorder="1" applyAlignment="1">
      <alignment horizontal="center" vertical="center" wrapText="1"/>
    </xf>
    <xf numFmtId="0" fontId="6" fillId="9" borderId="439" xfId="0" applyFont="1" applyFill="1" applyBorder="1" applyAlignment="1">
      <alignment horizontal="center" vertical="center"/>
    </xf>
    <xf numFmtId="0" fontId="6" fillId="9" borderId="442" xfId="0" applyFont="1" applyFill="1" applyBorder="1" applyAlignment="1">
      <alignment horizontal="center" vertical="center"/>
    </xf>
    <xf numFmtId="0" fontId="6" fillId="9" borderId="440" xfId="0" applyFont="1" applyFill="1" applyBorder="1" applyAlignment="1">
      <alignment horizontal="center" vertical="center"/>
    </xf>
    <xf numFmtId="0" fontId="6" fillId="9" borderId="443" xfId="0" applyFont="1" applyFill="1" applyBorder="1" applyAlignment="1">
      <alignment horizontal="center" vertical="center"/>
    </xf>
    <xf numFmtId="0" fontId="30" fillId="3" borderId="75" xfId="0" applyFont="1" applyFill="1" applyBorder="1" applyAlignment="1">
      <alignment horizontal="left" vertical="center"/>
    </xf>
    <xf numFmtId="0" fontId="30" fillId="3" borderId="76" xfId="0" applyFont="1" applyFill="1" applyBorder="1" applyAlignment="1">
      <alignment horizontal="left" vertical="center"/>
    </xf>
    <xf numFmtId="0" fontId="30" fillId="3" borderId="77" xfId="0" applyFont="1" applyFill="1" applyBorder="1" applyAlignment="1">
      <alignment horizontal="left" vertical="center"/>
    </xf>
    <xf numFmtId="0" fontId="30" fillId="3" borderId="168" xfId="0" applyFont="1" applyFill="1" applyBorder="1" applyAlignment="1">
      <alignment horizontal="left" vertical="center"/>
    </xf>
    <xf numFmtId="0" fontId="30" fillId="3" borderId="4" xfId="0" applyFont="1" applyFill="1" applyBorder="1" applyAlignment="1">
      <alignment horizontal="left" vertical="center"/>
    </xf>
    <xf numFmtId="0" fontId="30" fillId="3" borderId="5" xfId="0" applyFont="1" applyFill="1" applyBorder="1" applyAlignment="1">
      <alignment horizontal="left" vertical="center"/>
    </xf>
    <xf numFmtId="0" fontId="0" fillId="4" borderId="487" xfId="0" applyFill="1" applyBorder="1" applyAlignment="1">
      <alignment horizontal="center"/>
    </xf>
    <xf numFmtId="49" fontId="9" fillId="6" borderId="224" xfId="0" applyNumberFormat="1" applyFont="1" applyFill="1" applyBorder="1" applyAlignment="1">
      <alignment horizontal="left" vertical="center"/>
    </xf>
    <xf numFmtId="49" fontId="9" fillId="6" borderId="0" xfId="0" applyNumberFormat="1" applyFont="1" applyFill="1" applyBorder="1" applyAlignment="1">
      <alignment horizontal="left" vertical="center"/>
    </xf>
    <xf numFmtId="49" fontId="3" fillId="2" borderId="0" xfId="0" quotePrefix="1" applyNumberFormat="1" applyFont="1" applyFill="1" applyBorder="1" applyAlignment="1">
      <alignment horizontal="right" vertical="center"/>
    </xf>
    <xf numFmtId="1" fontId="4" fillId="2" borderId="221" xfId="0" applyNumberFormat="1" applyFont="1" applyFill="1" applyBorder="1" applyAlignment="1" applyProtection="1">
      <alignment horizontal="center" vertical="center"/>
      <protection locked="0"/>
    </xf>
    <xf numFmtId="1" fontId="4" fillId="2" borderId="222" xfId="0" applyNumberFormat="1" applyFont="1" applyFill="1" applyBorder="1" applyAlignment="1" applyProtection="1">
      <alignment horizontal="center" vertical="center"/>
      <protection locked="0"/>
    </xf>
    <xf numFmtId="49" fontId="12" fillId="6" borderId="127" xfId="0" quotePrefix="1" applyNumberFormat="1" applyFont="1" applyFill="1" applyBorder="1" applyAlignment="1">
      <alignment horizontal="center" vertical="center"/>
    </xf>
    <xf numFmtId="49" fontId="12" fillId="6" borderId="0" xfId="0" quotePrefix="1" applyNumberFormat="1" applyFont="1" applyFill="1" applyBorder="1" applyAlignment="1">
      <alignment horizontal="center" vertical="center"/>
    </xf>
    <xf numFmtId="49" fontId="4" fillId="2" borderId="127" xfId="0" quotePrefix="1" applyNumberFormat="1" applyFont="1" applyFill="1" applyBorder="1" applyAlignment="1">
      <alignment horizontal="right" vertical="center"/>
    </xf>
    <xf numFmtId="49" fontId="4" fillId="2" borderId="0" xfId="0" quotePrefix="1" applyNumberFormat="1" applyFont="1" applyFill="1" applyBorder="1" applyAlignment="1">
      <alignment horizontal="right" vertical="center"/>
    </xf>
    <xf numFmtId="49" fontId="4" fillId="2" borderId="221" xfId="0" applyNumberFormat="1" applyFont="1" applyFill="1" applyBorder="1" applyAlignment="1">
      <alignment horizontal="center" vertical="center"/>
    </xf>
    <xf numFmtId="49" fontId="4" fillId="2" borderId="222" xfId="0" applyNumberFormat="1" applyFont="1" applyFill="1" applyBorder="1" applyAlignment="1">
      <alignment horizontal="center" vertical="center"/>
    </xf>
    <xf numFmtId="49" fontId="4" fillId="2" borderId="139" xfId="0" applyNumberFormat="1" applyFont="1" applyFill="1" applyBorder="1" applyAlignment="1">
      <alignment horizontal="left" vertical="center"/>
    </xf>
    <xf numFmtId="49" fontId="4" fillId="2" borderId="181" xfId="0" applyNumberFormat="1" applyFont="1" applyFill="1" applyBorder="1" applyAlignment="1">
      <alignment horizontal="left" vertical="center"/>
    </xf>
    <xf numFmtId="49" fontId="3" fillId="2" borderId="299" xfId="0" applyNumberFormat="1" applyFont="1" applyFill="1" applyBorder="1" applyAlignment="1" applyProtection="1">
      <alignment horizontal="center" vertical="center" wrapText="1"/>
    </xf>
    <xf numFmtId="49" fontId="3" fillId="2" borderId="300" xfId="0" applyNumberFormat="1" applyFont="1" applyFill="1" applyBorder="1" applyAlignment="1" applyProtection="1">
      <alignment horizontal="center" vertical="center" wrapText="1"/>
    </xf>
    <xf numFmtId="49" fontId="3" fillId="2" borderId="305" xfId="0" applyNumberFormat="1" applyFont="1" applyFill="1" applyBorder="1" applyAlignment="1" applyProtection="1">
      <alignment horizontal="center" vertical="center" wrapText="1"/>
    </xf>
    <xf numFmtId="49" fontId="3" fillId="2" borderId="306" xfId="0" applyNumberFormat="1" applyFont="1" applyFill="1" applyBorder="1" applyAlignment="1" applyProtection="1">
      <alignment horizontal="center" vertical="center" wrapText="1"/>
    </xf>
    <xf numFmtId="49" fontId="3" fillId="2" borderId="302" xfId="0" applyNumberFormat="1" applyFont="1" applyFill="1" applyBorder="1" applyAlignment="1" applyProtection="1">
      <alignment horizontal="center" vertical="center" wrapText="1"/>
    </xf>
    <xf numFmtId="49" fontId="3" fillId="2" borderId="303" xfId="0" applyNumberFormat="1" applyFont="1" applyFill="1" applyBorder="1" applyAlignment="1" applyProtection="1">
      <alignment horizontal="center" vertical="center" wrapText="1"/>
    </xf>
    <xf numFmtId="49" fontId="3" fillId="3" borderId="183" xfId="0" applyNumberFormat="1" applyFont="1" applyFill="1" applyBorder="1" applyAlignment="1" applyProtection="1">
      <alignment horizontal="center" vertical="center" wrapText="1"/>
    </xf>
    <xf numFmtId="49" fontId="3" fillId="3" borderId="187" xfId="0" applyNumberFormat="1" applyFont="1" applyFill="1" applyBorder="1" applyAlignment="1" applyProtection="1">
      <alignment horizontal="center" vertical="center" wrapText="1"/>
    </xf>
    <xf numFmtId="49" fontId="3" fillId="3" borderId="148" xfId="0" applyNumberFormat="1" applyFont="1" applyFill="1" applyBorder="1" applyAlignment="1" applyProtection="1">
      <alignment horizontal="center" vertical="center" wrapText="1"/>
    </xf>
    <xf numFmtId="49" fontId="3" fillId="3" borderId="104" xfId="0" applyNumberFormat="1" applyFont="1" applyFill="1" applyBorder="1" applyAlignment="1" applyProtection="1">
      <alignment horizontal="center" vertical="center" wrapText="1"/>
    </xf>
    <xf numFmtId="0" fontId="4" fillId="3" borderId="118" xfId="0" applyFont="1" applyFill="1" applyBorder="1" applyAlignment="1">
      <alignment horizontal="center"/>
    </xf>
    <xf numFmtId="0" fontId="4" fillId="4" borderId="118" xfId="0" applyFont="1" applyFill="1" applyBorder="1" applyAlignment="1">
      <alignment horizontal="center" vertical="center"/>
    </xf>
    <xf numFmtId="49" fontId="3" fillId="4" borderId="183" xfId="0" applyNumberFormat="1" applyFont="1" applyFill="1" applyBorder="1" applyAlignment="1" applyProtection="1">
      <alignment horizontal="center" vertical="center" wrapText="1"/>
    </xf>
    <xf numFmtId="49" fontId="3" fillId="4" borderId="187" xfId="0" applyNumberFormat="1" applyFont="1" applyFill="1" applyBorder="1" applyAlignment="1" applyProtection="1">
      <alignment horizontal="center" vertical="center" wrapText="1"/>
    </xf>
    <xf numFmtId="49" fontId="3" fillId="4" borderId="148" xfId="0" applyNumberFormat="1" applyFont="1" applyFill="1" applyBorder="1" applyAlignment="1" applyProtection="1">
      <alignment horizontal="center" vertical="center" wrapText="1"/>
    </xf>
    <xf numFmtId="49" fontId="3" fillId="4" borderId="104" xfId="0" applyNumberFormat="1" applyFont="1" applyFill="1" applyBorder="1" applyAlignment="1" applyProtection="1">
      <alignment horizontal="center" vertical="center" wrapText="1"/>
    </xf>
    <xf numFmtId="49" fontId="3" fillId="4" borderId="264" xfId="0" applyNumberFormat="1" applyFont="1" applyFill="1" applyBorder="1" applyAlignment="1" applyProtection="1">
      <alignment horizontal="center" vertical="center" wrapText="1"/>
    </xf>
    <xf numFmtId="49" fontId="3" fillId="4" borderId="207" xfId="0" applyNumberFormat="1" applyFont="1" applyFill="1" applyBorder="1" applyAlignment="1" applyProtection="1">
      <alignment horizontal="center" vertical="center" wrapText="1"/>
    </xf>
    <xf numFmtId="0" fontId="26" fillId="9" borderId="12" xfId="0" applyFont="1" applyFill="1" applyBorder="1" applyAlignment="1">
      <alignment horizontal="center" vertical="center"/>
    </xf>
    <xf numFmtId="0" fontId="9" fillId="10" borderId="130" xfId="0" applyFont="1" applyFill="1" applyBorder="1" applyAlignment="1">
      <alignment horizontal="center" vertical="center"/>
    </xf>
    <xf numFmtId="0" fontId="9" fillId="10" borderId="255" xfId="0" applyFont="1" applyFill="1" applyBorder="1" applyAlignment="1">
      <alignment horizontal="center" vertical="center"/>
    </xf>
    <xf numFmtId="0" fontId="9" fillId="10" borderId="131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left" vertical="center"/>
    </xf>
    <xf numFmtId="0" fontId="4" fillId="3" borderId="168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49" fontId="9" fillId="7" borderId="259" xfId="0" applyNumberFormat="1" applyFont="1" applyFill="1" applyBorder="1" applyAlignment="1">
      <alignment horizontal="left" vertical="center"/>
    </xf>
    <xf numFmtId="49" fontId="9" fillId="7" borderId="260" xfId="0" applyNumberFormat="1" applyFont="1" applyFill="1" applyBorder="1" applyAlignment="1">
      <alignment horizontal="left" vertical="center"/>
    </xf>
    <xf numFmtId="49" fontId="9" fillId="7" borderId="261" xfId="0" applyNumberFormat="1" applyFont="1" applyFill="1" applyBorder="1" applyAlignment="1">
      <alignment horizontal="left" vertical="center"/>
    </xf>
    <xf numFmtId="0" fontId="3" fillId="2" borderId="51" xfId="0" applyFont="1" applyFill="1" applyBorder="1" applyAlignment="1">
      <alignment horizontal="left" vertical="center"/>
    </xf>
    <xf numFmtId="0" fontId="3" fillId="2" borderId="52" xfId="0" applyFont="1" applyFill="1" applyBorder="1" applyAlignment="1">
      <alignment horizontal="left" vertical="center"/>
    </xf>
    <xf numFmtId="49" fontId="4" fillId="2" borderId="208" xfId="0" applyNumberFormat="1" applyFont="1" applyFill="1" applyBorder="1" applyAlignment="1">
      <alignment horizontal="right" vertical="center"/>
    </xf>
    <xf numFmtId="49" fontId="4" fillId="2" borderId="186" xfId="0" applyNumberFormat="1" applyFont="1" applyFill="1" applyBorder="1" applyAlignment="1">
      <alignment horizontal="right" vertical="center"/>
    </xf>
    <xf numFmtId="49" fontId="4" fillId="2" borderId="209" xfId="0" applyNumberFormat="1" applyFont="1" applyFill="1" applyBorder="1" applyAlignment="1">
      <alignment horizontal="right" vertical="center"/>
    </xf>
    <xf numFmtId="49" fontId="4" fillId="2" borderId="208" xfId="0" applyNumberFormat="1" applyFont="1" applyFill="1" applyBorder="1" applyAlignment="1">
      <alignment horizontal="left" vertical="center" wrapText="1"/>
    </xf>
    <xf numFmtId="49" fontId="4" fillId="2" borderId="186" xfId="0" applyNumberFormat="1" applyFont="1" applyFill="1" applyBorder="1" applyAlignment="1">
      <alignment horizontal="left" vertical="center" wrapText="1"/>
    </xf>
    <xf numFmtId="0" fontId="4" fillId="3" borderId="16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49" fontId="4" fillId="2" borderId="208" xfId="0" applyNumberFormat="1" applyFont="1" applyFill="1" applyBorder="1" applyAlignment="1">
      <alignment horizontal="left" vertical="center"/>
    </xf>
    <xf numFmtId="49" fontId="4" fillId="2" borderId="186" xfId="0" applyNumberFormat="1" applyFont="1" applyFill="1" applyBorder="1" applyAlignment="1">
      <alignment horizontal="left" vertical="center"/>
    </xf>
    <xf numFmtId="49" fontId="3" fillId="2" borderId="189" xfId="0" applyNumberFormat="1" applyFont="1" applyFill="1" applyBorder="1" applyAlignment="1">
      <alignment horizontal="left" vertical="center"/>
    </xf>
    <xf numFmtId="49" fontId="3" fillId="2" borderId="109" xfId="0" applyNumberFormat="1" applyFont="1" applyFill="1" applyBorder="1" applyAlignment="1">
      <alignment horizontal="left" vertical="center"/>
    </xf>
    <xf numFmtId="49" fontId="3" fillId="2" borderId="117" xfId="0" applyNumberFormat="1" applyFont="1" applyFill="1" applyBorder="1" applyAlignment="1">
      <alignment horizontal="left" vertical="center"/>
    </xf>
    <xf numFmtId="49" fontId="3" fillId="2" borderId="215" xfId="0" applyNumberFormat="1" applyFont="1" applyFill="1" applyBorder="1" applyAlignment="1">
      <alignment horizontal="left" vertical="center"/>
    </xf>
    <xf numFmtId="49" fontId="3" fillId="2" borderId="256" xfId="0" applyNumberFormat="1" applyFont="1" applyFill="1" applyBorder="1" applyAlignment="1">
      <alignment horizontal="left" vertical="center"/>
    </xf>
    <xf numFmtId="49" fontId="3" fillId="2" borderId="218" xfId="0" applyNumberFormat="1" applyFont="1" applyFill="1" applyBorder="1" applyAlignment="1">
      <alignment horizontal="left" vertical="center"/>
    </xf>
    <xf numFmtId="49" fontId="3" fillId="2" borderId="106" xfId="0" applyNumberFormat="1" applyFont="1" applyFill="1" applyBorder="1" applyAlignment="1">
      <alignment horizontal="left" vertical="center"/>
    </xf>
    <xf numFmtId="49" fontId="3" fillId="2" borderId="257" xfId="0" applyNumberFormat="1" applyFont="1" applyFill="1" applyBorder="1" applyAlignment="1">
      <alignment horizontal="left" vertical="center"/>
    </xf>
    <xf numFmtId="49" fontId="3" fillId="2" borderId="108" xfId="0" applyNumberFormat="1" applyFont="1" applyFill="1" applyBorder="1" applyAlignment="1">
      <alignment horizontal="left" vertical="center"/>
    </xf>
    <xf numFmtId="49" fontId="3" fillId="2" borderId="114" xfId="0" applyNumberFormat="1" applyFont="1" applyFill="1" applyBorder="1" applyAlignment="1">
      <alignment horizontal="left" vertical="center"/>
    </xf>
    <xf numFmtId="49" fontId="3" fillId="2" borderId="258" xfId="0" applyNumberFormat="1" applyFont="1" applyFill="1" applyBorder="1" applyAlignment="1">
      <alignment horizontal="left" vertical="center"/>
    </xf>
    <xf numFmtId="49" fontId="3" fillId="2" borderId="116" xfId="0" applyNumberFormat="1" applyFont="1" applyFill="1" applyBorder="1" applyAlignment="1">
      <alignment horizontal="left" vertical="center"/>
    </xf>
    <xf numFmtId="173" fontId="9" fillId="7" borderId="292" xfId="0" applyNumberFormat="1" applyFont="1" applyFill="1" applyBorder="1" applyAlignment="1" applyProtection="1">
      <alignment horizontal="left" vertical="center"/>
      <protection locked="0"/>
    </xf>
    <xf numFmtId="173" fontId="9" fillId="7" borderId="293" xfId="0" applyNumberFormat="1" applyFont="1" applyFill="1" applyBorder="1" applyAlignment="1" applyProtection="1">
      <alignment horizontal="left" vertical="center"/>
      <protection locked="0"/>
    </xf>
    <xf numFmtId="173" fontId="9" fillId="7" borderId="294" xfId="0" applyNumberFormat="1" applyFont="1" applyFill="1" applyBorder="1" applyAlignment="1" applyProtection="1">
      <alignment horizontal="left" vertical="center"/>
      <protection locked="0"/>
    </xf>
    <xf numFmtId="173" fontId="9" fillId="7" borderId="12" xfId="0" quotePrefix="1" applyNumberFormat="1" applyFont="1" applyFill="1" applyBorder="1" applyAlignment="1" applyProtection="1">
      <alignment horizontal="left" vertical="center"/>
      <protection locked="0"/>
    </xf>
    <xf numFmtId="0" fontId="4" fillId="2" borderId="352" xfId="0" applyFont="1" applyFill="1" applyBorder="1" applyAlignment="1" applyProtection="1">
      <alignment horizontal="right"/>
      <protection locked="0"/>
    </xf>
    <xf numFmtId="0" fontId="4" fillId="2" borderId="351" xfId="0" applyFont="1" applyFill="1" applyBorder="1" applyAlignment="1" applyProtection="1">
      <alignment horizontal="right"/>
      <protection locked="0"/>
    </xf>
  </cellXfs>
  <cellStyles count="6">
    <cellStyle name="Normal" xfId="0" builtinId="0"/>
    <cellStyle name="Normal 2" xfId="4"/>
    <cellStyle name="Normal 3" xfId="5"/>
    <cellStyle name="Normal_Autorep" xfId="3"/>
    <cellStyle name="Percentagem" xfId="1" builtinId="5"/>
    <cellStyle name="Percentagem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vro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vro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2"/>
    </sheetNames>
    <sheetDataSet>
      <sheetData sheetId="0">
        <row r="42">
          <cell r="H42">
            <v>40000</v>
          </cell>
        </row>
        <row r="43">
          <cell r="G43">
            <v>20625.25</v>
          </cell>
          <cell r="H43">
            <v>18340</v>
          </cell>
          <cell r="I43">
            <v>14800</v>
          </cell>
        </row>
        <row r="45">
          <cell r="H45">
            <v>93423.17</v>
          </cell>
          <cell r="I45">
            <v>34290.58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1"/>
    </sheetNames>
    <sheetDataSet>
      <sheetData sheetId="0">
        <row r="47">
          <cell r="E47">
            <v>0</v>
          </cell>
        </row>
        <row r="61">
          <cell r="F61">
            <v>27195.75</v>
          </cell>
          <cell r="G61">
            <v>12616.875</v>
          </cell>
          <cell r="H61">
            <v>3262.5</v>
          </cell>
          <cell r="I61">
            <v>3262.5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">
    <tabColor theme="9"/>
  </sheetPr>
  <dimension ref="A1:P57"/>
  <sheetViews>
    <sheetView zoomScaleNormal="100" workbookViewId="0">
      <pane xSplit="1" ySplit="2" topLeftCell="B27" activePane="bottomRight" state="frozen"/>
      <selection pane="topRight" activeCell="B1" sqref="B1"/>
      <selection pane="bottomLeft" activeCell="A3" sqref="A3"/>
      <selection pane="bottomRight" activeCell="C21" sqref="C21:F21"/>
    </sheetView>
  </sheetViews>
  <sheetFormatPr defaultColWidth="9.140625" defaultRowHeight="12" x14ac:dyDescent="0.25"/>
  <cols>
    <col min="1" max="1" width="1" style="3" customWidth="1"/>
    <col min="2" max="2" width="47.85546875" style="3" customWidth="1"/>
    <col min="3" max="13" width="9.5703125" style="3" customWidth="1"/>
    <col min="14" max="16384" width="9.140625" style="3"/>
  </cols>
  <sheetData>
    <row r="1" spans="1:16" ht="7.5" customHeight="1" thickBot="1" x14ac:dyDescent="0.3">
      <c r="B1" s="1502"/>
      <c r="C1" s="1502"/>
      <c r="D1" s="1502"/>
      <c r="E1" s="1502"/>
      <c r="F1" s="1502"/>
      <c r="G1" s="1502"/>
      <c r="H1" s="1502"/>
      <c r="I1" s="1502"/>
      <c r="J1" s="1502"/>
      <c r="K1" s="1502"/>
      <c r="L1" s="1502"/>
      <c r="M1" s="1502"/>
      <c r="N1" s="1502"/>
      <c r="O1" s="1502"/>
      <c r="P1" s="1502"/>
    </row>
    <row r="2" spans="1:16" ht="13.5" thickBot="1" x14ac:dyDescent="0.3">
      <c r="A2" s="2"/>
      <c r="B2" s="1841" t="s">
        <v>0</v>
      </c>
      <c r="C2" s="1842"/>
      <c r="D2" s="1842"/>
      <c r="E2" s="1842"/>
      <c r="F2" s="1842"/>
      <c r="G2" s="1842"/>
      <c r="H2" s="1842"/>
      <c r="I2" s="1842"/>
      <c r="J2" s="1842"/>
      <c r="K2" s="1842"/>
      <c r="L2" s="1842"/>
      <c r="M2" s="1843"/>
      <c r="N2" s="2"/>
      <c r="O2" s="1502"/>
      <c r="P2" s="1502"/>
    </row>
    <row r="3" spans="1:16" ht="12.75" thickBot="1" x14ac:dyDescent="0.3">
      <c r="A3" s="2"/>
      <c r="B3" s="1503"/>
      <c r="C3" s="4"/>
      <c r="D3" s="2"/>
      <c r="E3" s="2"/>
      <c r="F3" s="2"/>
      <c r="G3" s="2"/>
      <c r="H3" s="2"/>
      <c r="I3" s="2"/>
      <c r="J3" s="2"/>
      <c r="K3" s="2"/>
      <c r="L3" s="2"/>
      <c r="M3" s="1504"/>
      <c r="N3" s="2"/>
      <c r="O3" s="1502"/>
      <c r="P3" s="1502"/>
    </row>
    <row r="4" spans="1:16" x14ac:dyDescent="0.25">
      <c r="A4" s="2"/>
      <c r="B4" s="1539" t="s">
        <v>28</v>
      </c>
      <c r="C4" s="1845" t="s">
        <v>1448</v>
      </c>
      <c r="D4" s="1846"/>
      <c r="E4" s="1846"/>
      <c r="F4" s="1847"/>
      <c r="G4" s="2"/>
      <c r="H4" s="2"/>
      <c r="I4" s="2"/>
      <c r="J4" s="2"/>
      <c r="K4" s="2"/>
      <c r="L4" s="2"/>
      <c r="M4" s="1504"/>
      <c r="N4" s="2"/>
      <c r="O4" s="1502"/>
      <c r="P4" s="1502"/>
    </row>
    <row r="5" spans="1:16" x14ac:dyDescent="0.25">
      <c r="A5" s="2"/>
      <c r="B5" s="1540" t="s">
        <v>29</v>
      </c>
      <c r="C5" s="1852" t="s">
        <v>1449</v>
      </c>
      <c r="D5" s="1853"/>
      <c r="E5" s="1853"/>
      <c r="F5" s="1854"/>
      <c r="G5" s="2"/>
      <c r="H5" s="2"/>
      <c r="I5" s="2"/>
      <c r="J5" s="2"/>
      <c r="K5" s="2"/>
      <c r="L5" s="2"/>
      <c r="M5" s="1504"/>
      <c r="N5" s="2"/>
      <c r="O5" s="1502"/>
      <c r="P5" s="1502"/>
    </row>
    <row r="6" spans="1:16" ht="12.75" thickBot="1" x14ac:dyDescent="0.3">
      <c r="A6" s="2"/>
      <c r="B6" s="1541" t="s">
        <v>1</v>
      </c>
      <c r="C6" s="1848"/>
      <c r="D6" s="1849"/>
      <c r="E6" s="1849"/>
      <c r="F6" s="1850"/>
      <c r="G6" s="2"/>
      <c r="H6" s="2"/>
      <c r="I6" s="2"/>
      <c r="J6" s="2"/>
      <c r="K6" s="2"/>
      <c r="L6" s="2"/>
      <c r="M6" s="1504"/>
      <c r="N6" s="2"/>
      <c r="O6" s="1502"/>
      <c r="P6" s="1502"/>
    </row>
    <row r="7" spans="1:16" ht="12.75" thickBot="1" x14ac:dyDescent="0.3">
      <c r="A7" s="2"/>
      <c r="B7" s="1511"/>
      <c r="C7" s="1512"/>
      <c r="D7" s="6"/>
      <c r="E7" s="6"/>
      <c r="F7" s="6"/>
      <c r="G7" s="2"/>
      <c r="H7" s="2"/>
      <c r="I7" s="2"/>
      <c r="J7" s="2"/>
      <c r="K7" s="2"/>
      <c r="L7" s="2"/>
      <c r="M7" s="1504"/>
      <c r="N7" s="2"/>
      <c r="O7" s="1502"/>
      <c r="P7" s="1502"/>
    </row>
    <row r="8" spans="1:16" x14ac:dyDescent="0.25">
      <c r="A8" s="2"/>
      <c r="B8" s="1539" t="s">
        <v>1435</v>
      </c>
      <c r="C8" s="1754">
        <v>0.45</v>
      </c>
      <c r="D8" s="2"/>
      <c r="E8" s="2"/>
      <c r="F8" s="2"/>
      <c r="G8" s="2"/>
      <c r="H8" s="2"/>
      <c r="I8" s="2"/>
      <c r="J8" s="2"/>
      <c r="K8" s="2"/>
      <c r="L8" s="2"/>
      <c r="M8" s="1504"/>
      <c r="N8" s="2"/>
      <c r="O8" s="1502"/>
      <c r="P8" s="1502"/>
    </row>
    <row r="9" spans="1:16" x14ac:dyDescent="0.25">
      <c r="A9" s="2"/>
      <c r="B9" s="1621" t="s">
        <v>1436</v>
      </c>
      <c r="C9" s="1809">
        <v>0.3</v>
      </c>
      <c r="D9" s="2"/>
      <c r="E9" s="2"/>
      <c r="F9" s="2"/>
      <c r="G9" s="2"/>
      <c r="H9" s="2"/>
      <c r="I9" s="2"/>
      <c r="J9" s="2"/>
      <c r="K9" s="2"/>
      <c r="L9" s="2"/>
      <c r="M9" s="1504"/>
      <c r="N9" s="2"/>
      <c r="O9" s="1502"/>
      <c r="P9" s="1502"/>
    </row>
    <row r="10" spans="1:16" x14ac:dyDescent="0.25">
      <c r="A10" s="2"/>
      <c r="B10" s="1665" t="s">
        <v>692</v>
      </c>
      <c r="C10" s="1753">
        <v>2018</v>
      </c>
      <c r="D10" s="2"/>
      <c r="E10" s="2"/>
      <c r="F10" s="2"/>
      <c r="G10" s="2"/>
      <c r="H10" s="2"/>
      <c r="I10" s="2"/>
      <c r="J10" s="2"/>
      <c r="K10" s="2"/>
      <c r="L10" s="2"/>
      <c r="M10" s="1504"/>
      <c r="N10" s="2"/>
      <c r="O10" s="1502"/>
      <c r="P10" s="1502"/>
    </row>
    <row r="11" spans="1:16" x14ac:dyDescent="0.25">
      <c r="A11" s="2"/>
      <c r="B11" s="1540" t="s">
        <v>2</v>
      </c>
      <c r="C11" s="1753">
        <v>2020</v>
      </c>
      <c r="D11" s="2"/>
      <c r="E11" s="2"/>
      <c r="F11" s="2"/>
      <c r="G11" s="2"/>
      <c r="H11" s="2"/>
      <c r="I11" s="2"/>
      <c r="J11" s="2"/>
      <c r="K11" s="2"/>
      <c r="L11" s="2"/>
      <c r="M11" s="1504"/>
      <c r="N11" s="2"/>
      <c r="O11" s="1502"/>
      <c r="P11" s="1502"/>
    </row>
    <row r="12" spans="1:16" x14ac:dyDescent="0.25">
      <c r="A12" s="2"/>
      <c r="B12" s="1540" t="s">
        <v>3</v>
      </c>
      <c r="C12" s="1753">
        <v>2020</v>
      </c>
      <c r="D12" s="2"/>
      <c r="E12" s="2"/>
      <c r="F12" s="2"/>
      <c r="G12" s="2"/>
      <c r="H12" s="2"/>
      <c r="I12" s="2"/>
      <c r="J12" s="2"/>
      <c r="K12" s="2"/>
      <c r="L12" s="2"/>
      <c r="M12" s="1504"/>
      <c r="N12" s="2"/>
      <c r="O12" s="1502"/>
      <c r="P12" s="1502"/>
    </row>
    <row r="13" spans="1:16" x14ac:dyDescent="0.25">
      <c r="A13" s="2"/>
      <c r="B13" s="1540" t="s">
        <v>700</v>
      </c>
      <c r="C13" s="1753">
        <v>2023</v>
      </c>
      <c r="D13" s="2"/>
      <c r="E13" s="2"/>
      <c r="F13" s="2"/>
      <c r="G13" s="2"/>
      <c r="H13" s="2"/>
      <c r="I13" s="2"/>
      <c r="J13" s="2"/>
      <c r="K13" s="2"/>
      <c r="L13" s="2"/>
      <c r="M13" s="1504"/>
      <c r="N13" s="2"/>
      <c r="O13" s="1502"/>
      <c r="P13" s="1502"/>
    </row>
    <row r="14" spans="1:16" ht="12.75" thickBot="1" x14ac:dyDescent="0.3">
      <c r="A14" s="2"/>
      <c r="B14" s="1541" t="s">
        <v>30</v>
      </c>
      <c r="C14" s="1524">
        <v>360</v>
      </c>
      <c r="D14" s="2"/>
      <c r="E14" s="2"/>
      <c r="F14" s="2"/>
      <c r="G14" s="2"/>
      <c r="H14" s="2"/>
      <c r="I14" s="2"/>
      <c r="J14" s="2"/>
      <c r="K14" s="2"/>
      <c r="L14" s="2"/>
      <c r="M14" s="1504"/>
      <c r="N14" s="2"/>
      <c r="O14" s="1502"/>
      <c r="P14" s="1502"/>
    </row>
    <row r="15" spans="1:16" ht="12.75" thickBot="1" x14ac:dyDescent="0.3">
      <c r="A15" s="2"/>
      <c r="B15" s="1503"/>
      <c r="C15" s="2"/>
      <c r="D15" s="2"/>
      <c r="E15" s="2"/>
      <c r="F15" s="2"/>
      <c r="G15" s="2"/>
      <c r="H15" s="2"/>
      <c r="I15" s="2"/>
      <c r="J15" s="2"/>
      <c r="K15" s="1851"/>
      <c r="L15" s="1851"/>
      <c r="M15" s="1504"/>
      <c r="N15" s="2"/>
      <c r="O15" s="1502"/>
      <c r="P15" s="1502"/>
    </row>
    <row r="16" spans="1:16" x14ac:dyDescent="0.25">
      <c r="A16" s="2"/>
      <c r="B16" s="1542"/>
      <c r="C16" s="1525">
        <f>C11</f>
        <v>2020</v>
      </c>
      <c r="D16" s="1513">
        <f>C16+1</f>
        <v>2021</v>
      </c>
      <c r="E16" s="1513">
        <f>D16+1</f>
        <v>2022</v>
      </c>
      <c r="F16" s="1513">
        <f t="shared" ref="F16:L16" si="0">E16+1</f>
        <v>2023</v>
      </c>
      <c r="G16" s="1513">
        <f t="shared" si="0"/>
        <v>2024</v>
      </c>
      <c r="H16" s="1513">
        <f t="shared" si="0"/>
        <v>2025</v>
      </c>
      <c r="I16" s="1513">
        <f t="shared" si="0"/>
        <v>2026</v>
      </c>
      <c r="J16" s="1513">
        <f t="shared" si="0"/>
        <v>2027</v>
      </c>
      <c r="K16" s="1513">
        <f t="shared" si="0"/>
        <v>2028</v>
      </c>
      <c r="L16" s="1513">
        <f t="shared" si="0"/>
        <v>2029</v>
      </c>
      <c r="M16" s="1514" t="s">
        <v>4</v>
      </c>
      <c r="N16" s="2"/>
      <c r="O16" s="1502"/>
      <c r="P16" s="1502"/>
    </row>
    <row r="17" spans="1:16" ht="12.75" thickBot="1" x14ac:dyDescent="0.3">
      <c r="A17" s="2"/>
      <c r="B17" s="1543" t="s">
        <v>27</v>
      </c>
      <c r="C17" s="1526">
        <v>0.01</v>
      </c>
      <c r="D17" s="1526">
        <v>0.01</v>
      </c>
      <c r="E17" s="1526">
        <v>0.01</v>
      </c>
      <c r="F17" s="1526">
        <v>0.01</v>
      </c>
      <c r="G17" s="1526">
        <v>0.01</v>
      </c>
      <c r="H17" s="1526">
        <v>0.01</v>
      </c>
      <c r="I17" s="1526">
        <v>0.01</v>
      </c>
      <c r="J17" s="1526">
        <v>0.01</v>
      </c>
      <c r="K17" s="1526">
        <v>0.01</v>
      </c>
      <c r="L17" s="1526">
        <v>0.01</v>
      </c>
      <c r="M17" s="1515">
        <v>0.01</v>
      </c>
      <c r="N17" s="2"/>
      <c r="O17" s="1502"/>
      <c r="P17" s="1502"/>
    </row>
    <row r="18" spans="1:16" ht="12.75" thickBot="1" x14ac:dyDescent="0.3">
      <c r="A18" s="2"/>
      <c r="B18" s="1503"/>
      <c r="C18" s="2"/>
      <c r="D18" s="2"/>
      <c r="E18" s="2"/>
      <c r="F18" s="2"/>
      <c r="G18" s="2"/>
      <c r="H18" s="2"/>
      <c r="I18" s="2"/>
      <c r="J18" s="2"/>
      <c r="K18" s="2"/>
      <c r="L18" s="2"/>
      <c r="M18" s="1504"/>
      <c r="N18" s="2"/>
      <c r="O18" s="1502"/>
      <c r="P18" s="1502"/>
    </row>
    <row r="19" spans="1:16" x14ac:dyDescent="0.25">
      <c r="A19" s="2"/>
      <c r="B19" s="1544" t="s">
        <v>5</v>
      </c>
      <c r="C19" s="1525">
        <f>C11</f>
        <v>2020</v>
      </c>
      <c r="D19" s="1513">
        <f>$C$19+1</f>
        <v>2021</v>
      </c>
      <c r="E19" s="1513">
        <f>$C$19+2</f>
        <v>2022</v>
      </c>
      <c r="F19" s="1513">
        <f t="shared" ref="F19:L19" si="1">+E19+1</f>
        <v>2023</v>
      </c>
      <c r="G19" s="1513">
        <f t="shared" si="1"/>
        <v>2024</v>
      </c>
      <c r="H19" s="1513">
        <f t="shared" si="1"/>
        <v>2025</v>
      </c>
      <c r="I19" s="1513">
        <f t="shared" si="1"/>
        <v>2026</v>
      </c>
      <c r="J19" s="1513">
        <f t="shared" si="1"/>
        <v>2027</v>
      </c>
      <c r="K19" s="1513">
        <f t="shared" si="1"/>
        <v>2028</v>
      </c>
      <c r="L19" s="1513">
        <f t="shared" si="1"/>
        <v>2029</v>
      </c>
      <c r="M19" s="1514" t="s">
        <v>4</v>
      </c>
      <c r="N19" s="2"/>
      <c r="O19" s="1502"/>
      <c r="P19" s="1502"/>
    </row>
    <row r="20" spans="1:16" ht="12.75" thickBot="1" x14ac:dyDescent="0.3">
      <c r="A20" s="2"/>
      <c r="B20" s="1545" t="s">
        <v>6</v>
      </c>
      <c r="C20" s="1528">
        <v>1.05</v>
      </c>
      <c r="D20" s="1518">
        <v>1.05</v>
      </c>
      <c r="E20" s="1518">
        <v>1.05</v>
      </c>
      <c r="F20" s="1518">
        <v>1.05</v>
      </c>
      <c r="G20" s="1518">
        <v>1.01</v>
      </c>
      <c r="H20" s="1518">
        <v>1.01</v>
      </c>
      <c r="I20" s="1518">
        <v>1.01</v>
      </c>
      <c r="J20" s="1518">
        <v>1.01</v>
      </c>
      <c r="K20" s="1518">
        <v>1.01</v>
      </c>
      <c r="L20" s="1518">
        <v>1.01</v>
      </c>
      <c r="M20" s="1517">
        <v>1</v>
      </c>
      <c r="N20" s="2"/>
      <c r="O20" s="1502"/>
      <c r="P20" s="1502"/>
    </row>
    <row r="21" spans="1:16" ht="12.75" thickBot="1" x14ac:dyDescent="0.3">
      <c r="A21" s="2"/>
      <c r="B21" s="1546" t="s">
        <v>7</v>
      </c>
      <c r="C21" s="1528">
        <v>1.05</v>
      </c>
      <c r="D21" s="1518">
        <v>1.05</v>
      </c>
      <c r="E21" s="1518">
        <v>1.05</v>
      </c>
      <c r="F21" s="1518">
        <v>1.05</v>
      </c>
      <c r="G21" s="1518">
        <v>1.01</v>
      </c>
      <c r="H21" s="1518">
        <v>1.01</v>
      </c>
      <c r="I21" s="1518">
        <v>1.01</v>
      </c>
      <c r="J21" s="1518">
        <v>1.01</v>
      </c>
      <c r="K21" s="1518">
        <v>1.01</v>
      </c>
      <c r="L21" s="1518">
        <v>1.01</v>
      </c>
      <c r="M21" s="1519">
        <v>1</v>
      </c>
      <c r="N21" s="2"/>
      <c r="O21" s="1502"/>
      <c r="P21" s="1502"/>
    </row>
    <row r="22" spans="1:16" ht="12.75" thickBot="1" x14ac:dyDescent="0.3">
      <c r="A22" s="2"/>
      <c r="B22" s="1503"/>
      <c r="C22" s="5"/>
      <c r="D22" s="5"/>
      <c r="E22" s="5"/>
      <c r="F22" s="5"/>
      <c r="G22" s="5"/>
      <c r="H22" s="5"/>
      <c r="I22" s="5"/>
      <c r="J22" s="5"/>
      <c r="K22" s="2"/>
      <c r="L22" s="2"/>
      <c r="M22" s="1504"/>
      <c r="N22" s="2"/>
      <c r="O22" s="1502"/>
      <c r="P22" s="1502"/>
    </row>
    <row r="23" spans="1:16" x14ac:dyDescent="0.25">
      <c r="A23" s="2"/>
      <c r="B23" s="1539" t="s">
        <v>8</v>
      </c>
      <c r="C23" s="1585">
        <v>14</v>
      </c>
      <c r="D23" s="1586">
        <f>C23</f>
        <v>14</v>
      </c>
      <c r="E23" s="1586">
        <f t="shared" ref="E23:M23" si="2">D23</f>
        <v>14</v>
      </c>
      <c r="F23" s="1586">
        <f t="shared" si="2"/>
        <v>14</v>
      </c>
      <c r="G23" s="1586">
        <f t="shared" si="2"/>
        <v>14</v>
      </c>
      <c r="H23" s="1586">
        <f t="shared" si="2"/>
        <v>14</v>
      </c>
      <c r="I23" s="1586">
        <f t="shared" si="2"/>
        <v>14</v>
      </c>
      <c r="J23" s="1586">
        <f t="shared" si="2"/>
        <v>14</v>
      </c>
      <c r="K23" s="1586">
        <f t="shared" si="2"/>
        <v>14</v>
      </c>
      <c r="L23" s="1586">
        <f t="shared" si="2"/>
        <v>14</v>
      </c>
      <c r="M23" s="1587">
        <f t="shared" si="2"/>
        <v>14</v>
      </c>
      <c r="N23" s="2"/>
      <c r="O23" s="1502"/>
      <c r="P23" s="1502"/>
    </row>
    <row r="24" spans="1:16" x14ac:dyDescent="0.25">
      <c r="A24" s="2"/>
      <c r="B24" s="1540" t="s">
        <v>9</v>
      </c>
      <c r="C24" s="1527">
        <v>1.02</v>
      </c>
      <c r="D24" s="1516">
        <v>1.02</v>
      </c>
      <c r="E24" s="1516">
        <v>1.02</v>
      </c>
      <c r="F24" s="1516">
        <v>1.02</v>
      </c>
      <c r="G24" s="1516">
        <v>1.02</v>
      </c>
      <c r="H24" s="1516">
        <v>1.02</v>
      </c>
      <c r="I24" s="1516">
        <v>1.02</v>
      </c>
      <c r="J24" s="1516">
        <v>1.02</v>
      </c>
      <c r="K24" s="1516">
        <v>1.02</v>
      </c>
      <c r="L24" s="1516">
        <v>1.02</v>
      </c>
      <c r="M24" s="1517">
        <v>1.02</v>
      </c>
      <c r="N24" s="2"/>
      <c r="O24" s="1502"/>
      <c r="P24" s="1502"/>
    </row>
    <row r="25" spans="1:16" x14ac:dyDescent="0.25">
      <c r="A25" s="2"/>
      <c r="B25" s="1540" t="s">
        <v>10</v>
      </c>
      <c r="C25" s="1579">
        <f>0.2375+0.025</f>
        <v>0.26250000000000001</v>
      </c>
      <c r="D25" s="1580">
        <f>C25</f>
        <v>0.26250000000000001</v>
      </c>
      <c r="E25" s="1580">
        <f t="shared" ref="E25:M25" si="3">D25</f>
        <v>0.26250000000000001</v>
      </c>
      <c r="F25" s="1580">
        <f t="shared" si="3"/>
        <v>0.26250000000000001</v>
      </c>
      <c r="G25" s="1580">
        <f t="shared" si="3"/>
        <v>0.26250000000000001</v>
      </c>
      <c r="H25" s="1580">
        <f t="shared" si="3"/>
        <v>0.26250000000000001</v>
      </c>
      <c r="I25" s="1580">
        <f t="shared" si="3"/>
        <v>0.26250000000000001</v>
      </c>
      <c r="J25" s="1580">
        <f t="shared" si="3"/>
        <v>0.26250000000000001</v>
      </c>
      <c r="K25" s="1580">
        <f t="shared" si="3"/>
        <v>0.26250000000000001</v>
      </c>
      <c r="L25" s="1580">
        <f t="shared" si="3"/>
        <v>0.26250000000000001</v>
      </c>
      <c r="M25" s="1581">
        <f t="shared" si="3"/>
        <v>0.26250000000000001</v>
      </c>
      <c r="N25" s="2"/>
      <c r="O25" s="1502"/>
      <c r="P25" s="1502"/>
    </row>
    <row r="26" spans="1:16" x14ac:dyDescent="0.25">
      <c r="A26" s="2"/>
      <c r="B26" s="1540" t="s">
        <v>11</v>
      </c>
      <c r="C26" s="1529">
        <v>2</v>
      </c>
      <c r="D26" s="1520">
        <f>C26</f>
        <v>2</v>
      </c>
      <c r="E26" s="1520">
        <f t="shared" ref="E26:L26" si="4">D26</f>
        <v>2</v>
      </c>
      <c r="F26" s="1520">
        <f t="shared" si="4"/>
        <v>2</v>
      </c>
      <c r="G26" s="1520">
        <f t="shared" si="4"/>
        <v>2</v>
      </c>
      <c r="H26" s="1520">
        <f t="shared" si="4"/>
        <v>2</v>
      </c>
      <c r="I26" s="1520">
        <f t="shared" si="4"/>
        <v>2</v>
      </c>
      <c r="J26" s="1520">
        <f t="shared" si="4"/>
        <v>2</v>
      </c>
      <c r="K26" s="1520">
        <f t="shared" si="4"/>
        <v>2</v>
      </c>
      <c r="L26" s="1520">
        <f t="shared" si="4"/>
        <v>2</v>
      </c>
      <c r="M26" s="1521">
        <f>L26</f>
        <v>2</v>
      </c>
      <c r="N26" s="2"/>
      <c r="O26" s="1502"/>
      <c r="P26" s="1502"/>
    </row>
    <row r="27" spans="1:16" x14ac:dyDescent="0.25">
      <c r="A27" s="2"/>
      <c r="B27" s="1540" t="s">
        <v>12</v>
      </c>
      <c r="C27" s="1582">
        <v>0.23</v>
      </c>
      <c r="D27" s="1583">
        <f>C27</f>
        <v>0.23</v>
      </c>
      <c r="E27" s="1583">
        <f t="shared" ref="E27:M27" si="5">D27</f>
        <v>0.23</v>
      </c>
      <c r="F27" s="1583">
        <f t="shared" si="5"/>
        <v>0.23</v>
      </c>
      <c r="G27" s="1583">
        <f t="shared" si="5"/>
        <v>0.23</v>
      </c>
      <c r="H27" s="1583">
        <f t="shared" si="5"/>
        <v>0.23</v>
      </c>
      <c r="I27" s="1583">
        <f t="shared" si="5"/>
        <v>0.23</v>
      </c>
      <c r="J27" s="1583">
        <f t="shared" si="5"/>
        <v>0.23</v>
      </c>
      <c r="K27" s="1583">
        <f t="shared" si="5"/>
        <v>0.23</v>
      </c>
      <c r="L27" s="1583">
        <f t="shared" si="5"/>
        <v>0.23</v>
      </c>
      <c r="M27" s="1584">
        <f t="shared" si="5"/>
        <v>0.23</v>
      </c>
      <c r="N27" s="2"/>
      <c r="O27" s="1502"/>
      <c r="P27" s="1502"/>
    </row>
    <row r="28" spans="1:16" ht="12.75" thickBot="1" x14ac:dyDescent="0.3">
      <c r="A28" s="2"/>
      <c r="B28" s="1541" t="s">
        <v>13</v>
      </c>
      <c r="C28" s="1530">
        <v>1</v>
      </c>
      <c r="D28" s="1522">
        <f>C28</f>
        <v>1</v>
      </c>
      <c r="E28" s="1522">
        <f t="shared" ref="E28:M28" si="6">D28</f>
        <v>1</v>
      </c>
      <c r="F28" s="1522">
        <f t="shared" si="6"/>
        <v>1</v>
      </c>
      <c r="G28" s="1522">
        <f t="shared" si="6"/>
        <v>1</v>
      </c>
      <c r="H28" s="1522">
        <f t="shared" si="6"/>
        <v>1</v>
      </c>
      <c r="I28" s="1522">
        <f t="shared" si="6"/>
        <v>1</v>
      </c>
      <c r="J28" s="1522">
        <f t="shared" si="6"/>
        <v>1</v>
      </c>
      <c r="K28" s="1522">
        <f t="shared" si="6"/>
        <v>1</v>
      </c>
      <c r="L28" s="1522">
        <f t="shared" si="6"/>
        <v>1</v>
      </c>
      <c r="M28" s="1523">
        <f t="shared" si="6"/>
        <v>1</v>
      </c>
      <c r="N28" s="2"/>
      <c r="O28" s="1502"/>
      <c r="P28" s="1502"/>
    </row>
    <row r="29" spans="1:16" customFormat="1" ht="15.75" thickBot="1" x14ac:dyDescent="0.3">
      <c r="B29" s="1508"/>
      <c r="C29" s="1509"/>
      <c r="D29" s="1509"/>
      <c r="E29" s="1509"/>
      <c r="F29" s="1509"/>
      <c r="G29" s="1509"/>
      <c r="H29" s="1509"/>
      <c r="I29" s="1509"/>
      <c r="J29" s="1509"/>
      <c r="K29" s="1509"/>
      <c r="L29" s="1509"/>
      <c r="M29" s="1510"/>
    </row>
    <row r="30" spans="1:16" ht="12.75" thickBot="1" x14ac:dyDescent="0.3">
      <c r="A30" s="2"/>
      <c r="B30" s="1547" t="s">
        <v>14</v>
      </c>
      <c r="C30" s="1531">
        <v>5.0000000000000001E-3</v>
      </c>
      <c r="D30" s="2"/>
      <c r="E30" s="2"/>
      <c r="F30" s="2"/>
      <c r="G30" s="2"/>
      <c r="H30" s="2"/>
      <c r="I30" s="2"/>
      <c r="J30" s="2"/>
      <c r="K30" s="2"/>
      <c r="L30" s="2"/>
      <c r="M30" s="1504"/>
      <c r="N30" s="2"/>
      <c r="O30" s="1502"/>
      <c r="P30" s="1502"/>
    </row>
    <row r="31" spans="1:16" ht="12.75" thickBot="1" x14ac:dyDescent="0.3">
      <c r="A31" s="2"/>
      <c r="B31" s="1503"/>
      <c r="C31" s="6"/>
      <c r="D31" s="2"/>
      <c r="E31" s="2"/>
      <c r="F31" s="2"/>
      <c r="G31" s="2"/>
      <c r="H31" s="2"/>
      <c r="I31" s="2"/>
      <c r="J31" s="2"/>
      <c r="K31" s="2"/>
      <c r="L31" s="2"/>
      <c r="M31" s="1504"/>
      <c r="N31" s="2"/>
      <c r="O31" s="1502"/>
      <c r="P31" s="1502"/>
    </row>
    <row r="32" spans="1:16" x14ac:dyDescent="0.25">
      <c r="A32" s="2"/>
      <c r="B32" s="1539" t="s">
        <v>15</v>
      </c>
      <c r="C32" s="1532">
        <v>3.5000000000000001E-3</v>
      </c>
      <c r="D32" s="1837" t="s">
        <v>670</v>
      </c>
      <c r="E32" s="1837"/>
      <c r="F32" s="1837"/>
      <c r="G32" s="1838"/>
      <c r="H32" s="2"/>
      <c r="I32" s="2"/>
      <c r="J32" s="2"/>
      <c r="K32" s="2"/>
      <c r="L32" s="2"/>
      <c r="M32" s="1504"/>
      <c r="N32" s="2"/>
      <c r="O32" s="1502"/>
      <c r="P32" s="1502"/>
    </row>
    <row r="33" spans="1:16" x14ac:dyDescent="0.25">
      <c r="A33" s="2"/>
      <c r="B33" s="1540" t="s">
        <v>16</v>
      </c>
      <c r="C33" s="1533">
        <v>6.6500000000000004E-2</v>
      </c>
      <c r="D33" s="1835" t="s">
        <v>17</v>
      </c>
      <c r="E33" s="1835"/>
      <c r="F33" s="1835"/>
      <c r="G33" s="1836"/>
      <c r="H33" s="6"/>
      <c r="I33" s="2"/>
      <c r="J33" s="2"/>
      <c r="K33" s="2"/>
      <c r="L33" s="2"/>
      <c r="M33" s="1504"/>
      <c r="N33" s="2"/>
      <c r="O33" s="1502"/>
      <c r="P33" s="1502"/>
    </row>
    <row r="34" spans="1:16" x14ac:dyDescent="0.25">
      <c r="A34" s="2"/>
      <c r="B34" s="1540" t="s">
        <v>671</v>
      </c>
      <c r="C34" s="1594">
        <v>1</v>
      </c>
      <c r="D34" s="2"/>
      <c r="E34" s="2"/>
      <c r="F34" s="2"/>
      <c r="G34" s="1504"/>
      <c r="H34" s="2"/>
      <c r="I34" s="2"/>
      <c r="J34" s="2"/>
      <c r="K34" s="2"/>
      <c r="L34" s="2"/>
      <c r="M34" s="1504"/>
      <c r="N34" s="2"/>
      <c r="O34" s="1502"/>
      <c r="P34" s="1502"/>
    </row>
    <row r="35" spans="1:16" ht="12.75" thickBot="1" x14ac:dyDescent="0.3">
      <c r="A35" s="2"/>
      <c r="B35" s="1541" t="s">
        <v>669</v>
      </c>
      <c r="C35" s="1755">
        <f>C32+C33*C34</f>
        <v>7.0000000000000007E-2</v>
      </c>
      <c r="D35" s="1839" t="s">
        <v>1195</v>
      </c>
      <c r="E35" s="1839"/>
      <c r="F35" s="1839"/>
      <c r="G35" s="1840"/>
      <c r="H35" s="2"/>
      <c r="I35" s="2"/>
      <c r="J35" s="2"/>
      <c r="K35" s="2"/>
      <c r="L35" s="2"/>
      <c r="M35" s="1504"/>
      <c r="N35" s="2"/>
      <c r="O35" s="1502"/>
      <c r="P35" s="1502"/>
    </row>
    <row r="36" spans="1:16" ht="12.75" thickBot="1" x14ac:dyDescent="0.3">
      <c r="A36" s="2"/>
      <c r="B36" s="1503"/>
      <c r="C36" s="7"/>
      <c r="D36" s="2"/>
      <c r="E36" s="2"/>
      <c r="F36" s="2"/>
      <c r="G36" s="2"/>
      <c r="H36" s="2"/>
      <c r="I36" s="2"/>
      <c r="J36" s="2"/>
      <c r="K36" s="2"/>
      <c r="L36" s="2"/>
      <c r="M36" s="1504"/>
      <c r="N36" s="2"/>
      <c r="O36" s="1502"/>
      <c r="P36" s="1502"/>
    </row>
    <row r="37" spans="1:16" x14ac:dyDescent="0.25">
      <c r="A37" s="2"/>
      <c r="B37" s="1539" t="s">
        <v>18</v>
      </c>
      <c r="C37" s="1534">
        <v>0.21</v>
      </c>
      <c r="D37" s="2"/>
      <c r="E37" s="2"/>
      <c r="F37" s="2"/>
      <c r="G37" s="2"/>
      <c r="H37" s="2"/>
      <c r="I37" s="2"/>
      <c r="J37" s="2"/>
      <c r="K37" s="2"/>
      <c r="L37" s="2"/>
      <c r="M37" s="1504"/>
      <c r="N37" s="2"/>
      <c r="O37" s="1502"/>
      <c r="P37" s="1502"/>
    </row>
    <row r="38" spans="1:16" x14ac:dyDescent="0.25">
      <c r="A38" s="2"/>
      <c r="B38" s="1540" t="s">
        <v>19</v>
      </c>
      <c r="C38" s="1535">
        <v>1.4999999999999999E-2</v>
      </c>
      <c r="D38" s="2"/>
      <c r="E38" s="2"/>
      <c r="F38" s="2"/>
      <c r="G38" s="2"/>
      <c r="H38" s="2"/>
      <c r="I38" s="2"/>
      <c r="J38" s="2"/>
      <c r="K38" s="2"/>
      <c r="L38" s="2"/>
      <c r="M38" s="1504"/>
      <c r="N38" s="2"/>
      <c r="O38" s="1502"/>
      <c r="P38" s="1502"/>
    </row>
    <row r="39" spans="1:16" ht="12.75" thickBot="1" x14ac:dyDescent="0.3">
      <c r="A39" s="2"/>
      <c r="B39" s="1548" t="s">
        <v>20</v>
      </c>
      <c r="C39" s="1593">
        <f>C37+C38</f>
        <v>0.22499999999999998</v>
      </c>
      <c r="D39" s="2"/>
      <c r="E39" s="2"/>
      <c r="F39" s="2"/>
      <c r="G39" s="2"/>
      <c r="H39" s="2"/>
      <c r="I39" s="2"/>
      <c r="J39" s="2"/>
      <c r="K39" s="2"/>
      <c r="L39" s="2"/>
      <c r="M39" s="1504"/>
      <c r="N39" s="2"/>
      <c r="O39" s="1502"/>
      <c r="P39" s="1502"/>
    </row>
    <row r="40" spans="1:16" ht="12.75" thickBot="1" x14ac:dyDescent="0.3">
      <c r="A40" s="2"/>
      <c r="B40" s="1503"/>
      <c r="C40" s="2"/>
      <c r="D40" s="2"/>
      <c r="E40" s="2"/>
      <c r="F40" s="8"/>
      <c r="G40" s="2"/>
      <c r="H40" s="2"/>
      <c r="I40" s="2"/>
      <c r="J40" s="2"/>
      <c r="K40" s="2"/>
      <c r="L40" s="2"/>
      <c r="M40" s="1504"/>
      <c r="N40" s="2"/>
      <c r="O40" s="1502"/>
      <c r="P40" s="1502"/>
    </row>
    <row r="41" spans="1:16" ht="12.75" thickBot="1" x14ac:dyDescent="0.3">
      <c r="A41" s="2"/>
      <c r="B41" s="1856" t="s">
        <v>26</v>
      </c>
      <c r="C41" s="1857"/>
      <c r="D41" s="1233"/>
      <c r="E41" s="2"/>
      <c r="F41" s="2"/>
      <c r="G41" s="2"/>
      <c r="H41" s="2"/>
      <c r="I41" s="2"/>
      <c r="J41" s="2"/>
      <c r="K41" s="2"/>
      <c r="L41" s="2"/>
      <c r="M41" s="1504"/>
      <c r="N41" s="2"/>
      <c r="O41" s="1502"/>
      <c r="P41" s="1502"/>
    </row>
    <row r="42" spans="1:16" x14ac:dyDescent="0.25">
      <c r="A42" s="2"/>
      <c r="B42" s="1621" t="s">
        <v>21</v>
      </c>
      <c r="C42" s="1803">
        <v>90</v>
      </c>
      <c r="D42" s="1855"/>
      <c r="E42" s="1855"/>
      <c r="F42" s="1855"/>
      <c r="G42" s="1855"/>
      <c r="H42" s="1855"/>
      <c r="I42" s="1855"/>
      <c r="J42" s="1855"/>
      <c r="K42" s="2"/>
      <c r="L42" s="2"/>
      <c r="M42" s="1504"/>
      <c r="N42" s="2"/>
      <c r="O42" s="1502"/>
      <c r="P42" s="1502"/>
    </row>
    <row r="43" spans="1:16" x14ac:dyDescent="0.25">
      <c r="A43" s="2"/>
      <c r="B43" s="1540" t="s">
        <v>22</v>
      </c>
      <c r="C43" s="1804">
        <v>60</v>
      </c>
      <c r="D43" s="1855"/>
      <c r="E43" s="1855"/>
      <c r="F43" s="1855"/>
      <c r="G43" s="1855"/>
      <c r="H43" s="1855"/>
      <c r="I43" s="1855"/>
      <c r="J43" s="1855"/>
      <c r="K43" s="2"/>
      <c r="L43" s="2"/>
      <c r="M43" s="1504"/>
      <c r="N43" s="2"/>
      <c r="O43" s="1502"/>
      <c r="P43" s="1502"/>
    </row>
    <row r="44" spans="1:16" ht="12.75" thickBot="1" x14ac:dyDescent="0.3">
      <c r="A44" s="2"/>
      <c r="B44" s="1541" t="s">
        <v>23</v>
      </c>
      <c r="C44" s="1805">
        <v>30</v>
      </c>
      <c r="D44" s="1855"/>
      <c r="E44" s="1855"/>
      <c r="F44" s="1855"/>
      <c r="G44" s="1855"/>
      <c r="H44" s="1855"/>
      <c r="I44" s="1855"/>
      <c r="J44" s="1855"/>
      <c r="K44" s="2"/>
      <c r="L44" s="2"/>
      <c r="M44" s="1504"/>
      <c r="N44" s="2"/>
      <c r="O44" s="1502"/>
      <c r="P44" s="1502"/>
    </row>
    <row r="45" spans="1:16" ht="12.75" thickBot="1" x14ac:dyDescent="0.3">
      <c r="A45" s="2"/>
      <c r="B45" s="1503"/>
      <c r="C45" s="2"/>
      <c r="D45" s="2"/>
      <c r="E45" s="9"/>
      <c r="F45" s="2"/>
      <c r="G45" s="2"/>
      <c r="H45" s="2"/>
      <c r="I45" s="2"/>
      <c r="J45" s="2"/>
      <c r="K45" s="2"/>
      <c r="L45" s="2"/>
      <c r="M45" s="1504"/>
      <c r="N45" s="2"/>
      <c r="O45" s="1502"/>
      <c r="P45" s="1502"/>
    </row>
    <row r="46" spans="1:16" x14ac:dyDescent="0.25">
      <c r="A46" s="2"/>
      <c r="B46" s="1549" t="s">
        <v>24</v>
      </c>
      <c r="C46" s="1537">
        <f>C47+C48</f>
        <v>4.7650000000000005E-2</v>
      </c>
      <c r="D46" s="10"/>
      <c r="E46" s="11"/>
      <c r="F46" s="9"/>
      <c r="G46" s="9"/>
      <c r="H46" s="9"/>
      <c r="I46" s="9"/>
      <c r="J46" s="9"/>
      <c r="K46" s="2"/>
      <c r="L46" s="2"/>
      <c r="M46" s="1504"/>
      <c r="N46" s="2"/>
      <c r="O46" s="1502"/>
      <c r="P46" s="1502"/>
    </row>
    <row r="47" spans="1:16" x14ac:dyDescent="0.25">
      <c r="A47" s="2"/>
      <c r="B47" s="1550" t="s">
        <v>31</v>
      </c>
      <c r="C47" s="1538">
        <v>-2.3500000000000001E-3</v>
      </c>
      <c r="D47" s="1844" t="s">
        <v>1210</v>
      </c>
      <c r="E47" s="1844"/>
      <c r="F47" s="1844"/>
      <c r="G47" s="2"/>
      <c r="H47" s="2"/>
      <c r="I47" s="2"/>
      <c r="J47" s="2"/>
      <c r="K47" s="2"/>
      <c r="L47" s="2"/>
      <c r="M47" s="1504"/>
      <c r="N47" s="2"/>
      <c r="O47" s="1502"/>
      <c r="P47" s="1502"/>
    </row>
    <row r="48" spans="1:16" x14ac:dyDescent="0.25">
      <c r="A48" s="2"/>
      <c r="B48" s="1550" t="s">
        <v>32</v>
      </c>
      <c r="C48" s="1538">
        <v>0.05</v>
      </c>
      <c r="D48" s="10"/>
      <c r="E48" s="11"/>
      <c r="F48" s="9"/>
      <c r="G48" s="2"/>
      <c r="H48" s="2"/>
      <c r="I48" s="2"/>
      <c r="J48" s="2"/>
      <c r="K48" s="2"/>
      <c r="L48" s="2"/>
      <c r="M48" s="1504"/>
      <c r="N48" s="2"/>
      <c r="O48" s="1502"/>
      <c r="P48" s="1502"/>
    </row>
    <row r="49" spans="1:16" ht="12.75" thickBot="1" x14ac:dyDescent="0.3">
      <c r="A49" s="2"/>
      <c r="B49" s="1543" t="s">
        <v>25</v>
      </c>
      <c r="C49" s="1536">
        <v>0</v>
      </c>
      <c r="D49" s="1505"/>
      <c r="E49" s="1505"/>
      <c r="F49" s="1506"/>
      <c r="G49" s="1505"/>
      <c r="H49" s="1505"/>
      <c r="I49" s="1505"/>
      <c r="J49" s="1505"/>
      <c r="K49" s="1505"/>
      <c r="L49" s="1505"/>
      <c r="M49" s="1507"/>
      <c r="N49" s="2"/>
      <c r="O49" s="1502"/>
      <c r="P49" s="1502"/>
    </row>
    <row r="50" spans="1:16" x14ac:dyDescent="0.25">
      <c r="A50" s="1502"/>
      <c r="B50" s="1502"/>
      <c r="C50" s="1502"/>
      <c r="D50" s="1502"/>
      <c r="E50" s="1502"/>
      <c r="F50" s="1502"/>
      <c r="G50" s="1502"/>
      <c r="H50" s="1502"/>
      <c r="I50" s="1502"/>
      <c r="J50" s="1502"/>
      <c r="K50" s="1502"/>
      <c r="L50" s="1502"/>
      <c r="M50" s="1502"/>
      <c r="N50" s="1502"/>
      <c r="O50" s="1502"/>
      <c r="P50" s="1502"/>
    </row>
    <row r="51" spans="1:16" x14ac:dyDescent="0.25">
      <c r="A51" s="1502"/>
      <c r="B51" s="1502"/>
      <c r="C51" s="1502"/>
      <c r="D51" s="1502"/>
      <c r="E51" s="1502"/>
      <c r="F51" s="1502"/>
      <c r="G51" s="1502"/>
      <c r="H51" s="1502"/>
      <c r="I51" s="1502"/>
      <c r="J51" s="1502"/>
      <c r="K51" s="1502"/>
      <c r="L51" s="1502"/>
      <c r="M51" s="1502"/>
      <c r="N51" s="1502"/>
      <c r="O51" s="1502"/>
      <c r="P51" s="1502"/>
    </row>
    <row r="52" spans="1:16" x14ac:dyDescent="0.25">
      <c r="A52" s="1502"/>
      <c r="B52" s="1502"/>
      <c r="C52" s="1502"/>
      <c r="D52" s="1502"/>
      <c r="E52" s="1502"/>
      <c r="F52" s="1502"/>
      <c r="G52" s="1502"/>
      <c r="H52" s="1502"/>
      <c r="I52" s="1502"/>
      <c r="J52" s="1502"/>
      <c r="K52" s="1502"/>
      <c r="L52" s="1502"/>
      <c r="M52" s="1502"/>
      <c r="N52" s="1502"/>
      <c r="O52" s="1502"/>
      <c r="P52" s="1502"/>
    </row>
    <row r="53" spans="1:16" x14ac:dyDescent="0.25">
      <c r="A53" s="1502"/>
      <c r="B53" s="1502"/>
      <c r="C53" s="1502"/>
      <c r="D53" s="1502"/>
      <c r="E53" s="1502"/>
      <c r="F53" s="1502"/>
      <c r="G53" s="1502"/>
      <c r="H53" s="1502"/>
      <c r="I53" s="1502"/>
      <c r="J53" s="1502"/>
      <c r="K53" s="1502"/>
      <c r="L53" s="1502"/>
      <c r="M53" s="1502"/>
      <c r="N53" s="1502"/>
      <c r="O53" s="1502"/>
      <c r="P53" s="1502"/>
    </row>
    <row r="54" spans="1:16" x14ac:dyDescent="0.25">
      <c r="A54" s="1502"/>
      <c r="B54" s="1502"/>
      <c r="C54" s="1502"/>
      <c r="D54" s="1502"/>
      <c r="E54" s="1502"/>
      <c r="F54" s="1502"/>
      <c r="G54" s="1502"/>
      <c r="H54" s="1502"/>
      <c r="I54" s="1502"/>
      <c r="J54" s="1502"/>
      <c r="K54" s="1502"/>
      <c r="L54" s="1502"/>
      <c r="M54" s="1502"/>
      <c r="N54" s="1502"/>
      <c r="O54" s="1502"/>
      <c r="P54" s="1502"/>
    </row>
    <row r="55" spans="1:16" x14ac:dyDescent="0.25">
      <c r="A55" s="1502"/>
      <c r="B55" s="1502"/>
      <c r="C55" s="1502"/>
      <c r="D55" s="1502"/>
      <c r="E55" s="1502"/>
      <c r="F55" s="1502"/>
      <c r="G55" s="1502"/>
      <c r="H55" s="1502"/>
      <c r="I55" s="1502"/>
      <c r="J55" s="1502"/>
      <c r="K55" s="1502"/>
      <c r="L55" s="1502"/>
      <c r="M55" s="1502"/>
      <c r="N55" s="1502"/>
      <c r="O55" s="1502"/>
      <c r="P55" s="1502"/>
    </row>
    <row r="56" spans="1:16" x14ac:dyDescent="0.25">
      <c r="A56" s="1502"/>
      <c r="B56" s="1502"/>
      <c r="C56" s="1502"/>
      <c r="D56" s="1502"/>
      <c r="E56" s="1502"/>
      <c r="F56" s="1502"/>
      <c r="G56" s="1502"/>
      <c r="H56" s="1502"/>
      <c r="I56" s="1502"/>
      <c r="J56" s="1502"/>
      <c r="K56" s="1502"/>
      <c r="L56" s="1502"/>
      <c r="M56" s="1502"/>
      <c r="N56" s="1502"/>
      <c r="O56" s="1502"/>
      <c r="P56" s="1502"/>
    </row>
    <row r="57" spans="1:16" x14ac:dyDescent="0.25">
      <c r="A57" s="1502"/>
      <c r="B57" s="1502"/>
      <c r="C57" s="1502"/>
      <c r="D57" s="1502"/>
      <c r="E57" s="1502"/>
      <c r="F57" s="1502"/>
      <c r="G57" s="1502"/>
      <c r="H57" s="1502"/>
      <c r="I57" s="1502"/>
      <c r="J57" s="1502"/>
      <c r="K57" s="1502"/>
      <c r="L57" s="1502"/>
      <c r="M57" s="1502"/>
      <c r="N57" s="1502"/>
    </row>
  </sheetData>
  <mergeCells count="13">
    <mergeCell ref="D33:G33"/>
    <mergeCell ref="D32:G32"/>
    <mergeCell ref="D35:G35"/>
    <mergeCell ref="B2:M2"/>
    <mergeCell ref="D47:F47"/>
    <mergeCell ref="C4:F4"/>
    <mergeCell ref="C6:F6"/>
    <mergeCell ref="K15:L15"/>
    <mergeCell ref="C5:F5"/>
    <mergeCell ref="D42:J42"/>
    <mergeCell ref="D43:J43"/>
    <mergeCell ref="D44:J44"/>
    <mergeCell ref="B41:C4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lha24">
    <tabColor theme="9"/>
  </sheetPr>
  <dimension ref="A1:CQ86"/>
  <sheetViews>
    <sheetView zoomScale="115" zoomScaleNormal="115" workbookViewId="0">
      <pane xSplit="1" ySplit="5" topLeftCell="B27" activePane="bottomRight" state="frozen"/>
      <selection activeCell="B3" sqref="B3:E3"/>
      <selection pane="topRight" activeCell="B3" sqref="B3:E3"/>
      <selection pane="bottomLeft" activeCell="B3" sqref="B3:E3"/>
      <selection pane="bottomRight" activeCell="I29" sqref="I29"/>
    </sheetView>
  </sheetViews>
  <sheetFormatPr defaultColWidth="9.140625" defaultRowHeight="11.25" x14ac:dyDescent="0.25"/>
  <cols>
    <col min="1" max="1" width="1.140625" style="13" customWidth="1"/>
    <col min="2" max="2" width="60.5703125" style="13" customWidth="1"/>
    <col min="3" max="3" width="6.140625" style="13" hidden="1" customWidth="1"/>
    <col min="4" max="4" width="12.140625" style="13" hidden="1" customWidth="1"/>
    <col min="5" max="5" width="15" style="13" hidden="1" customWidth="1"/>
    <col min="6" max="6" width="11.140625" style="13" customWidth="1"/>
    <col min="7" max="7" width="11.7109375" style="12" bestFit="1" customWidth="1"/>
    <col min="8" max="14" width="9.140625" style="12"/>
    <col min="15" max="16384" width="9.140625" style="13"/>
  </cols>
  <sheetData>
    <row r="1" spans="1:95" ht="12" thickBot="1" x14ac:dyDescent="0.3">
      <c r="A1" s="12"/>
      <c r="B1" s="12"/>
      <c r="C1" s="12"/>
      <c r="D1" s="12"/>
      <c r="E1" s="12"/>
      <c r="F1" s="12"/>
    </row>
    <row r="2" spans="1:95" x14ac:dyDescent="0.25">
      <c r="A2" s="14"/>
      <c r="B2" s="1858" t="s">
        <v>33</v>
      </c>
      <c r="C2" s="1859"/>
      <c r="D2" s="1859"/>
      <c r="E2" s="1859"/>
      <c r="F2" s="1860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</row>
    <row r="3" spans="1:95" x14ac:dyDescent="0.25">
      <c r="A3" s="14"/>
      <c r="B3" s="37" t="s">
        <v>34</v>
      </c>
      <c r="C3" s="1861" t="s">
        <v>35</v>
      </c>
      <c r="D3" s="1861"/>
      <c r="E3" s="1861"/>
      <c r="F3" s="186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</row>
    <row r="4" spans="1:95" x14ac:dyDescent="0.25">
      <c r="A4" s="14"/>
      <c r="B4" s="1863" t="s">
        <v>36</v>
      </c>
      <c r="C4" s="15" t="s">
        <v>37</v>
      </c>
      <c r="D4" s="1865">
        <f>Pressupostos!C11-3</f>
        <v>2017</v>
      </c>
      <c r="E4" s="1865">
        <f>D4+1</f>
        <v>2018</v>
      </c>
      <c r="F4" s="1867">
        <f>E4+1</f>
        <v>2019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</row>
    <row r="5" spans="1:95" ht="12" thickBot="1" x14ac:dyDescent="0.3">
      <c r="A5" s="14"/>
      <c r="B5" s="1864"/>
      <c r="C5" s="55" t="s">
        <v>38</v>
      </c>
      <c r="D5" s="1866"/>
      <c r="E5" s="1866"/>
      <c r="F5" s="1868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</row>
    <row r="6" spans="1:95" x14ac:dyDescent="0.25">
      <c r="A6" s="12"/>
      <c r="B6" s="1635" t="s">
        <v>39</v>
      </c>
      <c r="C6" s="54"/>
      <c r="D6" s="1634">
        <f>D36+D39</f>
        <v>0</v>
      </c>
      <c r="E6" s="1634">
        <f t="shared" ref="E6" si="0">E36+E39</f>
        <v>0</v>
      </c>
      <c r="F6" s="1752">
        <f>+F39</f>
        <v>3479532.14</v>
      </c>
    </row>
    <row r="7" spans="1:95" x14ac:dyDescent="0.25">
      <c r="A7" s="12"/>
      <c r="B7" s="40" t="s">
        <v>40</v>
      </c>
      <c r="C7" s="18"/>
      <c r="D7" s="19"/>
      <c r="E7" s="19"/>
      <c r="F7" s="41">
        <v>49.26</v>
      </c>
    </row>
    <row r="8" spans="1:95" x14ac:dyDescent="0.25">
      <c r="A8" s="12"/>
      <c r="B8" s="40" t="s">
        <v>41</v>
      </c>
      <c r="C8" s="18"/>
      <c r="D8" s="19"/>
      <c r="E8" s="19"/>
      <c r="F8" s="42">
        <v>0</v>
      </c>
    </row>
    <row r="9" spans="1:95" x14ac:dyDescent="0.25">
      <c r="A9" s="12"/>
      <c r="B9" s="40" t="s">
        <v>42</v>
      </c>
      <c r="C9" s="18"/>
      <c r="D9" s="19"/>
      <c r="E9" s="19"/>
      <c r="F9" s="42"/>
    </row>
    <row r="10" spans="1:95" x14ac:dyDescent="0.25">
      <c r="A10" s="12"/>
      <c r="B10" s="40" t="s">
        <v>43</v>
      </c>
      <c r="C10" s="18"/>
      <c r="D10" s="19"/>
      <c r="E10" s="19"/>
      <c r="F10" s="42"/>
    </row>
    <row r="11" spans="1:95" x14ac:dyDescent="0.25">
      <c r="A11" s="12"/>
      <c r="B11" s="40" t="s">
        <v>44</v>
      </c>
      <c r="C11" s="18"/>
      <c r="D11" s="19"/>
      <c r="E11" s="19"/>
      <c r="F11" s="42">
        <v>2780591.15</v>
      </c>
      <c r="I11" s="1831">
        <f>+F11/F6</f>
        <v>0.79912788217556163</v>
      </c>
    </row>
    <row r="12" spans="1:95" x14ac:dyDescent="0.25">
      <c r="A12" s="12"/>
      <c r="B12" s="40" t="s">
        <v>45</v>
      </c>
      <c r="C12" s="18"/>
      <c r="D12" s="19"/>
      <c r="E12" s="19"/>
      <c r="F12" s="41">
        <v>506782.86</v>
      </c>
      <c r="G12" s="36" t="e">
        <f>D12/D6</f>
        <v>#DIV/0!</v>
      </c>
      <c r="H12" s="20" t="e">
        <f t="shared" ref="H12:I12" si="1">E12/E6</f>
        <v>#DIV/0!</v>
      </c>
      <c r="I12" s="20">
        <f t="shared" si="1"/>
        <v>0.14564683975012802</v>
      </c>
    </row>
    <row r="13" spans="1:95" x14ac:dyDescent="0.25">
      <c r="A13" s="12"/>
      <c r="B13" s="40" t="s">
        <v>46</v>
      </c>
      <c r="C13" s="18"/>
      <c r="D13" s="19"/>
      <c r="E13" s="19"/>
      <c r="F13" s="41">
        <v>169363.3</v>
      </c>
    </row>
    <row r="14" spans="1:95" x14ac:dyDescent="0.25">
      <c r="A14" s="12"/>
      <c r="B14" s="40" t="s">
        <v>47</v>
      </c>
      <c r="C14" s="18"/>
      <c r="D14" s="19"/>
      <c r="E14" s="19"/>
      <c r="F14" s="42">
        <v>0</v>
      </c>
    </row>
    <row r="15" spans="1:95" x14ac:dyDescent="0.25">
      <c r="A15" s="12"/>
      <c r="B15" s="40" t="s">
        <v>48</v>
      </c>
      <c r="C15" s="18"/>
      <c r="D15" s="19"/>
      <c r="E15" s="19"/>
      <c r="F15" s="41">
        <v>40.26</v>
      </c>
    </row>
    <row r="16" spans="1:95" x14ac:dyDescent="0.25">
      <c r="A16" s="12"/>
      <c r="B16" s="40" t="s">
        <v>49</v>
      </c>
      <c r="C16" s="18"/>
      <c r="D16" s="19"/>
      <c r="E16" s="19"/>
      <c r="F16" s="42"/>
    </row>
    <row r="17" spans="1:11" x14ac:dyDescent="0.25">
      <c r="A17" s="12"/>
      <c r="B17" s="40" t="s">
        <v>50</v>
      </c>
      <c r="C17" s="18"/>
      <c r="D17" s="19"/>
      <c r="E17" s="19"/>
      <c r="F17" s="42"/>
    </row>
    <row r="18" spans="1:11" x14ac:dyDescent="0.25">
      <c r="A18" s="12"/>
      <c r="B18" s="40" t="s">
        <v>51</v>
      </c>
      <c r="C18" s="18"/>
      <c r="D18" s="19"/>
      <c r="E18" s="19"/>
      <c r="F18" s="42"/>
    </row>
    <row r="19" spans="1:11" x14ac:dyDescent="0.25">
      <c r="A19" s="12"/>
      <c r="B19" s="40" t="s">
        <v>52</v>
      </c>
      <c r="C19" s="18"/>
      <c r="D19" s="19"/>
      <c r="E19" s="19"/>
      <c r="F19" s="42"/>
    </row>
    <row r="20" spans="1:11" x14ac:dyDescent="0.25">
      <c r="A20" s="12"/>
      <c r="B20" s="40" t="s">
        <v>53</v>
      </c>
      <c r="C20" s="18"/>
      <c r="D20" s="19"/>
      <c r="E20" s="19"/>
      <c r="F20" s="41">
        <v>73417.34</v>
      </c>
      <c r="K20" s="21"/>
    </row>
    <row r="21" spans="1:11" x14ac:dyDescent="0.25">
      <c r="A21" s="12"/>
      <c r="B21" s="43" t="s">
        <v>54</v>
      </c>
      <c r="C21" s="22"/>
      <c r="D21" s="23"/>
      <c r="E21" s="23"/>
      <c r="F21" s="44">
        <v>37622.480000000003</v>
      </c>
    </row>
    <row r="22" spans="1:11" x14ac:dyDescent="0.25">
      <c r="A22" s="12"/>
      <c r="B22" s="45" t="s">
        <v>55</v>
      </c>
      <c r="C22" s="24"/>
      <c r="D22" s="25">
        <f t="shared" ref="D22:E22" si="2">D6+D7+D8+D9+D10-D11-D12-D13-D14-D15-D16-D17-D18+D19+D20-D21</f>
        <v>0</v>
      </c>
      <c r="E22" s="25">
        <f t="shared" si="2"/>
        <v>0</v>
      </c>
      <c r="F22" s="46">
        <f>F6+F7+F8+F9+F10-F11-F12-F13-F14-F15-F16-F17-F18+F19+F20-F21</f>
        <v>58598.690000000024</v>
      </c>
      <c r="G22" s="1831">
        <f>58598.69-F22</f>
        <v>0</v>
      </c>
    </row>
    <row r="23" spans="1:11" x14ac:dyDescent="0.25">
      <c r="A23" s="12"/>
      <c r="B23" s="38" t="s">
        <v>56</v>
      </c>
      <c r="C23" s="16"/>
      <c r="D23" s="17"/>
      <c r="E23" s="17"/>
      <c r="F23" s="39">
        <v>15247.25</v>
      </c>
    </row>
    <row r="24" spans="1:11" x14ac:dyDescent="0.25">
      <c r="A24" s="12"/>
      <c r="B24" s="43" t="s">
        <v>57</v>
      </c>
      <c r="C24" s="22"/>
      <c r="D24" s="23"/>
      <c r="E24" s="23"/>
      <c r="F24" s="47"/>
    </row>
    <row r="25" spans="1:11" x14ac:dyDescent="0.25">
      <c r="A25" s="12"/>
      <c r="B25" s="45" t="s">
        <v>58</v>
      </c>
      <c r="C25" s="24"/>
      <c r="D25" s="25">
        <f t="shared" ref="D25:F25" si="3">D22-D23-D24</f>
        <v>0</v>
      </c>
      <c r="E25" s="25">
        <f t="shared" si="3"/>
        <v>0</v>
      </c>
      <c r="F25" s="46">
        <f t="shared" si="3"/>
        <v>43351.440000000024</v>
      </c>
    </row>
    <row r="26" spans="1:11" x14ac:dyDescent="0.25">
      <c r="A26" s="12"/>
      <c r="B26" s="38" t="s">
        <v>59</v>
      </c>
      <c r="C26" s="16"/>
      <c r="D26" s="17"/>
      <c r="E26" s="17"/>
      <c r="F26" s="39">
        <v>0</v>
      </c>
    </row>
    <row r="27" spans="1:11" x14ac:dyDescent="0.25">
      <c r="A27" s="12"/>
      <c r="B27" s="43" t="s">
        <v>60</v>
      </c>
      <c r="C27" s="22"/>
      <c r="D27" s="23"/>
      <c r="E27" s="23"/>
      <c r="F27" s="47">
        <v>1053</v>
      </c>
    </row>
    <row r="28" spans="1:11" x14ac:dyDescent="0.25">
      <c r="A28" s="12"/>
      <c r="B28" s="45" t="s">
        <v>61</v>
      </c>
      <c r="C28" s="24"/>
      <c r="D28" s="25">
        <f t="shared" ref="D28:F28" si="4">D25+D26-D27</f>
        <v>0</v>
      </c>
      <c r="E28" s="25">
        <f t="shared" si="4"/>
        <v>0</v>
      </c>
      <c r="F28" s="46">
        <f t="shared" si="4"/>
        <v>42298.440000000024</v>
      </c>
    </row>
    <row r="29" spans="1:11" x14ac:dyDescent="0.25">
      <c r="A29" s="12"/>
      <c r="B29" s="48" t="s">
        <v>62</v>
      </c>
      <c r="C29" s="26"/>
      <c r="D29" s="27"/>
      <c r="E29" s="27"/>
      <c r="F29" s="49">
        <v>10443.870000000001</v>
      </c>
    </row>
    <row r="30" spans="1:11" ht="12" thickBot="1" x14ac:dyDescent="0.3">
      <c r="A30" s="12"/>
      <c r="B30" s="50" t="s">
        <v>63</v>
      </c>
      <c r="C30" s="51"/>
      <c r="D30" s="52">
        <f>D28-D29</f>
        <v>0</v>
      </c>
      <c r="E30" s="52">
        <f t="shared" ref="E30:F30" si="5">E28-E29</f>
        <v>0</v>
      </c>
      <c r="F30" s="53">
        <f t="shared" si="5"/>
        <v>31854.570000000022</v>
      </c>
      <c r="G30" s="1832">
        <f>+F30/F6</f>
        <v>9.154842869191035E-3</v>
      </c>
      <c r="I30" s="12">
        <f>+Balanço!E22/DR!F6</f>
        <v>0.21786974210848933</v>
      </c>
      <c r="J30" s="12">
        <f>+I30*12</f>
        <v>2.6144369053018721</v>
      </c>
    </row>
    <row r="31" spans="1:11" ht="12" thickBot="1" x14ac:dyDescent="0.3">
      <c r="A31" s="12"/>
      <c r="B31" s="12"/>
      <c r="C31" s="12"/>
      <c r="D31" s="35"/>
      <c r="E31" s="35"/>
      <c r="F31" s="35"/>
    </row>
    <row r="32" spans="1:11" x14ac:dyDescent="0.25">
      <c r="A32" s="12"/>
      <c r="B32" s="56" t="s">
        <v>64</v>
      </c>
      <c r="C32" s="57"/>
      <c r="D32" s="58">
        <v>0</v>
      </c>
      <c r="E32" s="58">
        <v>0</v>
      </c>
      <c r="F32" s="59">
        <v>0</v>
      </c>
    </row>
    <row r="33" spans="1:6" x14ac:dyDescent="0.25">
      <c r="A33" s="12"/>
      <c r="B33" s="60"/>
      <c r="C33" s="61"/>
      <c r="D33" s="62"/>
      <c r="E33" s="62"/>
      <c r="F33" s="63"/>
    </row>
    <row r="34" spans="1:6" x14ac:dyDescent="0.25">
      <c r="A34" s="12"/>
      <c r="B34" s="64" t="s">
        <v>65</v>
      </c>
      <c r="C34" s="24"/>
      <c r="D34" s="65">
        <f>D30+D23+D24</f>
        <v>0</v>
      </c>
      <c r="E34" s="65">
        <f>E30+E23+E24+(E16-D16)</f>
        <v>0</v>
      </c>
      <c r="F34" s="65">
        <f>F30+F23+F24+(F16-E16)</f>
        <v>47101.820000000022</v>
      </c>
    </row>
    <row r="35" spans="1:6" x14ac:dyDescent="0.25">
      <c r="A35" s="12"/>
      <c r="B35" s="60"/>
      <c r="C35" s="61"/>
      <c r="D35" s="62"/>
      <c r="E35" s="62"/>
      <c r="F35" s="63"/>
    </row>
    <row r="36" spans="1:6" x14ac:dyDescent="0.25">
      <c r="A36" s="12"/>
      <c r="B36" s="66" t="s">
        <v>6</v>
      </c>
      <c r="C36" s="29"/>
      <c r="D36" s="30">
        <f>D37+D38</f>
        <v>0</v>
      </c>
      <c r="E36" s="30">
        <f t="shared" ref="E36:F36" si="6">E37+E38</f>
        <v>0</v>
      </c>
      <c r="F36" s="67">
        <f t="shared" si="6"/>
        <v>0</v>
      </c>
    </row>
    <row r="37" spans="1:6" x14ac:dyDescent="0.25">
      <c r="A37" s="12"/>
      <c r="B37" s="68" t="s">
        <v>66</v>
      </c>
      <c r="C37" s="31"/>
      <c r="D37" s="32"/>
      <c r="E37" s="32"/>
      <c r="F37" s="69"/>
    </row>
    <row r="38" spans="1:6" x14ac:dyDescent="0.25">
      <c r="A38" s="12"/>
      <c r="B38" s="68" t="s">
        <v>67</v>
      </c>
      <c r="C38" s="31"/>
      <c r="D38" s="32"/>
      <c r="E38" s="32"/>
      <c r="F38" s="69"/>
    </row>
    <row r="39" spans="1:6" x14ac:dyDescent="0.25">
      <c r="A39" s="12"/>
      <c r="B39" s="70" t="s">
        <v>7</v>
      </c>
      <c r="C39" s="33"/>
      <c r="D39" s="34"/>
      <c r="E39" s="34"/>
      <c r="F39" s="1666">
        <f>80.52+3479451.62</f>
        <v>3479532.14</v>
      </c>
    </row>
    <row r="40" spans="1:6" ht="12" thickBot="1" x14ac:dyDescent="0.3">
      <c r="A40" s="12"/>
      <c r="B40" s="71" t="s">
        <v>68</v>
      </c>
      <c r="C40" s="72"/>
      <c r="D40" s="73">
        <f>(D37+D38+D39)-D6</f>
        <v>0</v>
      </c>
      <c r="E40" s="73">
        <f>(E37+E38+E39)-E6</f>
        <v>0</v>
      </c>
      <c r="F40" s="74">
        <f>(F37+F38+F39)-F6</f>
        <v>0</v>
      </c>
    </row>
    <row r="41" spans="1:6" x14ac:dyDescent="0.25">
      <c r="A41" s="12"/>
      <c r="B41" s="12"/>
      <c r="C41" s="12"/>
      <c r="D41" s="12"/>
      <c r="E41" s="12"/>
      <c r="F41" s="12"/>
    </row>
    <row r="42" spans="1:6" x14ac:dyDescent="0.25">
      <c r="A42" s="12"/>
      <c r="B42" s="12"/>
      <c r="C42" s="12"/>
      <c r="D42" s="12"/>
      <c r="E42" s="12"/>
      <c r="F42" s="12"/>
    </row>
    <row r="43" spans="1:6" x14ac:dyDescent="0.25">
      <c r="A43" s="12"/>
      <c r="B43" s="12"/>
      <c r="C43" s="12"/>
      <c r="D43" s="12"/>
      <c r="E43" s="12"/>
      <c r="F43" s="12"/>
    </row>
    <row r="44" spans="1:6" x14ac:dyDescent="0.25">
      <c r="A44" s="12"/>
      <c r="B44" s="12"/>
      <c r="C44" s="12"/>
      <c r="D44" s="12"/>
      <c r="E44" s="12"/>
      <c r="F44" s="12"/>
    </row>
    <row r="45" spans="1:6" x14ac:dyDescent="0.25">
      <c r="A45" s="12"/>
      <c r="B45" s="12"/>
      <c r="C45" s="12"/>
      <c r="D45" s="12"/>
      <c r="E45" s="12"/>
      <c r="F45" s="12"/>
    </row>
    <row r="46" spans="1:6" x14ac:dyDescent="0.25">
      <c r="A46" s="12"/>
      <c r="B46" s="12"/>
      <c r="C46" s="12"/>
      <c r="D46" s="12"/>
      <c r="E46" s="12"/>
      <c r="F46" s="12"/>
    </row>
    <row r="47" spans="1:6" x14ac:dyDescent="0.25">
      <c r="A47" s="12"/>
      <c r="B47" s="12"/>
      <c r="C47" s="12"/>
      <c r="D47" s="12"/>
      <c r="E47" s="12"/>
      <c r="F47" s="12"/>
    </row>
    <row r="48" spans="1:6" x14ac:dyDescent="0.25">
      <c r="A48" s="12"/>
      <c r="B48" s="12"/>
      <c r="C48" s="12"/>
      <c r="D48" s="12"/>
      <c r="E48" s="12"/>
      <c r="F48" s="12"/>
    </row>
    <row r="49" spans="1:6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  <row r="51" spans="1:6" x14ac:dyDescent="0.25">
      <c r="A51" s="12"/>
      <c r="B51" s="12"/>
      <c r="C51" s="12"/>
      <c r="D51" s="12"/>
      <c r="E51" s="12"/>
      <c r="F51" s="12"/>
    </row>
    <row r="52" spans="1:6" x14ac:dyDescent="0.25">
      <c r="A52" s="12"/>
      <c r="B52" s="12"/>
      <c r="C52" s="12"/>
      <c r="D52" s="12"/>
      <c r="E52" s="12"/>
      <c r="F52" s="12"/>
    </row>
    <row r="53" spans="1:6" x14ac:dyDescent="0.25">
      <c r="A53" s="12"/>
      <c r="B53" s="12"/>
      <c r="C53" s="12"/>
      <c r="D53" s="12"/>
      <c r="E53" s="12"/>
      <c r="F53" s="12"/>
    </row>
    <row r="54" spans="1:6" x14ac:dyDescent="0.25">
      <c r="A54" s="12"/>
      <c r="B54" s="12"/>
      <c r="C54" s="12"/>
      <c r="D54" s="12"/>
      <c r="E54" s="12"/>
      <c r="F54" s="12"/>
    </row>
    <row r="55" spans="1:6" x14ac:dyDescent="0.25">
      <c r="A55" s="12"/>
      <c r="B55" s="12"/>
      <c r="C55" s="12"/>
      <c r="D55" s="12"/>
      <c r="E55" s="12"/>
      <c r="F55" s="12"/>
    </row>
    <row r="56" spans="1:6" x14ac:dyDescent="0.25">
      <c r="A56" s="12"/>
      <c r="B56" s="12"/>
      <c r="C56" s="12"/>
      <c r="D56" s="12"/>
      <c r="E56" s="12"/>
      <c r="F56" s="12"/>
    </row>
    <row r="57" spans="1:6" x14ac:dyDescent="0.25">
      <c r="A57" s="12"/>
      <c r="B57" s="12"/>
      <c r="C57" s="12"/>
      <c r="D57" s="12"/>
      <c r="E57" s="12"/>
      <c r="F57" s="12"/>
    </row>
    <row r="58" spans="1:6" x14ac:dyDescent="0.25">
      <c r="A58" s="12"/>
      <c r="B58" s="12"/>
      <c r="C58" s="12"/>
      <c r="D58" s="12"/>
      <c r="E58" s="12"/>
      <c r="F58" s="12"/>
    </row>
    <row r="59" spans="1:6" x14ac:dyDescent="0.25">
      <c r="A59" s="12"/>
      <c r="B59" s="12"/>
      <c r="C59" s="12"/>
      <c r="D59" s="12"/>
      <c r="E59" s="12"/>
      <c r="F59" s="12"/>
    </row>
    <row r="60" spans="1:6" x14ac:dyDescent="0.25">
      <c r="A60" s="12"/>
      <c r="B60" s="12"/>
      <c r="C60" s="12"/>
      <c r="D60" s="12"/>
      <c r="E60" s="12"/>
      <c r="F60" s="12"/>
    </row>
    <row r="61" spans="1:6" x14ac:dyDescent="0.25">
      <c r="A61" s="12"/>
      <c r="B61" s="12"/>
      <c r="C61" s="12"/>
      <c r="D61" s="12"/>
      <c r="E61" s="12"/>
      <c r="F61" s="12"/>
    </row>
    <row r="62" spans="1:6" x14ac:dyDescent="0.25">
      <c r="A62" s="12"/>
    </row>
    <row r="84" spans="3:4" x14ac:dyDescent="0.25">
      <c r="D84" s="13">
        <v>40405.589999999997</v>
      </c>
    </row>
    <row r="85" spans="3:4" x14ac:dyDescent="0.25">
      <c r="C85" s="13">
        <v>0</v>
      </c>
      <c r="D85" s="13">
        <v>0</v>
      </c>
    </row>
    <row r="86" spans="3:4" x14ac:dyDescent="0.25">
      <c r="C86" s="13">
        <v>1348.55</v>
      </c>
      <c r="D86" s="13">
        <v>1348.55</v>
      </c>
    </row>
  </sheetData>
  <mergeCells count="6">
    <mergeCell ref="B2:F2"/>
    <mergeCell ref="C3:F3"/>
    <mergeCell ref="B4:B5"/>
    <mergeCell ref="D4:D5"/>
    <mergeCell ref="E4:E5"/>
    <mergeCell ref="F4:F5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lha21">
    <tabColor theme="9"/>
  </sheetPr>
  <dimension ref="A1:DT91"/>
  <sheetViews>
    <sheetView zoomScale="115" zoomScaleNormal="115" workbookViewId="0">
      <pane xSplit="1" ySplit="4" topLeftCell="B50" activePane="bottomRight" state="frozen"/>
      <selection activeCell="E6" sqref="E6:E21"/>
      <selection pane="topRight" activeCell="E6" sqref="E6:E21"/>
      <selection pane="bottomLeft" activeCell="E6" sqref="E6:E21"/>
      <selection pane="bottomRight" activeCell="F32" sqref="F32"/>
    </sheetView>
  </sheetViews>
  <sheetFormatPr defaultColWidth="9.140625" defaultRowHeight="11.25" x14ac:dyDescent="0.25"/>
  <cols>
    <col min="1" max="1" width="1.140625" style="13" customWidth="1"/>
    <col min="2" max="2" width="55.85546875" style="13" bestFit="1" customWidth="1"/>
    <col min="3" max="3" width="13.140625" style="13" hidden="1" customWidth="1"/>
    <col min="4" max="4" width="13" style="13" hidden="1" customWidth="1"/>
    <col min="5" max="5" width="15" style="13" customWidth="1"/>
    <col min="6" max="16384" width="9.140625" style="13"/>
  </cols>
  <sheetData>
    <row r="1" spans="1:124" ht="12" thickBot="1" x14ac:dyDescent="0.3"/>
    <row r="2" spans="1:124" x14ac:dyDescent="0.25">
      <c r="A2" s="75"/>
      <c r="B2" s="1869" t="s">
        <v>69</v>
      </c>
      <c r="C2" s="1870"/>
      <c r="D2" s="1870"/>
      <c r="E2" s="1871"/>
      <c r="F2" s="76"/>
      <c r="G2" s="77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</row>
    <row r="3" spans="1:124" x14ac:dyDescent="0.25">
      <c r="A3" s="75"/>
      <c r="B3" s="1872" t="s">
        <v>70</v>
      </c>
      <c r="C3" s="1873"/>
      <c r="D3" s="1873"/>
      <c r="E3" s="1874"/>
      <c r="F3" s="76"/>
      <c r="G3" s="77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</row>
    <row r="4" spans="1:124" x14ac:dyDescent="0.25">
      <c r="A4" s="75"/>
      <c r="B4" s="85" t="s">
        <v>36</v>
      </c>
      <c r="C4" s="78">
        <f>Pressupostos!C11-3</f>
        <v>2017</v>
      </c>
      <c r="D4" s="78">
        <f>C4+1</f>
        <v>2018</v>
      </c>
      <c r="E4" s="86">
        <f>D4+1</f>
        <v>2019</v>
      </c>
      <c r="F4" s="76"/>
      <c r="G4" s="77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</row>
    <row r="5" spans="1:124" x14ac:dyDescent="0.25">
      <c r="A5" s="75"/>
      <c r="B5" s="1875" t="s">
        <v>71</v>
      </c>
      <c r="C5" s="1876"/>
      <c r="D5" s="1877"/>
      <c r="E5" s="1878"/>
      <c r="F5" s="76"/>
      <c r="G5" s="77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</row>
    <row r="6" spans="1:124" x14ac:dyDescent="0.25">
      <c r="A6" s="75"/>
      <c r="B6" s="1875" t="s">
        <v>72</v>
      </c>
      <c r="C6" s="1877"/>
      <c r="D6" s="1877"/>
      <c r="E6" s="1878"/>
      <c r="F6" s="76"/>
      <c r="G6" s="77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</row>
    <row r="7" spans="1:124" x14ac:dyDescent="0.25">
      <c r="B7" s="87" t="s">
        <v>73</v>
      </c>
      <c r="C7" s="124"/>
      <c r="D7" s="124"/>
      <c r="E7" s="121">
        <v>84625.24</v>
      </c>
    </row>
    <row r="8" spans="1:124" x14ac:dyDescent="0.25">
      <c r="B8" s="88" t="s">
        <v>74</v>
      </c>
      <c r="C8" s="125"/>
      <c r="D8" s="125"/>
      <c r="E8" s="122">
        <v>102152.86</v>
      </c>
    </row>
    <row r="9" spans="1:124" x14ac:dyDescent="0.25">
      <c r="B9" s="88" t="s">
        <v>75</v>
      </c>
      <c r="C9" s="125"/>
      <c r="D9" s="125"/>
      <c r="E9" s="122"/>
    </row>
    <row r="10" spans="1:124" x14ac:dyDescent="0.25">
      <c r="B10" s="88" t="s">
        <v>76</v>
      </c>
      <c r="C10" s="125"/>
      <c r="D10" s="125"/>
      <c r="E10" s="122"/>
    </row>
    <row r="11" spans="1:124" x14ac:dyDescent="0.25">
      <c r="B11" s="88" t="s">
        <v>77</v>
      </c>
      <c r="C11" s="125"/>
      <c r="D11" s="125"/>
      <c r="E11" s="122"/>
    </row>
    <row r="12" spans="1:124" x14ac:dyDescent="0.25">
      <c r="B12" s="88" t="s">
        <v>78</v>
      </c>
      <c r="C12" s="125"/>
      <c r="D12" s="125"/>
      <c r="E12" s="122"/>
    </row>
    <row r="13" spans="1:124" x14ac:dyDescent="0.25">
      <c r="B13" s="88" t="s">
        <v>79</v>
      </c>
      <c r="C13" s="125"/>
      <c r="D13" s="125"/>
      <c r="E13" s="122"/>
    </row>
    <row r="14" spans="1:124" x14ac:dyDescent="0.25">
      <c r="B14" s="88" t="s">
        <v>80</v>
      </c>
      <c r="C14" s="125"/>
      <c r="D14" s="125"/>
      <c r="E14" s="122"/>
    </row>
    <row r="15" spans="1:124" x14ac:dyDescent="0.25">
      <c r="B15" s="88" t="s">
        <v>81</v>
      </c>
      <c r="C15" s="125"/>
      <c r="D15" s="125"/>
      <c r="E15" s="122">
        <v>347.82</v>
      </c>
    </row>
    <row r="16" spans="1:124" x14ac:dyDescent="0.25">
      <c r="B16" s="88" t="s">
        <v>82</v>
      </c>
      <c r="C16" s="125"/>
      <c r="D16" s="125"/>
      <c r="E16" s="122"/>
    </row>
    <row r="17" spans="2:5" x14ac:dyDescent="0.25">
      <c r="B17" s="89" t="s">
        <v>83</v>
      </c>
      <c r="C17" s="127"/>
      <c r="D17" s="127"/>
      <c r="E17" s="129"/>
    </row>
    <row r="18" spans="2:5" ht="13.5" x14ac:dyDescent="0.25">
      <c r="B18" s="45" t="s">
        <v>84</v>
      </c>
      <c r="C18" s="80">
        <f t="shared" ref="C18:E18" si="0">SUM(C7:C17)</f>
        <v>0</v>
      </c>
      <c r="D18" s="80">
        <f t="shared" si="0"/>
        <v>0</v>
      </c>
      <c r="E18" s="90">
        <f t="shared" si="0"/>
        <v>187125.92</v>
      </c>
    </row>
    <row r="19" spans="2:5" x14ac:dyDescent="0.25">
      <c r="B19" s="1560" t="s">
        <v>85</v>
      </c>
      <c r="C19" s="1561"/>
      <c r="D19" s="1561"/>
      <c r="E19" s="1562"/>
    </row>
    <row r="20" spans="2:5" x14ac:dyDescent="0.25">
      <c r="B20" s="87" t="s">
        <v>86</v>
      </c>
      <c r="C20" s="124"/>
      <c r="D20" s="124"/>
      <c r="E20" s="121">
        <v>343630.82</v>
      </c>
    </row>
    <row r="21" spans="2:5" x14ac:dyDescent="0.25">
      <c r="B21" s="88" t="s">
        <v>77</v>
      </c>
      <c r="C21" s="125"/>
      <c r="D21" s="125"/>
      <c r="E21" s="122">
        <v>0</v>
      </c>
    </row>
    <row r="22" spans="2:5" x14ac:dyDescent="0.25">
      <c r="B22" s="88" t="s">
        <v>87</v>
      </c>
      <c r="C22" s="125"/>
      <c r="D22" s="125"/>
      <c r="E22" s="122">
        <v>758084.77</v>
      </c>
    </row>
    <row r="23" spans="2:5" x14ac:dyDescent="0.25">
      <c r="B23" s="88" t="s">
        <v>88</v>
      </c>
      <c r="C23" s="125"/>
      <c r="D23" s="125"/>
      <c r="E23" s="122"/>
    </row>
    <row r="24" spans="2:5" x14ac:dyDescent="0.25">
      <c r="B24" s="88" t="s">
        <v>89</v>
      </c>
      <c r="C24" s="125"/>
      <c r="D24" s="125"/>
      <c r="E24" s="122">
        <v>21003.43</v>
      </c>
    </row>
    <row r="25" spans="2:5" x14ac:dyDescent="0.25">
      <c r="B25" s="88" t="s">
        <v>80</v>
      </c>
      <c r="C25" s="125"/>
      <c r="D25" s="125"/>
      <c r="E25" s="122"/>
    </row>
    <row r="26" spans="2:5" x14ac:dyDescent="0.25">
      <c r="B26" s="88" t="s">
        <v>90</v>
      </c>
      <c r="C26" s="125"/>
      <c r="D26" s="125"/>
      <c r="E26" s="122">
        <v>80826.210000000006</v>
      </c>
    </row>
    <row r="27" spans="2:5" x14ac:dyDescent="0.25">
      <c r="B27" s="88" t="s">
        <v>91</v>
      </c>
      <c r="C27" s="125"/>
      <c r="D27" s="125"/>
      <c r="E27" s="122">
        <v>955.33</v>
      </c>
    </row>
    <row r="28" spans="2:5" x14ac:dyDescent="0.25">
      <c r="B28" s="88" t="s">
        <v>92</v>
      </c>
      <c r="C28" s="125"/>
      <c r="D28" s="125"/>
      <c r="E28" s="122"/>
    </row>
    <row r="29" spans="2:5" x14ac:dyDescent="0.25">
      <c r="B29" s="88" t="s">
        <v>81</v>
      </c>
      <c r="C29" s="125"/>
      <c r="D29" s="125"/>
      <c r="E29" s="122"/>
    </row>
    <row r="30" spans="2:5" x14ac:dyDescent="0.25">
      <c r="B30" s="88" t="s">
        <v>93</v>
      </c>
      <c r="C30" s="125"/>
      <c r="D30" s="125"/>
      <c r="E30" s="122"/>
    </row>
    <row r="31" spans="2:5" x14ac:dyDescent="0.25">
      <c r="B31" s="88" t="s">
        <v>94</v>
      </c>
      <c r="C31" s="125"/>
      <c r="D31" s="125"/>
      <c r="E31" s="122"/>
    </row>
    <row r="32" spans="2:5" x14ac:dyDescent="0.25">
      <c r="B32" s="89" t="s">
        <v>95</v>
      </c>
      <c r="C32" s="127"/>
      <c r="D32" s="127"/>
      <c r="E32" s="129">
        <v>215805.41</v>
      </c>
    </row>
    <row r="33" spans="2:5" ht="13.5" x14ac:dyDescent="0.25">
      <c r="B33" s="45" t="s">
        <v>84</v>
      </c>
      <c r="C33" s="80">
        <f t="shared" ref="C33:E33" si="1">SUM(C20:C32)</f>
        <v>0</v>
      </c>
      <c r="D33" s="80">
        <f t="shared" si="1"/>
        <v>0</v>
      </c>
      <c r="E33" s="90">
        <f t="shared" si="1"/>
        <v>1420305.97</v>
      </c>
    </row>
    <row r="34" spans="2:5" ht="13.5" x14ac:dyDescent="0.25">
      <c r="B34" s="64" t="s">
        <v>96</v>
      </c>
      <c r="C34" s="80">
        <f t="shared" ref="C34:E34" si="2">C18+C33</f>
        <v>0</v>
      </c>
      <c r="D34" s="80">
        <f t="shared" si="2"/>
        <v>0</v>
      </c>
      <c r="E34" s="90">
        <f t="shared" si="2"/>
        <v>1607431.89</v>
      </c>
    </row>
    <row r="35" spans="2:5" x14ac:dyDescent="0.25">
      <c r="B35" s="1560" t="s">
        <v>97</v>
      </c>
      <c r="C35" s="1561"/>
      <c r="D35" s="1561"/>
      <c r="E35" s="1562"/>
    </row>
    <row r="36" spans="2:5" x14ac:dyDescent="0.25">
      <c r="B36" s="1560" t="s">
        <v>98</v>
      </c>
      <c r="C36" s="1561"/>
      <c r="D36" s="1561"/>
      <c r="E36" s="1562"/>
    </row>
    <row r="37" spans="2:5" x14ac:dyDescent="0.25">
      <c r="B37" s="87" t="s">
        <v>99</v>
      </c>
      <c r="C37" s="124"/>
      <c r="D37" s="124"/>
      <c r="E37" s="121">
        <v>300000</v>
      </c>
    </row>
    <row r="38" spans="2:5" x14ac:dyDescent="0.25">
      <c r="B38" s="88" t="s">
        <v>100</v>
      </c>
      <c r="C38" s="125"/>
      <c r="D38" s="125"/>
      <c r="E38" s="122"/>
    </row>
    <row r="39" spans="2:5" x14ac:dyDescent="0.25">
      <c r="B39" s="88" t="s">
        <v>101</v>
      </c>
      <c r="C39" s="125"/>
      <c r="D39" s="125"/>
      <c r="E39" s="122"/>
    </row>
    <row r="40" spans="2:5" x14ac:dyDescent="0.25">
      <c r="B40" s="88" t="s">
        <v>102</v>
      </c>
      <c r="C40" s="125"/>
      <c r="D40" s="125"/>
      <c r="E40" s="122"/>
    </row>
    <row r="41" spans="2:5" x14ac:dyDescent="0.25">
      <c r="B41" s="88" t="s">
        <v>103</v>
      </c>
      <c r="C41" s="125"/>
      <c r="D41" s="125"/>
      <c r="E41" s="122">
        <v>14785.57</v>
      </c>
    </row>
    <row r="42" spans="2:5" x14ac:dyDescent="0.25">
      <c r="B42" s="88" t="s">
        <v>104</v>
      </c>
      <c r="C42" s="125"/>
      <c r="D42" s="125"/>
      <c r="E42" s="122"/>
    </row>
    <row r="43" spans="2:5" x14ac:dyDescent="0.25">
      <c r="B43" s="88" t="s">
        <v>105</v>
      </c>
      <c r="C43" s="125"/>
      <c r="D43" s="125"/>
      <c r="E43" s="122">
        <v>254627.19</v>
      </c>
    </row>
    <row r="44" spans="2:5" x14ac:dyDescent="0.25">
      <c r="B44" s="88" t="s">
        <v>106</v>
      </c>
      <c r="C44" s="125"/>
      <c r="D44" s="125"/>
      <c r="E44" s="122"/>
    </row>
    <row r="45" spans="2:5" x14ac:dyDescent="0.25">
      <c r="B45" s="88" t="s">
        <v>107</v>
      </c>
      <c r="C45" s="125"/>
      <c r="D45" s="125"/>
      <c r="E45" s="122"/>
    </row>
    <row r="46" spans="2:5" x14ac:dyDescent="0.25">
      <c r="B46" s="128" t="s">
        <v>108</v>
      </c>
      <c r="C46" s="127"/>
      <c r="D46" s="127"/>
      <c r="E46" s="130"/>
    </row>
    <row r="47" spans="2:5" ht="13.5" x14ac:dyDescent="0.25">
      <c r="B47" s="45" t="s">
        <v>84</v>
      </c>
      <c r="C47" s="80">
        <f t="shared" ref="C47:E47" si="3">SUM(C37:C46)</f>
        <v>0</v>
      </c>
      <c r="D47" s="80">
        <f t="shared" si="3"/>
        <v>0</v>
      </c>
      <c r="E47" s="90">
        <f t="shared" si="3"/>
        <v>569412.76</v>
      </c>
    </row>
    <row r="48" spans="2:5" x14ac:dyDescent="0.25">
      <c r="B48" s="87" t="s">
        <v>63</v>
      </c>
      <c r="C48" s="606">
        <f>DR!D30</f>
        <v>0</v>
      </c>
      <c r="D48" s="606">
        <f>DR!E30</f>
        <v>0</v>
      </c>
      <c r="E48" s="1799">
        <f>DR!F30</f>
        <v>31854.570000000022</v>
      </c>
    </row>
    <row r="49" spans="2:5" x14ac:dyDescent="0.25">
      <c r="B49" s="89" t="s">
        <v>109</v>
      </c>
      <c r="C49" s="127"/>
      <c r="D49" s="127"/>
      <c r="E49" s="129"/>
    </row>
    <row r="50" spans="2:5" ht="13.5" x14ac:dyDescent="0.25">
      <c r="B50" s="64" t="s">
        <v>110</v>
      </c>
      <c r="C50" s="90">
        <f t="shared" ref="C50:E50" si="4">C47+C48+C49</f>
        <v>0</v>
      </c>
      <c r="D50" s="90">
        <f t="shared" si="4"/>
        <v>0</v>
      </c>
      <c r="E50" s="90">
        <f t="shared" si="4"/>
        <v>601267.33000000007</v>
      </c>
    </row>
    <row r="51" spans="2:5" x14ac:dyDescent="0.25">
      <c r="B51" s="1560" t="s">
        <v>111</v>
      </c>
      <c r="C51" s="1561"/>
      <c r="D51" s="1561"/>
      <c r="E51" s="1562"/>
    </row>
    <row r="52" spans="2:5" x14ac:dyDescent="0.25">
      <c r="B52" s="1560" t="s">
        <v>112</v>
      </c>
      <c r="C52" s="1561"/>
      <c r="D52" s="1561"/>
      <c r="E52" s="1562"/>
    </row>
    <row r="53" spans="2:5" x14ac:dyDescent="0.25">
      <c r="B53" s="87" t="s">
        <v>113</v>
      </c>
      <c r="C53" s="124"/>
      <c r="D53" s="124"/>
      <c r="E53" s="121"/>
    </row>
    <row r="54" spans="2:5" x14ac:dyDescent="0.25">
      <c r="B54" s="88" t="s">
        <v>114</v>
      </c>
      <c r="C54" s="125"/>
      <c r="D54" s="125"/>
      <c r="E54" s="122"/>
    </row>
    <row r="55" spans="2:5" x14ac:dyDescent="0.25">
      <c r="B55" s="88" t="s">
        <v>115</v>
      </c>
      <c r="C55" s="125"/>
      <c r="D55" s="125"/>
      <c r="E55" s="122"/>
    </row>
    <row r="56" spans="2:5" x14ac:dyDescent="0.25">
      <c r="B56" s="88" t="s">
        <v>116</v>
      </c>
      <c r="C56" s="125"/>
      <c r="D56" s="125"/>
      <c r="E56" s="122"/>
    </row>
    <row r="57" spans="2:5" x14ac:dyDescent="0.25">
      <c r="B57" s="89" t="s">
        <v>117</v>
      </c>
      <c r="C57" s="127"/>
      <c r="D57" s="127"/>
      <c r="E57" s="129"/>
    </row>
    <row r="58" spans="2:5" ht="13.5" x14ac:dyDescent="0.25">
      <c r="B58" s="45" t="s">
        <v>84</v>
      </c>
      <c r="C58" s="80">
        <f t="shared" ref="C58:E58" si="5">SUM(C53:C57)</f>
        <v>0</v>
      </c>
      <c r="D58" s="80">
        <f t="shared" si="5"/>
        <v>0</v>
      </c>
      <c r="E58" s="90">
        <f t="shared" si="5"/>
        <v>0</v>
      </c>
    </row>
    <row r="59" spans="2:5" x14ac:dyDescent="0.25">
      <c r="B59" s="1563" t="s">
        <v>118</v>
      </c>
      <c r="C59" s="1564"/>
      <c r="D59" s="1564"/>
      <c r="E59" s="1565"/>
    </row>
    <row r="60" spans="2:5" x14ac:dyDescent="0.25">
      <c r="B60" s="87" t="s">
        <v>119</v>
      </c>
      <c r="C60" s="124"/>
      <c r="D60" s="124"/>
      <c r="E60" s="121">
        <v>760538.01</v>
      </c>
    </row>
    <row r="61" spans="2:5" x14ac:dyDescent="0.25">
      <c r="B61" s="88" t="s">
        <v>120</v>
      </c>
      <c r="C61" s="125"/>
      <c r="D61" s="125"/>
      <c r="E61" s="122"/>
    </row>
    <row r="62" spans="2:5" x14ac:dyDescent="0.25">
      <c r="B62" s="88" t="s">
        <v>89</v>
      </c>
      <c r="C62" s="125"/>
      <c r="D62" s="125"/>
      <c r="E62" s="122">
        <v>4173.5</v>
      </c>
    </row>
    <row r="63" spans="2:5" x14ac:dyDescent="0.25">
      <c r="B63" s="88" t="s">
        <v>80</v>
      </c>
      <c r="C63" s="125"/>
      <c r="D63" s="125"/>
      <c r="E63" s="122"/>
    </row>
    <row r="64" spans="2:5" x14ac:dyDescent="0.25">
      <c r="B64" s="88" t="s">
        <v>114</v>
      </c>
      <c r="C64" s="125"/>
      <c r="D64" s="125"/>
      <c r="E64" s="122"/>
    </row>
    <row r="65" spans="2:5" x14ac:dyDescent="0.25">
      <c r="B65" s="88" t="s">
        <v>117</v>
      </c>
      <c r="C65" s="125"/>
      <c r="D65" s="125"/>
      <c r="E65" s="1682">
        <v>241453.05</v>
      </c>
    </row>
    <row r="66" spans="2:5" x14ac:dyDescent="0.25">
      <c r="B66" s="88" t="s">
        <v>91</v>
      </c>
      <c r="C66" s="125"/>
      <c r="D66" s="125"/>
      <c r="E66" s="122"/>
    </row>
    <row r="67" spans="2:5" x14ac:dyDescent="0.25">
      <c r="B67" s="88" t="s">
        <v>121</v>
      </c>
      <c r="C67" s="125"/>
      <c r="D67" s="125"/>
      <c r="E67" s="122"/>
    </row>
    <row r="68" spans="2:5" x14ac:dyDescent="0.25">
      <c r="B68" s="88" t="s">
        <v>122</v>
      </c>
      <c r="C68" s="125"/>
      <c r="D68" s="125"/>
      <c r="E68" s="122"/>
    </row>
    <row r="69" spans="2:5" x14ac:dyDescent="0.25">
      <c r="B69" s="88" t="s">
        <v>123</v>
      </c>
      <c r="C69" s="125"/>
      <c r="D69" s="125"/>
      <c r="E69" s="122"/>
    </row>
    <row r="70" spans="2:5" x14ac:dyDescent="0.25">
      <c r="B70" s="89" t="s">
        <v>124</v>
      </c>
      <c r="C70" s="127"/>
      <c r="D70" s="127"/>
      <c r="E70" s="129"/>
    </row>
    <row r="71" spans="2:5" ht="13.5" x14ac:dyDescent="0.25">
      <c r="B71" s="91" t="s">
        <v>84</v>
      </c>
      <c r="C71" s="1588">
        <f>SUM(C60:C70)</f>
        <v>0</v>
      </c>
      <c r="D71" s="1588">
        <f t="shared" ref="D71:E71" si="6">SUM(D60:D70)</f>
        <v>0</v>
      </c>
      <c r="E71" s="1589">
        <f t="shared" si="6"/>
        <v>1006164.56</v>
      </c>
    </row>
    <row r="72" spans="2:5" ht="13.5" x14ac:dyDescent="0.25">
      <c r="B72" s="92" t="s">
        <v>125</v>
      </c>
      <c r="C72" s="82">
        <f>C58+C71</f>
        <v>0</v>
      </c>
      <c r="D72" s="82">
        <f t="shared" ref="D72:E72" si="7">D58+D71</f>
        <v>0</v>
      </c>
      <c r="E72" s="93">
        <f t="shared" si="7"/>
        <v>1006164.56</v>
      </c>
    </row>
    <row r="73" spans="2:5" ht="14.25" thickBot="1" x14ac:dyDescent="0.3">
      <c r="B73" s="94" t="s">
        <v>126</v>
      </c>
      <c r="C73" s="1590">
        <f>C50+C72</f>
        <v>0</v>
      </c>
      <c r="D73" s="1590">
        <f t="shared" ref="D73:E73" si="8">D50+D72</f>
        <v>0</v>
      </c>
      <c r="E73" s="1591">
        <f t="shared" si="8"/>
        <v>1607431.8900000001</v>
      </c>
    </row>
    <row r="74" spans="2:5" ht="14.25" thickBot="1" x14ac:dyDescent="0.3">
      <c r="B74" s="95"/>
      <c r="C74" s="1592"/>
      <c r="D74" s="1592"/>
      <c r="E74" s="1592"/>
    </row>
    <row r="75" spans="2:5" x14ac:dyDescent="0.25">
      <c r="B75" s="96" t="s">
        <v>68</v>
      </c>
      <c r="C75" s="97">
        <f>C73-C34</f>
        <v>0</v>
      </c>
      <c r="D75" s="97">
        <f>D73-D34</f>
        <v>0</v>
      </c>
      <c r="E75" s="98">
        <f>E73-E34</f>
        <v>0</v>
      </c>
    </row>
    <row r="76" spans="2:5" ht="12" thickBot="1" x14ac:dyDescent="0.3">
      <c r="B76" s="99" t="s">
        <v>127</v>
      </c>
      <c r="C76" s="100" t="e">
        <f>C50/C34</f>
        <v>#DIV/0!</v>
      </c>
      <c r="D76" s="100" t="e">
        <f>D50/D34</f>
        <v>#DIV/0!</v>
      </c>
      <c r="E76" s="101">
        <f>E50/E34</f>
        <v>0.37405462324129957</v>
      </c>
    </row>
    <row r="77" spans="2:5" ht="12" thickBot="1" x14ac:dyDescent="0.3"/>
    <row r="78" spans="2:5" x14ac:dyDescent="0.25">
      <c r="B78" s="1879" t="s">
        <v>128</v>
      </c>
      <c r="C78" s="1880"/>
      <c r="D78" s="1880"/>
      <c r="E78" s="1881"/>
    </row>
    <row r="79" spans="2:5" x14ac:dyDescent="0.25">
      <c r="B79" s="109" t="s">
        <v>129</v>
      </c>
      <c r="C79" s="84">
        <f>C84+C7</f>
        <v>0</v>
      </c>
      <c r="D79" s="84">
        <f>D84+D7</f>
        <v>0</v>
      </c>
      <c r="E79" s="102">
        <f>E84+E7</f>
        <v>84625.24</v>
      </c>
    </row>
    <row r="80" spans="2:5" x14ac:dyDescent="0.25">
      <c r="B80" s="110" t="s">
        <v>130</v>
      </c>
      <c r="C80" s="83">
        <f>C85+C11</f>
        <v>0</v>
      </c>
      <c r="D80" s="83">
        <f>D85+D11</f>
        <v>0</v>
      </c>
      <c r="E80" s="103">
        <f>E85+E11</f>
        <v>0</v>
      </c>
    </row>
    <row r="81" spans="1:5" ht="12" thickBot="1" x14ac:dyDescent="0.3">
      <c r="B81" s="111" t="s">
        <v>131</v>
      </c>
      <c r="C81" s="104">
        <f>C86+C10</f>
        <v>0</v>
      </c>
      <c r="D81" s="104">
        <f>D86+D10</f>
        <v>0</v>
      </c>
      <c r="E81" s="105">
        <f>E86+E10</f>
        <v>0</v>
      </c>
    </row>
    <row r="82" spans="1:5" ht="12" thickBot="1" x14ac:dyDescent="0.3">
      <c r="B82" s="1"/>
    </row>
    <row r="83" spans="1:5" x14ac:dyDescent="0.25">
      <c r="B83" s="112" t="s">
        <v>132</v>
      </c>
      <c r="C83" s="116">
        <f>SUM(C84:C86)</f>
        <v>0</v>
      </c>
      <c r="D83" s="106">
        <f t="shared" ref="D83:E83" si="9">SUM(D84:D86)</f>
        <v>0</v>
      </c>
      <c r="E83" s="120">
        <f t="shared" si="9"/>
        <v>0</v>
      </c>
    </row>
    <row r="84" spans="1:5" x14ac:dyDescent="0.25">
      <c r="B84" s="113" t="s">
        <v>129</v>
      </c>
      <c r="C84" s="117"/>
      <c r="D84" s="124"/>
      <c r="E84" s="1773"/>
    </row>
    <row r="85" spans="1:5" x14ac:dyDescent="0.25">
      <c r="B85" s="114" t="s">
        <v>130</v>
      </c>
      <c r="C85" s="118">
        <v>0</v>
      </c>
      <c r="D85" s="125">
        <v>0</v>
      </c>
      <c r="E85" s="122">
        <v>0</v>
      </c>
    </row>
    <row r="86" spans="1:5" ht="12" thickBot="1" x14ac:dyDescent="0.3">
      <c r="B86" s="115" t="s">
        <v>131</v>
      </c>
      <c r="C86" s="119">
        <v>0</v>
      </c>
      <c r="D86" s="126">
        <v>0</v>
      </c>
      <c r="E86" s="123">
        <v>0</v>
      </c>
    </row>
    <row r="87" spans="1:5" ht="12" thickBot="1" x14ac:dyDescent="0.3">
      <c r="A87" s="61"/>
      <c r="B87" s="1"/>
    </row>
    <row r="88" spans="1:5" x14ac:dyDescent="0.25">
      <c r="A88" s="61"/>
      <c r="B88" s="107" t="s">
        <v>133</v>
      </c>
      <c r="C88" s="1767" t="e">
        <f>(C22/DR!D6)*Pressupostos!$C$14</f>
        <v>#DIV/0!</v>
      </c>
      <c r="D88" s="1767" t="e">
        <f>(D22/DR!E6)*Pressupostos!$C$14</f>
        <v>#DIV/0!</v>
      </c>
      <c r="E88" s="1768">
        <f>(E22/DR!F6)*Pressupostos!$C$14</f>
        <v>78.433107159056163</v>
      </c>
    </row>
    <row r="89" spans="1:5" x14ac:dyDescent="0.25">
      <c r="B89" s="92" t="s">
        <v>134</v>
      </c>
      <c r="C89" s="1769" t="e">
        <f>C60/DR!D6*Pressupostos!$C$14</f>
        <v>#DIV/0!</v>
      </c>
      <c r="D89" s="1769" t="e">
        <f>D60/DR!E6*Pressupostos!$C$14</f>
        <v>#DIV/0!</v>
      </c>
      <c r="E89" s="1770">
        <f>E60/DR!F6*Pressupostos!$C$14</f>
        <v>78.686924731208251</v>
      </c>
    </row>
    <row r="90" spans="1:5" x14ac:dyDescent="0.25">
      <c r="B90" s="92" t="s">
        <v>23</v>
      </c>
      <c r="C90" s="1765" t="str">
        <f>IFERROR(C20/DR!D32*Pressupostos!$C$14,"0")</f>
        <v>0</v>
      </c>
      <c r="D90" s="1765" t="str">
        <f>IFERROR(D20/DR!E32*Pressupostos!$C$14,"0")</f>
        <v>0</v>
      </c>
      <c r="E90" s="1766" t="str">
        <f>IFERROR(E20/DR!F32*Pressupostos!$C$14,"0")</f>
        <v>0</v>
      </c>
    </row>
    <row r="91" spans="1:5" ht="12" thickBot="1" x14ac:dyDescent="0.3">
      <c r="B91" s="108" t="s">
        <v>135</v>
      </c>
      <c r="C91" s="1771" t="str">
        <f>IFERROR(C88+C90-C89,"-")</f>
        <v>-</v>
      </c>
      <c r="D91" s="1771" t="str">
        <f t="shared" ref="D91:E91" si="10">IFERROR(D88+D90-D89,"-")</f>
        <v>-</v>
      </c>
      <c r="E91" s="1772">
        <f t="shared" si="10"/>
        <v>-0.25381757215208722</v>
      </c>
    </row>
  </sheetData>
  <mergeCells count="5">
    <mergeCell ref="B2:E2"/>
    <mergeCell ref="B3:E3"/>
    <mergeCell ref="B5:E5"/>
    <mergeCell ref="B6:E6"/>
    <mergeCell ref="B78:E7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6">
    <tabColor theme="9"/>
  </sheetPr>
  <dimension ref="A2:M30"/>
  <sheetViews>
    <sheetView topLeftCell="A14" workbookViewId="0">
      <selection activeCell="G34" sqref="G34"/>
    </sheetView>
  </sheetViews>
  <sheetFormatPr defaultColWidth="1.85546875" defaultRowHeight="11.25" x14ac:dyDescent="0.25"/>
  <cols>
    <col min="1" max="1" width="1.85546875" style="75"/>
    <col min="2" max="2" width="45" style="75" customWidth="1"/>
    <col min="3" max="3" width="12.5703125" style="75" customWidth="1"/>
    <col min="4" max="4" width="10.85546875" style="75" bestFit="1" customWidth="1"/>
    <col min="5" max="5" width="11.85546875" style="75" bestFit="1" customWidth="1"/>
    <col min="6" max="13" width="10.85546875" style="75" bestFit="1" customWidth="1"/>
    <col min="14" max="16384" width="1.85546875" style="75"/>
  </cols>
  <sheetData>
    <row r="2" spans="1:13" x14ac:dyDescent="0.25">
      <c r="A2" s="334"/>
      <c r="B2" s="540" t="s">
        <v>267</v>
      </c>
      <c r="C2" s="541"/>
      <c r="D2" s="542"/>
      <c r="E2" s="542"/>
      <c r="F2" s="542"/>
      <c r="G2" s="542"/>
      <c r="H2" s="542"/>
      <c r="I2" s="542"/>
      <c r="J2" s="542"/>
      <c r="K2" s="542"/>
      <c r="L2" s="542"/>
      <c r="M2" s="543"/>
    </row>
    <row r="3" spans="1:13" x14ac:dyDescent="0.25">
      <c r="B3" s="500" t="s">
        <v>179</v>
      </c>
      <c r="C3" s="505" t="s">
        <v>268</v>
      </c>
      <c r="D3" s="506">
        <f>Pressupostos!C11</f>
        <v>2020</v>
      </c>
      <c r="E3" s="506">
        <f t="shared" ref="E3:J3" si="0">D3+1</f>
        <v>2021</v>
      </c>
      <c r="F3" s="506">
        <f t="shared" si="0"/>
        <v>2022</v>
      </c>
      <c r="G3" s="506">
        <f t="shared" si="0"/>
        <v>2023</v>
      </c>
      <c r="H3" s="506">
        <f t="shared" si="0"/>
        <v>2024</v>
      </c>
      <c r="I3" s="506">
        <f t="shared" si="0"/>
        <v>2025</v>
      </c>
      <c r="J3" s="506">
        <f t="shared" si="0"/>
        <v>2026</v>
      </c>
      <c r="K3" s="506">
        <f>J3+1</f>
        <v>2027</v>
      </c>
      <c r="L3" s="506">
        <f t="shared" ref="L3:M3" si="1">K3+1</f>
        <v>2028</v>
      </c>
      <c r="M3" s="506">
        <f t="shared" si="1"/>
        <v>2029</v>
      </c>
    </row>
    <row r="4" spans="1:13" x14ac:dyDescent="0.25">
      <c r="B4" s="508" t="s">
        <v>269</v>
      </c>
      <c r="C4" s="511" t="s">
        <v>270</v>
      </c>
      <c r="D4" s="512">
        <f>DR!F37*Pressupostos!C20*(1+Pressupostos!C17)</f>
        <v>0</v>
      </c>
      <c r="E4" s="512">
        <f>D4*Pressupostos!D20*(1+Pressupostos!D17)</f>
        <v>0</v>
      </c>
      <c r="F4" s="512">
        <f>E4*Pressupostos!E20*(1+Pressupostos!E17)</f>
        <v>0</v>
      </c>
      <c r="G4" s="512">
        <f>F4*Pressupostos!F20*(1+Pressupostos!F17)</f>
        <v>0</v>
      </c>
      <c r="H4" s="512">
        <f>G4*Pressupostos!G20*(1+Pressupostos!G17)</f>
        <v>0</v>
      </c>
      <c r="I4" s="512">
        <f>H4*Pressupostos!H20*(1+Pressupostos!H17)</f>
        <v>0</v>
      </c>
      <c r="J4" s="512">
        <f>I4*Pressupostos!I20*(1+Pressupostos!I17)</f>
        <v>0</v>
      </c>
      <c r="K4" s="512">
        <f>J4*Pressupostos!J20*(1+Pressupostos!J17)</f>
        <v>0</v>
      </c>
      <c r="L4" s="512">
        <f>K4*Pressupostos!K20*(1+Pressupostos!K17)</f>
        <v>0</v>
      </c>
      <c r="M4" s="512">
        <f>L4*Pressupostos!L20*(1+Pressupostos!L17)</f>
        <v>0</v>
      </c>
    </row>
    <row r="5" spans="1:13" x14ac:dyDescent="0.25">
      <c r="B5" s="509"/>
      <c r="C5" s="513" t="s">
        <v>270</v>
      </c>
      <c r="D5" s="270"/>
      <c r="E5" s="270"/>
      <c r="F5" s="270"/>
      <c r="G5" s="270"/>
      <c r="H5" s="270"/>
      <c r="I5" s="270"/>
      <c r="J5" s="270"/>
      <c r="K5" s="270"/>
      <c r="L5" s="270"/>
      <c r="M5" s="270"/>
    </row>
    <row r="6" spans="1:13" x14ac:dyDescent="0.25">
      <c r="B6" s="509"/>
      <c r="C6" s="513" t="s">
        <v>270</v>
      </c>
      <c r="D6" s="270"/>
      <c r="E6" s="270"/>
      <c r="F6" s="270"/>
      <c r="G6" s="270"/>
      <c r="H6" s="270"/>
      <c r="I6" s="270"/>
      <c r="J6" s="270"/>
      <c r="K6" s="270"/>
      <c r="L6" s="270"/>
      <c r="M6" s="270"/>
    </row>
    <row r="7" spans="1:13" x14ac:dyDescent="0.25">
      <c r="B7" s="510"/>
      <c r="C7" s="514" t="s">
        <v>270</v>
      </c>
      <c r="D7" s="403"/>
      <c r="E7" s="403"/>
      <c r="F7" s="403"/>
      <c r="G7" s="403"/>
      <c r="H7" s="403"/>
      <c r="I7" s="403"/>
      <c r="J7" s="403"/>
      <c r="K7" s="403"/>
      <c r="L7" s="403"/>
      <c r="M7" s="403"/>
    </row>
    <row r="8" spans="1:13" x14ac:dyDescent="0.25">
      <c r="B8" s="534" t="s">
        <v>271</v>
      </c>
      <c r="C8" s="545"/>
      <c r="D8" s="515">
        <f t="shared" ref="D8:M8" si="2">SUM(D4:D7)</f>
        <v>0</v>
      </c>
      <c r="E8" s="515">
        <f t="shared" si="2"/>
        <v>0</v>
      </c>
      <c r="F8" s="515">
        <f t="shared" si="2"/>
        <v>0</v>
      </c>
      <c r="G8" s="515">
        <f t="shared" si="2"/>
        <v>0</v>
      </c>
      <c r="H8" s="515">
        <f t="shared" si="2"/>
        <v>0</v>
      </c>
      <c r="I8" s="515">
        <f t="shared" si="2"/>
        <v>0</v>
      </c>
      <c r="J8" s="515">
        <f t="shared" si="2"/>
        <v>0</v>
      </c>
      <c r="K8" s="515">
        <f t="shared" si="2"/>
        <v>0</v>
      </c>
      <c r="L8" s="515">
        <f t="shared" si="2"/>
        <v>0</v>
      </c>
      <c r="M8" s="515">
        <f t="shared" si="2"/>
        <v>0</v>
      </c>
    </row>
    <row r="9" spans="1:13" ht="5.25" customHeight="1" x14ac:dyDescent="0.25">
      <c r="C9" s="492"/>
      <c r="D9" s="499"/>
      <c r="E9" s="499"/>
      <c r="F9" s="499"/>
      <c r="G9" s="499"/>
      <c r="H9" s="499"/>
      <c r="I9" s="499"/>
      <c r="J9" s="499"/>
    </row>
    <row r="10" spans="1:13" x14ac:dyDescent="0.25">
      <c r="B10" s="536" t="s">
        <v>272</v>
      </c>
      <c r="C10" s="537"/>
      <c r="D10" s="538"/>
      <c r="E10" s="538"/>
      <c r="F10" s="538"/>
      <c r="G10" s="538"/>
      <c r="H10" s="538"/>
      <c r="I10" s="538"/>
      <c r="J10" s="538"/>
      <c r="K10" s="538"/>
      <c r="L10" s="538"/>
      <c r="M10" s="539"/>
    </row>
    <row r="11" spans="1:13" x14ac:dyDescent="0.25">
      <c r="B11" s="504" t="s">
        <v>179</v>
      </c>
      <c r="C11" s="505" t="s">
        <v>268</v>
      </c>
      <c r="D11" s="506">
        <f>D3</f>
        <v>2020</v>
      </c>
      <c r="E11" s="506">
        <f t="shared" ref="E11:J11" si="3">D11+1</f>
        <v>2021</v>
      </c>
      <c r="F11" s="506">
        <f t="shared" si="3"/>
        <v>2022</v>
      </c>
      <c r="G11" s="506">
        <f t="shared" si="3"/>
        <v>2023</v>
      </c>
      <c r="H11" s="506">
        <f t="shared" si="3"/>
        <v>2024</v>
      </c>
      <c r="I11" s="506">
        <f t="shared" si="3"/>
        <v>2025</v>
      </c>
      <c r="J11" s="506">
        <f t="shared" si="3"/>
        <v>2026</v>
      </c>
      <c r="K11" s="506">
        <f>J11+1</f>
        <v>2027</v>
      </c>
      <c r="L11" s="506">
        <f t="shared" ref="L11:M11" si="4">K11+1</f>
        <v>2028</v>
      </c>
      <c r="M11" s="506">
        <f t="shared" si="4"/>
        <v>2029</v>
      </c>
    </row>
    <row r="12" spans="1:13" x14ac:dyDescent="0.25">
      <c r="B12" s="518" t="s">
        <v>269</v>
      </c>
      <c r="C12" s="519" t="s">
        <v>270</v>
      </c>
      <c r="D12" s="818"/>
      <c r="E12" s="818">
        <f>D12*Pressupostos!D20*(1+Pressupostos!D17)</f>
        <v>0</v>
      </c>
      <c r="F12" s="818">
        <f>E12*Pressupostos!E20*(1+Pressupostos!E17)</f>
        <v>0</v>
      </c>
      <c r="G12" s="818">
        <f>F12*Pressupostos!F20*(1+Pressupostos!F17)</f>
        <v>0</v>
      </c>
      <c r="H12" s="818">
        <f>G12*Pressupostos!G20*(1+Pressupostos!G17)</f>
        <v>0</v>
      </c>
      <c r="I12" s="818">
        <f>H12*Pressupostos!H20*(1+Pressupostos!H17)</f>
        <v>0</v>
      </c>
      <c r="J12" s="818">
        <f>I12*Pressupostos!I20*(1+Pressupostos!I17)</f>
        <v>0</v>
      </c>
      <c r="K12" s="818">
        <f>J12*Pressupostos!J20*(1+Pressupostos!J17)</f>
        <v>0</v>
      </c>
      <c r="L12" s="818">
        <f>K12*Pressupostos!K20*(1+Pressupostos!K17)</f>
        <v>0</v>
      </c>
      <c r="M12" s="1141">
        <f>L12*Pressupostos!L20*(1+Pressupostos!L17)</f>
        <v>0</v>
      </c>
    </row>
    <row r="13" spans="1:13" x14ac:dyDescent="0.25">
      <c r="B13" s="520"/>
      <c r="C13" s="521" t="s">
        <v>270</v>
      </c>
      <c r="D13" s="522"/>
      <c r="E13" s="522"/>
      <c r="F13" s="522"/>
      <c r="G13" s="522"/>
      <c r="H13" s="522"/>
      <c r="I13" s="522"/>
      <c r="J13" s="522"/>
      <c r="K13" s="522"/>
      <c r="L13" s="522"/>
      <c r="M13" s="522"/>
    </row>
    <row r="14" spans="1:13" x14ac:dyDescent="0.25">
      <c r="B14" s="520"/>
      <c r="C14" s="521" t="s">
        <v>270</v>
      </c>
      <c r="D14" s="522"/>
      <c r="E14" s="522"/>
      <c r="F14" s="522"/>
      <c r="G14" s="522"/>
      <c r="H14" s="522"/>
      <c r="I14" s="522"/>
      <c r="J14" s="522"/>
      <c r="K14" s="522"/>
      <c r="L14" s="522"/>
      <c r="M14" s="522"/>
    </row>
    <row r="15" spans="1:13" x14ac:dyDescent="0.25">
      <c r="B15" s="523"/>
      <c r="C15" s="524" t="s">
        <v>270</v>
      </c>
      <c r="D15" s="525"/>
      <c r="E15" s="525"/>
      <c r="F15" s="525"/>
      <c r="G15" s="525"/>
      <c r="H15" s="525"/>
      <c r="I15" s="525"/>
      <c r="J15" s="525"/>
      <c r="K15" s="525"/>
      <c r="L15" s="525"/>
      <c r="M15" s="525"/>
    </row>
    <row r="16" spans="1:13" x14ac:dyDescent="0.25">
      <c r="B16" s="544" t="s">
        <v>271</v>
      </c>
      <c r="C16" s="545"/>
      <c r="D16" s="515">
        <f t="shared" ref="D16:M16" si="5">SUM(D12:D15)</f>
        <v>0</v>
      </c>
      <c r="E16" s="515">
        <f t="shared" si="5"/>
        <v>0</v>
      </c>
      <c r="F16" s="515">
        <f t="shared" si="5"/>
        <v>0</v>
      </c>
      <c r="G16" s="515">
        <f t="shared" si="5"/>
        <v>0</v>
      </c>
      <c r="H16" s="515">
        <f t="shared" si="5"/>
        <v>0</v>
      </c>
      <c r="I16" s="515">
        <f t="shared" si="5"/>
        <v>0</v>
      </c>
      <c r="J16" s="515">
        <f t="shared" si="5"/>
        <v>0</v>
      </c>
      <c r="K16" s="515">
        <f t="shared" si="5"/>
        <v>0</v>
      </c>
      <c r="L16" s="515">
        <f t="shared" si="5"/>
        <v>0</v>
      </c>
      <c r="M16" s="515">
        <f t="shared" si="5"/>
        <v>0</v>
      </c>
    </row>
    <row r="17" spans="2:13" x14ac:dyDescent="0.25">
      <c r="C17" s="492"/>
      <c r="D17" s="499"/>
      <c r="E17" s="499"/>
      <c r="F17" s="499"/>
      <c r="G17" s="499"/>
      <c r="H17" s="499"/>
      <c r="I17" s="499"/>
      <c r="J17" s="499"/>
    </row>
    <row r="18" spans="2:13" x14ac:dyDescent="0.25">
      <c r="B18" s="534" t="s">
        <v>273</v>
      </c>
      <c r="C18" s="535" t="s">
        <v>274</v>
      </c>
      <c r="D18" s="507">
        <f t="shared" ref="D18:M18" si="6">D8+D16</f>
        <v>0</v>
      </c>
      <c r="E18" s="507">
        <f t="shared" si="6"/>
        <v>0</v>
      </c>
      <c r="F18" s="507">
        <f t="shared" si="6"/>
        <v>0</v>
      </c>
      <c r="G18" s="507">
        <f t="shared" si="6"/>
        <v>0</v>
      </c>
      <c r="H18" s="507">
        <f t="shared" si="6"/>
        <v>0</v>
      </c>
      <c r="I18" s="507">
        <f t="shared" si="6"/>
        <v>0</v>
      </c>
      <c r="J18" s="507">
        <f t="shared" si="6"/>
        <v>0</v>
      </c>
      <c r="K18" s="507">
        <f t="shared" si="6"/>
        <v>0</v>
      </c>
      <c r="L18" s="507">
        <f t="shared" si="6"/>
        <v>0</v>
      </c>
      <c r="M18" s="507">
        <f t="shared" si="6"/>
        <v>0</v>
      </c>
    </row>
    <row r="19" spans="2:13" x14ac:dyDescent="0.25">
      <c r="C19" s="492"/>
      <c r="D19" s="499"/>
      <c r="E19" s="499"/>
      <c r="F19" s="499"/>
      <c r="G19" s="499"/>
      <c r="H19" s="499"/>
      <c r="I19" s="499"/>
      <c r="J19" s="499"/>
    </row>
    <row r="20" spans="2:13" x14ac:dyDescent="0.25">
      <c r="B20" s="536" t="s">
        <v>276</v>
      </c>
      <c r="C20" s="537"/>
      <c r="D20" s="538"/>
      <c r="E20" s="538"/>
      <c r="F20" s="538"/>
      <c r="G20" s="538"/>
      <c r="H20" s="538"/>
      <c r="I20" s="538"/>
      <c r="J20" s="538"/>
      <c r="K20" s="538"/>
      <c r="L20" s="538"/>
      <c r="M20" s="539"/>
    </row>
    <row r="21" spans="2:13" x14ac:dyDescent="0.25">
      <c r="B21" s="504" t="s">
        <v>179</v>
      </c>
      <c r="C21" s="505" t="s">
        <v>268</v>
      </c>
      <c r="D21" s="506">
        <f>D3</f>
        <v>2020</v>
      </c>
      <c r="E21" s="506">
        <f t="shared" ref="E21:J21" si="7">D21+1</f>
        <v>2021</v>
      </c>
      <c r="F21" s="506">
        <f t="shared" si="7"/>
        <v>2022</v>
      </c>
      <c r="G21" s="506">
        <f t="shared" si="7"/>
        <v>2023</v>
      </c>
      <c r="H21" s="506">
        <f t="shared" si="7"/>
        <v>2024</v>
      </c>
      <c r="I21" s="506">
        <f t="shared" si="7"/>
        <v>2025</v>
      </c>
      <c r="J21" s="506">
        <f t="shared" si="7"/>
        <v>2026</v>
      </c>
      <c r="K21" s="506">
        <f>J21+1</f>
        <v>2027</v>
      </c>
      <c r="L21" s="506">
        <f>K21+1</f>
        <v>2028</v>
      </c>
      <c r="M21" s="506">
        <f>L21+1</f>
        <v>2029</v>
      </c>
    </row>
    <row r="22" spans="2:13" x14ac:dyDescent="0.25">
      <c r="B22" s="526" t="s">
        <v>269</v>
      </c>
      <c r="C22" s="511" t="s">
        <v>274</v>
      </c>
      <c r="D22" s="527">
        <f>DR!F39*Pressupostos!C21*(1+Pressupostos!C17)</f>
        <v>3690043.8344700006</v>
      </c>
      <c r="E22" s="527">
        <f>D22*Pressupostos!D21*(1+Pressupostos!D17)</f>
        <v>3913291.4864554359</v>
      </c>
      <c r="F22" s="527">
        <f>E22*Pressupostos!E21*(1+Pressupostos!E17)</f>
        <v>4150045.6213859897</v>
      </c>
      <c r="G22" s="527">
        <f>F22*Pressupostos!F21*(1+Pressupostos!F17)</f>
        <v>4401123.3814798417</v>
      </c>
      <c r="H22" s="527">
        <f>G22*Pressupostos!G21*(1+Pressupostos!G17)</f>
        <v>4489585.9614475863</v>
      </c>
      <c r="I22" s="527">
        <f>H22*Pressupostos!H21*(1+Pressupostos!H17)</f>
        <v>4579826.6392726824</v>
      </c>
      <c r="J22" s="527">
        <f>I22*Pressupostos!I21*(1+Pressupostos!I17)</f>
        <v>4671881.1547220629</v>
      </c>
      <c r="K22" s="527">
        <f>J22*Pressupostos!J21*(1+Pressupostos!J17)</f>
        <v>4765785.9659319762</v>
      </c>
      <c r="L22" s="527">
        <f>K22*Pressupostos!K21*(1+Pressupostos!K17)</f>
        <v>4861578.2638472086</v>
      </c>
      <c r="M22" s="527">
        <f>L22*Pressupostos!L21*(1+Pressupostos!L17)</f>
        <v>4959295.9869505381</v>
      </c>
    </row>
    <row r="23" spans="2:13" x14ac:dyDescent="0.25">
      <c r="B23" s="528"/>
      <c r="C23" s="521" t="s">
        <v>274</v>
      </c>
      <c r="D23" s="529"/>
      <c r="E23" s="529"/>
      <c r="F23" s="529"/>
      <c r="G23" s="529"/>
      <c r="H23" s="529"/>
      <c r="I23" s="529"/>
      <c r="J23" s="529"/>
      <c r="K23" s="529"/>
      <c r="L23" s="529"/>
      <c r="M23" s="529"/>
    </row>
    <row r="24" spans="2:13" x14ac:dyDescent="0.25">
      <c r="B24" s="530"/>
      <c r="C24" s="513" t="s">
        <v>274</v>
      </c>
      <c r="D24" s="384"/>
      <c r="E24" s="384"/>
      <c r="F24" s="384"/>
      <c r="G24" s="384"/>
      <c r="H24" s="384"/>
      <c r="I24" s="384"/>
      <c r="J24" s="384"/>
      <c r="K24" s="384"/>
      <c r="L24" s="384"/>
      <c r="M24" s="384"/>
    </row>
    <row r="25" spans="2:13" x14ac:dyDescent="0.25">
      <c r="B25" s="528"/>
      <c r="C25" s="521" t="s">
        <v>274</v>
      </c>
      <c r="D25" s="529"/>
      <c r="E25" s="529"/>
      <c r="F25" s="529"/>
      <c r="G25" s="529"/>
      <c r="H25" s="529"/>
      <c r="I25" s="529"/>
      <c r="J25" s="529"/>
      <c r="K25" s="529"/>
      <c r="L25" s="529"/>
      <c r="M25" s="529"/>
    </row>
    <row r="26" spans="2:13" x14ac:dyDescent="0.25">
      <c r="B26" s="531"/>
      <c r="C26" s="532" t="s">
        <v>274</v>
      </c>
      <c r="D26" s="533"/>
      <c r="E26" s="533"/>
      <c r="F26" s="533"/>
      <c r="G26" s="533"/>
      <c r="H26" s="533"/>
      <c r="I26" s="533"/>
      <c r="J26" s="533"/>
      <c r="K26" s="533"/>
      <c r="L26" s="533"/>
      <c r="M26" s="533"/>
    </row>
    <row r="27" spans="2:13" x14ac:dyDescent="0.25">
      <c r="B27" s="544" t="s">
        <v>277</v>
      </c>
      <c r="C27" s="545"/>
      <c r="D27" s="517">
        <f>SUM(D22:D26)</f>
        <v>3690043.8344700006</v>
      </c>
      <c r="E27" s="517">
        <f t="shared" ref="E27:M27" si="8">SUM(E22:E26)</f>
        <v>3913291.4864554359</v>
      </c>
      <c r="F27" s="517">
        <f t="shared" si="8"/>
        <v>4150045.6213859897</v>
      </c>
      <c r="G27" s="517">
        <f t="shared" si="8"/>
        <v>4401123.3814798417</v>
      </c>
      <c r="H27" s="517">
        <f t="shared" si="8"/>
        <v>4489585.9614475863</v>
      </c>
      <c r="I27" s="517">
        <f t="shared" si="8"/>
        <v>4579826.6392726824</v>
      </c>
      <c r="J27" s="517">
        <f t="shared" si="8"/>
        <v>4671881.1547220629</v>
      </c>
      <c r="K27" s="517">
        <f t="shared" si="8"/>
        <v>4765785.9659319762</v>
      </c>
      <c r="L27" s="517">
        <f t="shared" si="8"/>
        <v>4861578.2638472086</v>
      </c>
      <c r="M27" s="517">
        <f t="shared" si="8"/>
        <v>4959295.9869505381</v>
      </c>
    </row>
    <row r="29" spans="2:13" x14ac:dyDescent="0.25">
      <c r="B29" s="1882" t="s">
        <v>278</v>
      </c>
      <c r="C29" s="506">
        <f>D29-1</f>
        <v>2019</v>
      </c>
      <c r="D29" s="506">
        <f>D3</f>
        <v>2020</v>
      </c>
      <c r="E29" s="506">
        <f t="shared" ref="E29:M29" si="9">E3</f>
        <v>2021</v>
      </c>
      <c r="F29" s="506">
        <f t="shared" si="9"/>
        <v>2022</v>
      </c>
      <c r="G29" s="506">
        <f t="shared" si="9"/>
        <v>2023</v>
      </c>
      <c r="H29" s="506">
        <f t="shared" si="9"/>
        <v>2024</v>
      </c>
      <c r="I29" s="506">
        <f t="shared" si="9"/>
        <v>2025</v>
      </c>
      <c r="J29" s="506">
        <f t="shared" si="9"/>
        <v>2026</v>
      </c>
      <c r="K29" s="506">
        <f t="shared" si="9"/>
        <v>2027</v>
      </c>
      <c r="L29" s="506">
        <f t="shared" si="9"/>
        <v>2028</v>
      </c>
      <c r="M29" s="506">
        <f t="shared" si="9"/>
        <v>2029</v>
      </c>
    </row>
    <row r="30" spans="2:13" x14ac:dyDescent="0.25">
      <c r="B30" s="1883"/>
      <c r="C30" s="517">
        <f>DR!F6</f>
        <v>3479532.14</v>
      </c>
      <c r="D30" s="517">
        <f>D18+D27</f>
        <v>3690043.8344700006</v>
      </c>
      <c r="E30" s="517">
        <f t="shared" ref="E30:M30" si="10">E18+E27</f>
        <v>3913291.4864554359</v>
      </c>
      <c r="F30" s="517">
        <f t="shared" si="10"/>
        <v>4150045.6213859897</v>
      </c>
      <c r="G30" s="517">
        <f t="shared" si="10"/>
        <v>4401123.3814798417</v>
      </c>
      <c r="H30" s="517">
        <f t="shared" si="10"/>
        <v>4489585.9614475863</v>
      </c>
      <c r="I30" s="517">
        <f t="shared" si="10"/>
        <v>4579826.6392726824</v>
      </c>
      <c r="J30" s="517">
        <f t="shared" si="10"/>
        <v>4671881.1547220629</v>
      </c>
      <c r="K30" s="517">
        <f t="shared" si="10"/>
        <v>4765785.9659319762</v>
      </c>
      <c r="L30" s="517">
        <f t="shared" si="10"/>
        <v>4861578.2638472086</v>
      </c>
      <c r="M30" s="517">
        <f t="shared" si="10"/>
        <v>4959295.9869505381</v>
      </c>
    </row>
  </sheetData>
  <mergeCells count="1">
    <mergeCell ref="B29:B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2">
    <tabColor theme="9"/>
  </sheetPr>
  <dimension ref="B1:M12"/>
  <sheetViews>
    <sheetView workbookViewId="0">
      <selection activeCell="G4" sqref="G4"/>
    </sheetView>
  </sheetViews>
  <sheetFormatPr defaultRowHeight="15" x14ac:dyDescent="0.25"/>
  <cols>
    <col min="1" max="1" width="1.85546875" customWidth="1"/>
    <col min="2" max="2" width="39" customWidth="1"/>
    <col min="3" max="3" width="10.42578125" customWidth="1"/>
    <col min="4" max="6" width="12" customWidth="1"/>
    <col min="7" max="7" width="12.5703125" customWidth="1"/>
    <col min="8" max="8" width="12" customWidth="1"/>
    <col min="9" max="10" width="13" customWidth="1"/>
    <col min="11" max="13" width="12" customWidth="1"/>
  </cols>
  <sheetData>
    <row r="1" spans="2:13" x14ac:dyDescent="0.25"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</row>
    <row r="2" spans="2:13" x14ac:dyDescent="0.25">
      <c r="B2" s="634" t="s">
        <v>286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635"/>
    </row>
    <row r="3" spans="2:13" x14ac:dyDescent="0.25">
      <c r="B3" s="632"/>
      <c r="C3" s="505" t="s">
        <v>268</v>
      </c>
      <c r="D3" s="633">
        <f>Pressupostos!C11</f>
        <v>2020</v>
      </c>
      <c r="E3" s="633">
        <f t="shared" ref="E3:J3" si="0">D3+1</f>
        <v>2021</v>
      </c>
      <c r="F3" s="633">
        <f t="shared" si="0"/>
        <v>2022</v>
      </c>
      <c r="G3" s="633">
        <f t="shared" si="0"/>
        <v>2023</v>
      </c>
      <c r="H3" s="633">
        <f t="shared" si="0"/>
        <v>2024</v>
      </c>
      <c r="I3" s="633">
        <f t="shared" si="0"/>
        <v>2025</v>
      </c>
      <c r="J3" s="633">
        <f t="shared" si="0"/>
        <v>2026</v>
      </c>
      <c r="K3" s="633">
        <f>J3+1</f>
        <v>2027</v>
      </c>
      <c r="L3" s="633">
        <f>K3+1</f>
        <v>2028</v>
      </c>
      <c r="M3" s="633">
        <f>L3+1</f>
        <v>2029</v>
      </c>
    </row>
    <row r="4" spans="2:13" x14ac:dyDescent="0.25">
      <c r="B4" s="629" t="s">
        <v>287</v>
      </c>
      <c r="C4" s="630" t="s">
        <v>270</v>
      </c>
      <c r="D4" s="631">
        <f>D11*D12</f>
        <v>2896684.4100589505</v>
      </c>
      <c r="E4" s="631">
        <f>E11*E12</f>
        <v>3071933.8168675173</v>
      </c>
      <c r="F4" s="631">
        <f t="shared" ref="F4:M4" si="1">F11*F12</f>
        <v>3237035.5846810723</v>
      </c>
      <c r="G4" s="631">
        <f t="shared" si="1"/>
        <v>3432876.2375542768</v>
      </c>
      <c r="H4" s="631">
        <f t="shared" si="1"/>
        <v>3501877.0499291173</v>
      </c>
      <c r="I4" s="631">
        <f t="shared" si="1"/>
        <v>3572264.7786326925</v>
      </c>
      <c r="J4" s="631">
        <f t="shared" si="1"/>
        <v>3644067.3006832092</v>
      </c>
      <c r="K4" s="631">
        <f t="shared" si="1"/>
        <v>3717313.0534269414</v>
      </c>
      <c r="L4" s="631">
        <f t="shared" si="1"/>
        <v>3792031.0458008228</v>
      </c>
      <c r="M4" s="631">
        <f t="shared" si="1"/>
        <v>3868250.8698214199</v>
      </c>
    </row>
    <row r="5" spans="2:13" x14ac:dyDescent="0.25">
      <c r="B5" s="626" t="s">
        <v>288</v>
      </c>
      <c r="C5" s="627" t="s">
        <v>270</v>
      </c>
      <c r="D5" s="628">
        <f>IFERROR(D9*'Vendas+PrestServ'!D16,"0")</f>
        <v>0</v>
      </c>
      <c r="E5" s="628">
        <f>IFERROR(E9*'Vendas+PrestServ'!E16,"0")</f>
        <v>0</v>
      </c>
      <c r="F5" s="628">
        <f>IFERROR(F9*'Vendas+PrestServ'!F16,"0")</f>
        <v>0</v>
      </c>
      <c r="G5" s="628">
        <f>IFERROR(G9*'Vendas+PrestServ'!G16,"0")</f>
        <v>0</v>
      </c>
      <c r="H5" s="628">
        <f>IFERROR(H9*'Vendas+PrestServ'!H16,"0")</f>
        <v>0</v>
      </c>
      <c r="I5" s="628">
        <f>IFERROR(I9*'Vendas+PrestServ'!I16,"0")</f>
        <v>0</v>
      </c>
      <c r="J5" s="628">
        <f>IFERROR(J9*'Vendas+PrestServ'!J16,"0")</f>
        <v>0</v>
      </c>
      <c r="K5" s="628">
        <f>IFERROR(K9*'Vendas+PrestServ'!K16,"0")</f>
        <v>0</v>
      </c>
      <c r="L5" s="628">
        <f>IFERROR(L9*'Vendas+PrestServ'!L16,"0")</f>
        <v>0</v>
      </c>
      <c r="M5" s="628">
        <f>IFERROR(M9*'Vendas+PrestServ'!M16,"0")</f>
        <v>0</v>
      </c>
    </row>
    <row r="6" spans="2:13" x14ac:dyDescent="0.25">
      <c r="B6" s="516" t="s">
        <v>271</v>
      </c>
      <c r="C6" s="624"/>
      <c r="D6" s="625">
        <f>D4+D5</f>
        <v>2896684.4100589505</v>
      </c>
      <c r="E6" s="625">
        <f t="shared" ref="E6:M6" si="2">E4+E5</f>
        <v>3071933.8168675173</v>
      </c>
      <c r="F6" s="625">
        <f t="shared" si="2"/>
        <v>3237035.5846810723</v>
      </c>
      <c r="G6" s="625">
        <f t="shared" si="2"/>
        <v>3432876.2375542768</v>
      </c>
      <c r="H6" s="625">
        <f t="shared" si="2"/>
        <v>3501877.0499291173</v>
      </c>
      <c r="I6" s="625">
        <f t="shared" si="2"/>
        <v>3572264.7786326925</v>
      </c>
      <c r="J6" s="625">
        <f t="shared" si="2"/>
        <v>3644067.3006832092</v>
      </c>
      <c r="K6" s="625">
        <f t="shared" si="2"/>
        <v>3717313.0534269414</v>
      </c>
      <c r="L6" s="625">
        <f t="shared" si="2"/>
        <v>3792031.0458008228</v>
      </c>
      <c r="M6" s="625">
        <f t="shared" si="2"/>
        <v>3868250.8698214199</v>
      </c>
    </row>
    <row r="7" spans="2:13" x14ac:dyDescent="0.25">
      <c r="B7" s="331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</row>
    <row r="8" spans="2:13" x14ac:dyDescent="0.25">
      <c r="B8" s="1884" t="s">
        <v>690</v>
      </c>
      <c r="C8" s="1885"/>
      <c r="D8" s="1638">
        <f>IFERROR(DR!F11/DR!F37,0)</f>
        <v>0</v>
      </c>
      <c r="E8" s="1638">
        <f>D8</f>
        <v>0</v>
      </c>
      <c r="F8" s="1638">
        <f t="shared" ref="F8:M8" si="3">E8</f>
        <v>0</v>
      </c>
      <c r="G8" s="1638">
        <f t="shared" si="3"/>
        <v>0</v>
      </c>
      <c r="H8" s="1638">
        <f t="shared" si="3"/>
        <v>0</v>
      </c>
      <c r="I8" s="1638">
        <f t="shared" si="3"/>
        <v>0</v>
      </c>
      <c r="J8" s="1638">
        <f t="shared" si="3"/>
        <v>0</v>
      </c>
      <c r="K8" s="1638">
        <f t="shared" si="3"/>
        <v>0</v>
      </c>
      <c r="L8" s="1638">
        <f t="shared" si="3"/>
        <v>0</v>
      </c>
      <c r="M8" s="1638">
        <f t="shared" si="3"/>
        <v>0</v>
      </c>
    </row>
    <row r="9" spans="2:13" x14ac:dyDescent="0.25">
      <c r="B9" s="1886" t="s">
        <v>289</v>
      </c>
      <c r="C9" s="1887"/>
      <c r="D9" s="1638">
        <f>IFERROR(DR!F11/DR!F38,0)</f>
        <v>0</v>
      </c>
      <c r="E9" s="1638">
        <f>D9</f>
        <v>0</v>
      </c>
      <c r="F9" s="1638">
        <f t="shared" ref="F9:M9" si="4">E9</f>
        <v>0</v>
      </c>
      <c r="G9" s="1638">
        <f t="shared" si="4"/>
        <v>0</v>
      </c>
      <c r="H9" s="1638">
        <f t="shared" si="4"/>
        <v>0</v>
      </c>
      <c r="I9" s="1638">
        <f t="shared" si="4"/>
        <v>0</v>
      </c>
      <c r="J9" s="1638">
        <f t="shared" si="4"/>
        <v>0</v>
      </c>
      <c r="K9" s="1638">
        <f t="shared" si="4"/>
        <v>0</v>
      </c>
      <c r="L9" s="1638">
        <f t="shared" si="4"/>
        <v>0</v>
      </c>
      <c r="M9" s="1638">
        <f t="shared" si="4"/>
        <v>0</v>
      </c>
    </row>
    <row r="11" spans="2:13" x14ac:dyDescent="0.25">
      <c r="B11" s="1884" t="s">
        <v>1207</v>
      </c>
      <c r="C11" s="1885"/>
      <c r="D11" s="1763">
        <f>'DR Empresa'!C5</f>
        <v>3690043.8344700006</v>
      </c>
      <c r="E11" s="1763">
        <f>'DR Empresa'!D5</f>
        <v>3913291.4864554359</v>
      </c>
      <c r="F11" s="1763">
        <f>'DR Empresa'!E5</f>
        <v>4150045.6213859897</v>
      </c>
      <c r="G11" s="1763">
        <f>'DR Empresa'!F5</f>
        <v>4401123.3814798417</v>
      </c>
      <c r="H11" s="1763">
        <f>'DR Empresa'!G5</f>
        <v>4489585.9614475863</v>
      </c>
      <c r="I11" s="1763">
        <f>'DR Empresa'!H5</f>
        <v>4579826.6392726824</v>
      </c>
      <c r="J11" s="1763">
        <f>'DR Empresa'!I5</f>
        <v>4671881.1547220629</v>
      </c>
      <c r="K11" s="1763">
        <f>'DR Empresa'!J5</f>
        <v>4765785.9659319762</v>
      </c>
      <c r="L11" s="1763">
        <f>'DR Empresa'!K5</f>
        <v>4861578.2638472086</v>
      </c>
      <c r="M11" s="1763">
        <f>'DR Empresa'!L5</f>
        <v>4959295.9869505381</v>
      </c>
    </row>
    <row r="12" spans="2:13" x14ac:dyDescent="0.25">
      <c r="B12" s="1884" t="s">
        <v>275</v>
      </c>
      <c r="C12" s="1885"/>
      <c r="D12" s="1638">
        <v>0.78500000000000003</v>
      </c>
      <c r="E12" s="1638">
        <v>0.78500000000000003</v>
      </c>
      <c r="F12" s="1638">
        <v>0.78</v>
      </c>
      <c r="G12" s="1638">
        <v>0.78</v>
      </c>
      <c r="H12" s="1638">
        <v>0.78</v>
      </c>
      <c r="I12" s="1638">
        <v>0.78</v>
      </c>
      <c r="J12" s="1638">
        <v>0.78</v>
      </c>
      <c r="K12" s="1638">
        <v>0.78</v>
      </c>
      <c r="L12" s="1638">
        <v>0.78</v>
      </c>
      <c r="M12" s="1638">
        <v>0.78</v>
      </c>
    </row>
  </sheetData>
  <mergeCells count="4">
    <mergeCell ref="B12:C12"/>
    <mergeCell ref="B9:C9"/>
    <mergeCell ref="B8:C8"/>
    <mergeCell ref="B11:C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2">
    <tabColor theme="9"/>
  </sheetPr>
  <dimension ref="A2:BO55"/>
  <sheetViews>
    <sheetView workbookViewId="0">
      <selection activeCell="D13" sqref="D13"/>
    </sheetView>
  </sheetViews>
  <sheetFormatPr defaultColWidth="1.85546875" defaultRowHeight="12" x14ac:dyDescent="0.25"/>
  <cols>
    <col min="1" max="1" width="1.85546875" style="582"/>
    <col min="2" max="2" width="41.85546875" style="582" customWidth="1"/>
    <col min="3" max="3" width="6.85546875" style="582" customWidth="1"/>
    <col min="4" max="11" width="10" style="582" bestFit="1" customWidth="1"/>
    <col min="12" max="12" width="10" style="582" customWidth="1"/>
    <col min="13" max="13" width="13.85546875" style="582" bestFit="1" customWidth="1"/>
    <col min="14" max="41" width="12" style="582" customWidth="1"/>
    <col min="42" max="16384" width="1.85546875" style="582"/>
  </cols>
  <sheetData>
    <row r="2" spans="1:67" x14ac:dyDescent="0.25">
      <c r="A2" s="573"/>
      <c r="B2" s="574" t="s">
        <v>280</v>
      </c>
      <c r="C2" s="575"/>
      <c r="D2" s="576"/>
      <c r="E2" s="577"/>
      <c r="F2" s="577"/>
      <c r="G2" s="578"/>
      <c r="H2" s="578"/>
      <c r="I2" s="578"/>
      <c r="J2" s="578"/>
      <c r="K2" s="578"/>
      <c r="L2" s="578"/>
      <c r="M2" s="579" t="s">
        <v>70</v>
      </c>
      <c r="N2" s="573"/>
      <c r="O2" s="573"/>
      <c r="P2" s="573"/>
      <c r="Q2" s="580"/>
      <c r="R2" s="573"/>
      <c r="S2" s="573"/>
      <c r="T2" s="573"/>
      <c r="U2" s="573"/>
      <c r="V2" s="573"/>
      <c r="W2" s="573"/>
      <c r="X2" s="573"/>
      <c r="Y2" s="573"/>
      <c r="Z2" s="580"/>
      <c r="AA2" s="573"/>
      <c r="AB2" s="573"/>
      <c r="AC2" s="573"/>
      <c r="AD2" s="573"/>
      <c r="AE2" s="580"/>
      <c r="AF2" s="573"/>
      <c r="AG2" s="573"/>
      <c r="AH2" s="573"/>
      <c r="AI2" s="573"/>
      <c r="AJ2" s="573"/>
      <c r="AK2" s="573"/>
      <c r="AL2" s="573"/>
      <c r="AM2" s="580"/>
      <c r="AN2" s="573"/>
      <c r="AO2" s="573"/>
      <c r="AP2" s="573"/>
      <c r="AQ2" s="573"/>
      <c r="AR2" s="573"/>
      <c r="AS2" s="573"/>
      <c r="AT2" s="573"/>
      <c r="AU2" s="573"/>
      <c r="AV2" s="580"/>
      <c r="AW2" s="573"/>
      <c r="AX2" s="573"/>
      <c r="AY2" s="573"/>
      <c r="AZ2" s="573"/>
      <c r="BA2" s="573"/>
      <c r="BB2" s="573"/>
      <c r="BC2" s="573"/>
      <c r="BD2" s="580"/>
      <c r="BE2" s="573"/>
      <c r="BF2" s="573"/>
      <c r="BG2" s="573"/>
      <c r="BH2" s="573"/>
      <c r="BI2" s="573"/>
      <c r="BJ2" s="581"/>
      <c r="BK2" s="581"/>
      <c r="BL2" s="581"/>
      <c r="BM2" s="581"/>
      <c r="BN2" s="581"/>
      <c r="BO2" s="581"/>
    </row>
    <row r="3" spans="1:67" x14ac:dyDescent="0.25">
      <c r="B3" s="583"/>
      <c r="C3" s="584"/>
      <c r="D3" s="585">
        <f>Pressupostos!C11</f>
        <v>2020</v>
      </c>
      <c r="E3" s="585">
        <f>D3+1</f>
        <v>2021</v>
      </c>
      <c r="F3" s="585">
        <f t="shared" ref="F3:M3" si="0">E3+1</f>
        <v>2022</v>
      </c>
      <c r="G3" s="585">
        <f t="shared" si="0"/>
        <v>2023</v>
      </c>
      <c r="H3" s="585">
        <f t="shared" si="0"/>
        <v>2024</v>
      </c>
      <c r="I3" s="585">
        <f t="shared" si="0"/>
        <v>2025</v>
      </c>
      <c r="J3" s="585">
        <f t="shared" si="0"/>
        <v>2026</v>
      </c>
      <c r="K3" s="585">
        <f t="shared" si="0"/>
        <v>2027</v>
      </c>
      <c r="L3" s="585">
        <f t="shared" si="0"/>
        <v>2028</v>
      </c>
      <c r="M3" s="585">
        <f t="shared" si="0"/>
        <v>2029</v>
      </c>
    </row>
    <row r="4" spans="1:67" x14ac:dyDescent="0.25">
      <c r="B4" s="594" t="s">
        <v>281</v>
      </c>
      <c r="C4" s="596"/>
      <c r="D4" s="1636">
        <f>DR!F12*(1+Pressupostos!C17)</f>
        <v>511850.68859999999</v>
      </c>
      <c r="E4" s="1636">
        <f>E12*'Vendas+PrestServ'!E30</f>
        <v>528294.3506714839</v>
      </c>
      <c r="F4" s="1636">
        <f>F12*'Vendas+PrestServ'!F30</f>
        <v>560256.15888710867</v>
      </c>
      <c r="G4" s="1636">
        <f>G12*'Vendas+PrestServ'!G30</f>
        <v>594151.65649977862</v>
      </c>
      <c r="H4" s="1636">
        <f>H12*'Vendas+PrestServ'!H30</f>
        <v>606094.10479542415</v>
      </c>
      <c r="I4" s="1636">
        <f>I12*'Vendas+PrestServ'!I30</f>
        <v>618276.59630181221</v>
      </c>
      <c r="J4" s="1636">
        <f>J12*'Vendas+PrestServ'!J30</f>
        <v>630703.95588747854</v>
      </c>
      <c r="K4" s="1636">
        <f>K12*'Vendas+PrestServ'!K30</f>
        <v>643381.10540081689</v>
      </c>
      <c r="L4" s="1636">
        <f>L12*'Vendas+PrestServ'!L30</f>
        <v>656313.06561937323</v>
      </c>
      <c r="M4" s="1636">
        <f>M12*'Vendas+PrestServ'!M30</f>
        <v>669504.95823832264</v>
      </c>
    </row>
    <row r="5" spans="1:67" x14ac:dyDescent="0.25">
      <c r="B5" s="595" t="s">
        <v>282</v>
      </c>
      <c r="C5" s="597"/>
      <c r="D5" s="1637">
        <f>Faturas!E310</f>
        <v>20625.25</v>
      </c>
      <c r="E5" s="1637">
        <f>Faturas!E311</f>
        <v>18340</v>
      </c>
      <c r="F5" s="1637">
        <f>Faturas!E312</f>
        <v>14800</v>
      </c>
      <c r="G5" s="1637">
        <f>Faturas!E313</f>
        <v>0</v>
      </c>
      <c r="H5" s="1637">
        <v>0</v>
      </c>
      <c r="I5" s="1637">
        <v>0</v>
      </c>
      <c r="J5" s="1637">
        <v>0</v>
      </c>
      <c r="K5" s="1637">
        <v>0</v>
      </c>
      <c r="L5" s="1637">
        <v>0</v>
      </c>
      <c r="M5" s="1637">
        <v>0</v>
      </c>
    </row>
    <row r="6" spans="1:67" x14ac:dyDescent="0.25">
      <c r="B6" s="586" t="s">
        <v>271</v>
      </c>
      <c r="C6" s="587"/>
      <c r="D6" s="588">
        <f t="shared" ref="D6:M6" si="1">SUM(D4:D5)</f>
        <v>532475.93859999999</v>
      </c>
      <c r="E6" s="588">
        <f t="shared" si="1"/>
        <v>546634.3506714839</v>
      </c>
      <c r="F6" s="588">
        <f t="shared" si="1"/>
        <v>575056.15888710867</v>
      </c>
      <c r="G6" s="588">
        <f t="shared" si="1"/>
        <v>594151.65649977862</v>
      </c>
      <c r="H6" s="588">
        <f t="shared" si="1"/>
        <v>606094.10479542415</v>
      </c>
      <c r="I6" s="588">
        <f t="shared" si="1"/>
        <v>618276.59630181221</v>
      </c>
      <c r="J6" s="588">
        <f t="shared" si="1"/>
        <v>630703.95588747854</v>
      </c>
      <c r="K6" s="588">
        <f t="shared" si="1"/>
        <v>643381.10540081689</v>
      </c>
      <c r="L6" s="588">
        <f t="shared" si="1"/>
        <v>656313.06561937323</v>
      </c>
      <c r="M6" s="588">
        <f t="shared" si="1"/>
        <v>669504.95823832264</v>
      </c>
    </row>
    <row r="7" spans="1:67" x14ac:dyDescent="0.25">
      <c r="B7" s="589"/>
      <c r="C7" s="589"/>
    </row>
    <row r="8" spans="1:67" x14ac:dyDescent="0.25">
      <c r="B8" s="1888" t="s">
        <v>284</v>
      </c>
      <c r="C8" s="1888"/>
      <c r="D8" s="622">
        <f>'DR Empresa'!C5</f>
        <v>3690043.8344700006</v>
      </c>
      <c r="E8" s="622">
        <f>'DR Empresa'!D5</f>
        <v>3913291.4864554359</v>
      </c>
      <c r="F8" s="622">
        <f>'DR Empresa'!E5</f>
        <v>4150045.6213859897</v>
      </c>
      <c r="G8" s="622">
        <f>'DR Empresa'!F5</f>
        <v>4401123.3814798417</v>
      </c>
      <c r="H8" s="622">
        <f>'DR Empresa'!G5</f>
        <v>4489585.9614475863</v>
      </c>
      <c r="I8" s="622">
        <f>'DR Empresa'!H5</f>
        <v>4579826.6392726824</v>
      </c>
      <c r="J8" s="622">
        <f>'DR Empresa'!I5</f>
        <v>4671881.1547220629</v>
      </c>
      <c r="K8" s="622">
        <f>'DR Empresa'!J5</f>
        <v>4765785.9659319762</v>
      </c>
      <c r="L8" s="622">
        <f>'DR Empresa'!K5</f>
        <v>4861578.2638472086</v>
      </c>
      <c r="M8" s="622">
        <f>'DR Empresa'!L5</f>
        <v>4959295.9869505381</v>
      </c>
    </row>
    <row r="9" spans="1:67" x14ac:dyDescent="0.25">
      <c r="B9" s="1888" t="s">
        <v>285</v>
      </c>
      <c r="C9" s="1888"/>
      <c r="D9" s="1764">
        <f>D6/D8</f>
        <v>0.14430070819916949</v>
      </c>
      <c r="E9" s="598">
        <f t="shared" ref="E9:I9" si="2">E6/E8</f>
        <v>0.13968659185329738</v>
      </c>
      <c r="F9" s="598">
        <f t="shared" si="2"/>
        <v>0.13856622585634548</v>
      </c>
      <c r="G9" s="598">
        <f t="shared" si="2"/>
        <v>0.13500000000000001</v>
      </c>
      <c r="H9" s="598">
        <f t="shared" si="2"/>
        <v>0.13500000000000001</v>
      </c>
      <c r="I9" s="598">
        <f t="shared" si="2"/>
        <v>0.13500000000000001</v>
      </c>
      <c r="J9" s="598">
        <f>J6/J8</f>
        <v>0.13500000000000001</v>
      </c>
      <c r="K9" s="598">
        <f>K6/K8</f>
        <v>0.13500000000000001</v>
      </c>
      <c r="L9" s="598">
        <f>L6/L8</f>
        <v>0.13500000000000001</v>
      </c>
      <c r="M9" s="598">
        <f>M6/M8</f>
        <v>0.13500000000000001</v>
      </c>
      <c r="N9" s="590"/>
    </row>
    <row r="11" spans="1:67" x14ac:dyDescent="0.25">
      <c r="B11" s="1889" t="s">
        <v>283</v>
      </c>
      <c r="C11" s="592">
        <f>D11-1</f>
        <v>2019</v>
      </c>
      <c r="D11" s="593">
        <f>D3</f>
        <v>2020</v>
      </c>
      <c r="E11" s="593">
        <f t="shared" ref="E11:M11" si="3">E3</f>
        <v>2021</v>
      </c>
      <c r="F11" s="593">
        <f t="shared" si="3"/>
        <v>2022</v>
      </c>
      <c r="G11" s="593">
        <f t="shared" si="3"/>
        <v>2023</v>
      </c>
      <c r="H11" s="593">
        <f t="shared" si="3"/>
        <v>2024</v>
      </c>
      <c r="I11" s="593">
        <f t="shared" si="3"/>
        <v>2025</v>
      </c>
      <c r="J11" s="593">
        <f t="shared" si="3"/>
        <v>2026</v>
      </c>
      <c r="K11" s="593">
        <f t="shared" si="3"/>
        <v>2027</v>
      </c>
      <c r="L11" s="593">
        <f t="shared" si="3"/>
        <v>2028</v>
      </c>
      <c r="M11" s="593">
        <f t="shared" si="3"/>
        <v>2029</v>
      </c>
      <c r="N11" s="573"/>
      <c r="O11" s="573"/>
      <c r="P11" s="573"/>
      <c r="Q11" s="573"/>
      <c r="R11" s="573"/>
    </row>
    <row r="12" spans="1:67" x14ac:dyDescent="0.25">
      <c r="B12" s="1890"/>
      <c r="C12" s="623">
        <f>DR!F12/DR!F6</f>
        <v>0.14564683975012802</v>
      </c>
      <c r="D12" s="591">
        <v>0.13500000000000001</v>
      </c>
      <c r="E12" s="591">
        <f t="shared" ref="E12:M12" si="4">+D12</f>
        <v>0.13500000000000001</v>
      </c>
      <c r="F12" s="591">
        <f t="shared" si="4"/>
        <v>0.13500000000000001</v>
      </c>
      <c r="G12" s="591">
        <f t="shared" si="4"/>
        <v>0.13500000000000001</v>
      </c>
      <c r="H12" s="591">
        <f t="shared" si="4"/>
        <v>0.13500000000000001</v>
      </c>
      <c r="I12" s="591">
        <f t="shared" si="4"/>
        <v>0.13500000000000001</v>
      </c>
      <c r="J12" s="591">
        <f t="shared" si="4"/>
        <v>0.13500000000000001</v>
      </c>
      <c r="K12" s="591">
        <f t="shared" si="4"/>
        <v>0.13500000000000001</v>
      </c>
      <c r="L12" s="591">
        <f t="shared" si="4"/>
        <v>0.13500000000000001</v>
      </c>
      <c r="M12" s="591">
        <f t="shared" si="4"/>
        <v>0.13500000000000001</v>
      </c>
      <c r="N12" s="573"/>
      <c r="O12" s="573"/>
      <c r="P12" s="573"/>
      <c r="Q12" s="573"/>
      <c r="R12" s="573"/>
    </row>
    <row r="55" spans="2:3" x14ac:dyDescent="0.25">
      <c r="B55" s="580"/>
      <c r="C55" s="580"/>
    </row>
  </sheetData>
  <mergeCells count="3">
    <mergeCell ref="B8:C8"/>
    <mergeCell ref="B9:C9"/>
    <mergeCell ref="B11:B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5">
    <tabColor theme="9"/>
  </sheetPr>
  <dimension ref="A2:BF74"/>
  <sheetViews>
    <sheetView topLeftCell="A13" workbookViewId="0">
      <selection activeCell="F15" sqref="F15"/>
    </sheetView>
  </sheetViews>
  <sheetFormatPr defaultColWidth="1.85546875" defaultRowHeight="11.25" outlineLevelRow="1" x14ac:dyDescent="0.25"/>
  <cols>
    <col min="1" max="1" width="1.85546875" style="75"/>
    <col min="2" max="2" width="20.42578125" style="75" bestFit="1" customWidth="1"/>
    <col min="3" max="3" width="22.85546875" style="75" customWidth="1"/>
    <col min="4" max="4" width="11.85546875" style="75" bestFit="1" customWidth="1"/>
    <col min="5" max="5" width="15" style="75" customWidth="1"/>
    <col min="6" max="6" width="12" style="75" bestFit="1" customWidth="1"/>
    <col min="7" max="13" width="11.140625" style="75" customWidth="1"/>
    <col min="14" max="14" width="15.85546875" style="75" customWidth="1"/>
    <col min="15" max="15" width="25.5703125" style="75" hidden="1" customWidth="1"/>
    <col min="16" max="16384" width="1.85546875" style="75"/>
  </cols>
  <sheetData>
    <row r="2" spans="1:58" x14ac:dyDescent="0.25">
      <c r="A2" s="334"/>
      <c r="B2" s="1421" t="s">
        <v>260</v>
      </c>
      <c r="C2" s="1422"/>
      <c r="D2" s="1422"/>
      <c r="E2" s="1422"/>
      <c r="F2" s="1422"/>
      <c r="G2" s="1422"/>
      <c r="H2" s="1422"/>
      <c r="I2" s="1422"/>
      <c r="J2" s="1422"/>
      <c r="K2" s="1422"/>
      <c r="L2" s="1422"/>
      <c r="M2" s="1423"/>
      <c r="N2" s="334"/>
      <c r="O2" s="1424" t="s">
        <v>644</v>
      </c>
      <c r="P2" s="334"/>
      <c r="Q2" s="489"/>
      <c r="R2" s="334"/>
      <c r="S2" s="334"/>
      <c r="T2" s="334"/>
      <c r="U2" s="334"/>
      <c r="V2" s="489"/>
      <c r="W2" s="334"/>
      <c r="X2" s="334"/>
      <c r="Y2" s="334"/>
      <c r="Z2" s="334"/>
      <c r="AA2" s="334"/>
      <c r="AB2" s="334"/>
      <c r="AC2" s="334"/>
      <c r="AD2" s="489"/>
      <c r="AE2" s="334"/>
      <c r="AF2" s="334"/>
      <c r="AG2" s="334"/>
      <c r="AH2" s="334"/>
      <c r="AI2" s="334"/>
      <c r="AJ2" s="334"/>
      <c r="AK2" s="334"/>
      <c r="AL2" s="334"/>
      <c r="AM2" s="489"/>
      <c r="AN2" s="334"/>
      <c r="AO2" s="334"/>
      <c r="AP2" s="334"/>
      <c r="AQ2" s="334"/>
      <c r="AR2" s="334"/>
      <c r="AS2" s="334"/>
      <c r="AT2" s="334"/>
      <c r="AU2" s="489"/>
      <c r="AV2" s="334"/>
      <c r="AW2" s="334"/>
      <c r="AX2" s="334"/>
      <c r="AY2" s="334"/>
      <c r="AZ2" s="334"/>
      <c r="BA2" s="490"/>
      <c r="BB2" s="490"/>
      <c r="BC2" s="490"/>
      <c r="BD2" s="490"/>
      <c r="BE2" s="490"/>
      <c r="BF2" s="490"/>
    </row>
    <row r="3" spans="1:58" x14ac:dyDescent="0.25">
      <c r="B3" s="1899"/>
      <c r="C3" s="1900"/>
      <c r="D3" s="569">
        <f>Pressupostos!C11</f>
        <v>2020</v>
      </c>
      <c r="E3" s="569">
        <f>D3+1</f>
        <v>2021</v>
      </c>
      <c r="F3" s="569">
        <f t="shared" ref="F3:I3" si="0">E3+1</f>
        <v>2022</v>
      </c>
      <c r="G3" s="569">
        <f t="shared" si="0"/>
        <v>2023</v>
      </c>
      <c r="H3" s="569">
        <f t="shared" si="0"/>
        <v>2024</v>
      </c>
      <c r="I3" s="570">
        <f t="shared" si="0"/>
        <v>2025</v>
      </c>
      <c r="J3" s="570">
        <f t="shared" ref="J3" si="1">I3+1</f>
        <v>2026</v>
      </c>
      <c r="K3" s="570">
        <f t="shared" ref="K3" si="2">J3+1</f>
        <v>2027</v>
      </c>
      <c r="L3" s="570">
        <f t="shared" ref="L3" si="3">K3+1</f>
        <v>2028</v>
      </c>
      <c r="M3" s="569">
        <f t="shared" ref="M3" si="4">L3+1</f>
        <v>2029</v>
      </c>
      <c r="O3" s="1425" t="s">
        <v>645</v>
      </c>
    </row>
    <row r="4" spans="1:58" s="491" customFormat="1" x14ac:dyDescent="0.25">
      <c r="B4" s="1901" t="s">
        <v>279</v>
      </c>
      <c r="C4" s="1902"/>
      <c r="D4" s="1141">
        <f>(DR!F13*Pressupostos!C24)+K13</f>
        <v>172750.56599999999</v>
      </c>
      <c r="E4" s="1141">
        <f>(D4*Pressupostos!D24)+K14+M13</f>
        <v>201405.57731999998</v>
      </c>
      <c r="F4" s="1141">
        <f>(E4*Pressupostos!E24)+K15+M14</f>
        <v>213833.68886639999</v>
      </c>
      <c r="G4" s="1141">
        <f>(F4*Pressupostos!F24)+K16+M15</f>
        <v>218110.36264372797</v>
      </c>
      <c r="H4" s="1141">
        <f>(G4*Pressupostos!G24)+K17+M16</f>
        <v>222472.56989660254</v>
      </c>
      <c r="I4" s="1141">
        <f>(H4*Pressupostos!H24)+K18+M17</f>
        <v>226922.02129453458</v>
      </c>
      <c r="J4" s="1141">
        <f>(I4*Pressupostos!I24)+M18</f>
        <v>231460.46172042529</v>
      </c>
      <c r="K4" s="1141">
        <f>(J4*Pressupostos!J24)</f>
        <v>236089.6709548338</v>
      </c>
      <c r="L4" s="1141">
        <f>(K4*Pressupostos!K24)</f>
        <v>240811.46437393047</v>
      </c>
      <c r="M4" s="1141">
        <f>(L4*Pressupostos!L24)</f>
        <v>245627.69366140908</v>
      </c>
      <c r="O4" s="1425" t="s">
        <v>646</v>
      </c>
    </row>
    <row r="5" spans="1:58" s="491" customFormat="1" x14ac:dyDescent="0.25">
      <c r="B5" s="1903" t="s">
        <v>261</v>
      </c>
      <c r="C5" s="1904"/>
      <c r="D5" s="396">
        <f>D4*Pressupostos!$C$25</f>
        <v>45347.023574999999</v>
      </c>
      <c r="E5" s="396">
        <f>E4*Pressupostos!$C$25</f>
        <v>52868.964046499997</v>
      </c>
      <c r="F5" s="396">
        <f>F4*Pressupostos!$C$25</f>
        <v>56131.343327429997</v>
      </c>
      <c r="G5" s="396">
        <f>G4*Pressupostos!$C$25</f>
        <v>57253.970193978595</v>
      </c>
      <c r="H5" s="396">
        <f>H4*Pressupostos!$C$25</f>
        <v>58399.049597858168</v>
      </c>
      <c r="I5" s="1280">
        <f>I4*Pressupostos!$C$25</f>
        <v>59567.030589815331</v>
      </c>
      <c r="J5" s="1280">
        <f>J4*Pressupostos!$C$25</f>
        <v>60758.371201611641</v>
      </c>
      <c r="K5" s="1280">
        <f>K4*Pressupostos!$C$25</f>
        <v>61973.538625643872</v>
      </c>
      <c r="L5" s="1280">
        <f>L4*Pressupostos!$C$25</f>
        <v>63213.009398156755</v>
      </c>
      <c r="M5" s="396">
        <f>M4*Pressupostos!$C$25</f>
        <v>64477.269586119888</v>
      </c>
      <c r="O5" s="1425" t="s">
        <v>647</v>
      </c>
    </row>
    <row r="6" spans="1:58" s="491" customFormat="1" x14ac:dyDescent="0.25">
      <c r="B6" s="1905" t="s">
        <v>149</v>
      </c>
      <c r="C6" s="1906"/>
      <c r="D6" s="568">
        <f>SUM(D4:D5)</f>
        <v>218097.58957499999</v>
      </c>
      <c r="E6" s="568">
        <f t="shared" ref="E6:M6" si="5">SUM(E4:E5)</f>
        <v>254274.54136649997</v>
      </c>
      <c r="F6" s="568">
        <f t="shared" si="5"/>
        <v>269965.03219383</v>
      </c>
      <c r="G6" s="568">
        <f t="shared" si="5"/>
        <v>275364.33283770655</v>
      </c>
      <c r="H6" s="568">
        <f t="shared" si="5"/>
        <v>280871.6194944607</v>
      </c>
      <c r="I6" s="568">
        <f t="shared" si="5"/>
        <v>286489.0518843499</v>
      </c>
      <c r="J6" s="568">
        <f t="shared" si="5"/>
        <v>292218.83292203693</v>
      </c>
      <c r="K6" s="568">
        <f t="shared" si="5"/>
        <v>298063.20958047768</v>
      </c>
      <c r="L6" s="568">
        <f t="shared" si="5"/>
        <v>304024.47377208725</v>
      </c>
      <c r="M6" s="568">
        <f t="shared" si="5"/>
        <v>310104.963247529</v>
      </c>
      <c r="O6" s="1425" t="s">
        <v>648</v>
      </c>
    </row>
    <row r="7" spans="1:58" x14ac:dyDescent="0.25">
      <c r="B7" s="331"/>
      <c r="C7" s="331"/>
      <c r="D7" s="1279"/>
      <c r="O7" s="1425" t="s">
        <v>649</v>
      </c>
    </row>
    <row r="8" spans="1:58" x14ac:dyDescent="0.25">
      <c r="B8" s="1703" t="s">
        <v>642</v>
      </c>
      <c r="C8" s="1704">
        <f>D3-1</f>
        <v>2019</v>
      </c>
      <c r="D8" s="1420">
        <f>F56</f>
        <v>0</v>
      </c>
      <c r="O8" s="1425" t="s">
        <v>650</v>
      </c>
    </row>
    <row r="9" spans="1:58" x14ac:dyDescent="0.25">
      <c r="B9" s="1907" t="s">
        <v>643</v>
      </c>
      <c r="C9" s="1908"/>
      <c r="D9" s="1420">
        <f>I56</f>
        <v>0</v>
      </c>
      <c r="O9" s="1425" t="s">
        <v>651</v>
      </c>
    </row>
    <row r="10" spans="1:58" x14ac:dyDescent="0.25">
      <c r="B10" s="1891" t="s">
        <v>1083</v>
      </c>
      <c r="C10" s="1892"/>
      <c r="D10" s="1420">
        <f>-(COUNTA(E13:E24)+D8)+D9</f>
        <v>-2</v>
      </c>
      <c r="O10" s="1425" t="s">
        <v>652</v>
      </c>
    </row>
    <row r="11" spans="1:58" ht="12" x14ac:dyDescent="0.25">
      <c r="B11" s="1917" t="s">
        <v>551</v>
      </c>
      <c r="C11" s="1918"/>
      <c r="D11" s="1918"/>
      <c r="E11" s="1918"/>
      <c r="F11" s="1918"/>
      <c r="G11" s="1919"/>
      <c r="K11" s="796"/>
      <c r="L11" s="796"/>
      <c r="M11" s="796"/>
      <c r="O11" s="1425" t="s">
        <v>653</v>
      </c>
    </row>
    <row r="12" spans="1:58" x14ac:dyDescent="0.25">
      <c r="B12" s="494" t="s">
        <v>262</v>
      </c>
      <c r="C12" s="494" t="s">
        <v>263</v>
      </c>
      <c r="D12" s="495" t="s">
        <v>264</v>
      </c>
      <c r="E12" s="989" t="s">
        <v>265</v>
      </c>
      <c r="F12" s="989" t="s">
        <v>552</v>
      </c>
      <c r="G12" s="989" t="s">
        <v>266</v>
      </c>
      <c r="J12" s="495" t="s">
        <v>1197</v>
      </c>
      <c r="O12" s="1425" t="s">
        <v>654</v>
      </c>
    </row>
    <row r="13" spans="1:58" outlineLevel="1" x14ac:dyDescent="0.25">
      <c r="B13" s="496">
        <v>1</v>
      </c>
      <c r="C13" s="497" t="s">
        <v>647</v>
      </c>
      <c r="D13" s="498">
        <v>2021</v>
      </c>
      <c r="E13" s="498">
        <v>4</v>
      </c>
      <c r="F13" s="572">
        <v>1200</v>
      </c>
      <c r="G13" s="28">
        <f>(13-E13)*F13+(F13*1/6)*(13-E13)</f>
        <v>12600</v>
      </c>
      <c r="H13" s="28">
        <f>F13*14</f>
        <v>16800</v>
      </c>
      <c r="I13" s="493">
        <f>D3</f>
        <v>2020</v>
      </c>
      <c r="J13" s="496">
        <f>COUNTIF(D13:D24,D3)</f>
        <v>0</v>
      </c>
      <c r="K13" s="28">
        <f>SUMIF(D13:D24,D3,G13:G24)</f>
        <v>0</v>
      </c>
      <c r="L13" s="28">
        <f>SUMIF($D$13:$D$24,D3,$G$13:$G$24)</f>
        <v>0</v>
      </c>
      <c r="M13" s="28">
        <f>L13-K13</f>
        <v>0</v>
      </c>
      <c r="O13" s="1425" t="s">
        <v>655</v>
      </c>
    </row>
    <row r="14" spans="1:58" outlineLevel="1" x14ac:dyDescent="0.25">
      <c r="B14" s="496">
        <v>2</v>
      </c>
      <c r="C14" s="497" t="s">
        <v>647</v>
      </c>
      <c r="D14" s="498">
        <v>2021</v>
      </c>
      <c r="E14" s="498">
        <v>4</v>
      </c>
      <c r="F14" s="572">
        <v>1200</v>
      </c>
      <c r="G14" s="28">
        <f t="shared" ref="G14:G24" si="6">(13-E14)*F14+(F14*1/6)*(13-E14)</f>
        <v>12600</v>
      </c>
      <c r="H14" s="28">
        <f>F14*14</f>
        <v>16800</v>
      </c>
      <c r="I14" s="493">
        <f>I13+1</f>
        <v>2021</v>
      </c>
      <c r="J14" s="496">
        <f>COUNTIF(D13:D24,E3)</f>
        <v>2</v>
      </c>
      <c r="K14" s="28">
        <f>SUMIF(D13:D24,E3,G13:G24)</f>
        <v>25200</v>
      </c>
      <c r="L14" s="28">
        <f>SUMIF($D$13:$D$24,E3,$H$13:$H$24)</f>
        <v>33600</v>
      </c>
      <c r="M14" s="28">
        <f t="shared" ref="M14:M18" si="7">L14-K14</f>
        <v>8400</v>
      </c>
      <c r="O14" s="1425" t="s">
        <v>656</v>
      </c>
    </row>
    <row r="15" spans="1:58" outlineLevel="1" x14ac:dyDescent="0.25">
      <c r="B15" s="496">
        <v>3</v>
      </c>
      <c r="C15" s="497"/>
      <c r="D15" s="498"/>
      <c r="E15" s="498"/>
      <c r="F15" s="572"/>
      <c r="G15" s="28">
        <f t="shared" si="6"/>
        <v>0</v>
      </c>
      <c r="H15" s="28">
        <f t="shared" ref="H15:H24" si="8">F15*14</f>
        <v>0</v>
      </c>
      <c r="I15" s="493">
        <f>I14+1</f>
        <v>2022</v>
      </c>
      <c r="J15" s="496">
        <f>COUNTIF(D13:D24,F3)</f>
        <v>0</v>
      </c>
      <c r="K15" s="28">
        <f>SUMIF(D13:D24,F3,G13:G24)</f>
        <v>0</v>
      </c>
      <c r="L15" s="28">
        <f>SUMIF($D$13:$D$24,F3,$H$13:$H$24)</f>
        <v>0</v>
      </c>
      <c r="M15" s="28">
        <f t="shared" si="7"/>
        <v>0</v>
      </c>
      <c r="O15" s="1425" t="s">
        <v>657</v>
      </c>
    </row>
    <row r="16" spans="1:58" outlineLevel="1" x14ac:dyDescent="0.25">
      <c r="B16" s="496">
        <v>4</v>
      </c>
      <c r="C16" s="497"/>
      <c r="D16" s="498"/>
      <c r="E16" s="498"/>
      <c r="F16" s="572"/>
      <c r="G16" s="28">
        <f t="shared" si="6"/>
        <v>0</v>
      </c>
      <c r="H16" s="28">
        <f t="shared" si="8"/>
        <v>0</v>
      </c>
      <c r="I16" s="493">
        <f>I15+1</f>
        <v>2023</v>
      </c>
      <c r="J16" s="496">
        <f>COUNTIF(D13:D24,G3)</f>
        <v>0</v>
      </c>
      <c r="K16" s="28">
        <f>SUMIF(D13:D24,G3,G13:G24)</f>
        <v>0</v>
      </c>
      <c r="L16" s="28">
        <f>SUMIF($D$13:$D$24,G3,$H$13:$H$24)</f>
        <v>0</v>
      </c>
      <c r="M16" s="28">
        <f t="shared" si="7"/>
        <v>0</v>
      </c>
      <c r="O16" s="1425" t="s">
        <v>658</v>
      </c>
    </row>
    <row r="17" spans="2:15" outlineLevel="1" x14ac:dyDescent="0.25">
      <c r="B17" s="496">
        <v>5</v>
      </c>
      <c r="C17" s="497"/>
      <c r="D17" s="498"/>
      <c r="E17" s="498"/>
      <c r="F17" s="572"/>
      <c r="G17" s="28">
        <f t="shared" si="6"/>
        <v>0</v>
      </c>
      <c r="H17" s="28">
        <f t="shared" si="8"/>
        <v>0</v>
      </c>
      <c r="I17" s="493">
        <f>I16+1</f>
        <v>2024</v>
      </c>
      <c r="J17" s="496">
        <f>COUNTIF(D13:D24,H3)</f>
        <v>0</v>
      </c>
      <c r="K17" s="28">
        <f>SUMIF(D13:D24,H3,G13:G24)</f>
        <v>0</v>
      </c>
      <c r="L17" s="28">
        <f>SUMIF($D$13:$D$24,H3,$H$13:$H$24)</f>
        <v>0</v>
      </c>
      <c r="M17" s="28">
        <f t="shared" si="7"/>
        <v>0</v>
      </c>
    </row>
    <row r="18" spans="2:15" outlineLevel="1" x14ac:dyDescent="0.25">
      <c r="B18" s="496">
        <v>6</v>
      </c>
      <c r="C18" s="497"/>
      <c r="D18" s="498"/>
      <c r="E18" s="498"/>
      <c r="F18" s="572"/>
      <c r="G18" s="28">
        <f t="shared" si="6"/>
        <v>0</v>
      </c>
      <c r="H18" s="28">
        <f t="shared" si="8"/>
        <v>0</v>
      </c>
      <c r="I18" s="493">
        <f>I17+1</f>
        <v>2025</v>
      </c>
      <c r="J18" s="496">
        <f>COUNTIF(D13:D24,I3)</f>
        <v>0</v>
      </c>
      <c r="K18" s="28">
        <f>SUMIF(D13:D24,I3,G13:G24)</f>
        <v>0</v>
      </c>
      <c r="L18" s="28">
        <f>SUMIF($D$13:$D$24,I3,$H$13:$H$24)</f>
        <v>0</v>
      </c>
      <c r="M18" s="28">
        <f t="shared" si="7"/>
        <v>0</v>
      </c>
    </row>
    <row r="19" spans="2:15" outlineLevel="1" x14ac:dyDescent="0.25">
      <c r="B19" s="496">
        <v>7</v>
      </c>
      <c r="C19" s="497"/>
      <c r="D19" s="498"/>
      <c r="E19" s="498"/>
      <c r="F19" s="572"/>
      <c r="G19" s="28">
        <f t="shared" si="6"/>
        <v>0</v>
      </c>
      <c r="H19" s="28">
        <f t="shared" si="8"/>
        <v>0</v>
      </c>
      <c r="O19" s="75" t="s">
        <v>701</v>
      </c>
    </row>
    <row r="20" spans="2:15" outlineLevel="1" x14ac:dyDescent="0.25">
      <c r="B20" s="496">
        <v>8</v>
      </c>
      <c r="C20" s="497"/>
      <c r="D20" s="498"/>
      <c r="E20" s="498"/>
      <c r="F20" s="572"/>
      <c r="G20" s="28">
        <f t="shared" si="6"/>
        <v>0</v>
      </c>
      <c r="H20" s="28">
        <f t="shared" si="8"/>
        <v>0</v>
      </c>
      <c r="O20" s="75" t="s">
        <v>707</v>
      </c>
    </row>
    <row r="21" spans="2:15" outlineLevel="1" x14ac:dyDescent="0.25">
      <c r="B21" s="496">
        <v>9</v>
      </c>
      <c r="C21" s="497"/>
      <c r="D21" s="498"/>
      <c r="E21" s="498"/>
      <c r="F21" s="572"/>
      <c r="G21" s="28">
        <f t="shared" si="6"/>
        <v>0</v>
      </c>
      <c r="H21" s="28">
        <f t="shared" si="8"/>
        <v>0</v>
      </c>
      <c r="O21" s="75" t="s">
        <v>708</v>
      </c>
    </row>
    <row r="22" spans="2:15" outlineLevel="1" x14ac:dyDescent="0.25">
      <c r="B22" s="496">
        <v>10</v>
      </c>
      <c r="C22" s="497"/>
      <c r="D22" s="498"/>
      <c r="E22" s="498"/>
      <c r="F22" s="572"/>
      <c r="G22" s="28">
        <f t="shared" si="6"/>
        <v>0</v>
      </c>
      <c r="H22" s="28">
        <f t="shared" si="8"/>
        <v>0</v>
      </c>
      <c r="O22" s="75" t="s">
        <v>709</v>
      </c>
    </row>
    <row r="23" spans="2:15" outlineLevel="1" x14ac:dyDescent="0.25">
      <c r="B23" s="496">
        <v>11</v>
      </c>
      <c r="C23" s="497"/>
      <c r="D23" s="498"/>
      <c r="E23" s="498"/>
      <c r="F23" s="572"/>
      <c r="G23" s="28">
        <f t="shared" si="6"/>
        <v>0</v>
      </c>
      <c r="H23" s="28">
        <f t="shared" si="8"/>
        <v>0</v>
      </c>
      <c r="O23" s="75" t="s">
        <v>710</v>
      </c>
    </row>
    <row r="24" spans="2:15" outlineLevel="1" x14ac:dyDescent="0.25">
      <c r="B24" s="496">
        <v>12</v>
      </c>
      <c r="C24" s="497"/>
      <c r="D24" s="498"/>
      <c r="E24" s="571"/>
      <c r="F24" s="572"/>
      <c r="G24" s="28">
        <f t="shared" si="6"/>
        <v>0</v>
      </c>
      <c r="H24" s="28">
        <f t="shared" si="8"/>
        <v>0</v>
      </c>
      <c r="J24" s="14"/>
      <c r="K24" s="1757"/>
      <c r="O24" s="75" t="s">
        <v>711</v>
      </c>
    </row>
    <row r="25" spans="2:15" x14ac:dyDescent="0.25">
      <c r="J25" s="14"/>
      <c r="O25" s="75" t="s">
        <v>712</v>
      </c>
    </row>
    <row r="26" spans="2:15" ht="12" thickBot="1" x14ac:dyDescent="0.3">
      <c r="J26" s="14"/>
      <c r="K26" s="1757"/>
      <c r="O26" s="75" t="s">
        <v>713</v>
      </c>
    </row>
    <row r="27" spans="2:15" x14ac:dyDescent="0.25">
      <c r="B27" s="1913" t="s">
        <v>702</v>
      </c>
      <c r="C27" s="1915" t="s">
        <v>703</v>
      </c>
      <c r="D27" s="1909" t="s">
        <v>696</v>
      </c>
      <c r="E27" s="1910"/>
      <c r="F27" s="1911"/>
      <c r="G27" s="1909" t="s">
        <v>700</v>
      </c>
      <c r="H27" s="1910"/>
      <c r="I27" s="1912"/>
      <c r="J27" s="14"/>
    </row>
    <row r="28" spans="2:15" ht="12" thickBot="1" x14ac:dyDescent="0.3">
      <c r="B28" s="1914"/>
      <c r="C28" s="1916"/>
      <c r="D28" s="1730" t="s">
        <v>704</v>
      </c>
      <c r="E28" s="1730" t="s">
        <v>705</v>
      </c>
      <c r="F28" s="1730" t="s">
        <v>266</v>
      </c>
      <c r="G28" s="1730" t="s">
        <v>704</v>
      </c>
      <c r="H28" s="1730" t="s">
        <v>706</v>
      </c>
      <c r="I28" s="1731" t="s">
        <v>266</v>
      </c>
      <c r="J28" s="14"/>
    </row>
    <row r="29" spans="2:15" outlineLevel="1" x14ac:dyDescent="0.25">
      <c r="B29" s="1690"/>
      <c r="C29" s="1690"/>
      <c r="D29" s="1705"/>
      <c r="E29" s="1691"/>
      <c r="F29" s="1692">
        <f>D29+E29</f>
        <v>0</v>
      </c>
      <c r="G29" s="1691"/>
      <c r="H29" s="1691"/>
      <c r="I29" s="1692">
        <f>G29+H29</f>
        <v>0</v>
      </c>
      <c r="J29" s="14"/>
    </row>
    <row r="30" spans="2:15" outlineLevel="1" x14ac:dyDescent="0.25">
      <c r="B30" s="1690"/>
      <c r="C30" s="1683"/>
      <c r="D30" s="1684"/>
      <c r="E30" s="1684"/>
      <c r="F30" s="1692">
        <f t="shared" ref="F30:F55" si="9">D30+E30</f>
        <v>0</v>
      </c>
      <c r="G30" s="1684"/>
      <c r="H30" s="1684"/>
      <c r="I30" s="1692">
        <f t="shared" ref="I30:I55" si="10">G30+H30</f>
        <v>0</v>
      </c>
      <c r="J30" s="14"/>
    </row>
    <row r="31" spans="2:15" outlineLevel="1" x14ac:dyDescent="0.25">
      <c r="B31" s="1690"/>
      <c r="C31" s="1683"/>
      <c r="D31" s="1684"/>
      <c r="E31" s="1684"/>
      <c r="F31" s="1692">
        <f t="shared" si="9"/>
        <v>0</v>
      </c>
      <c r="G31" s="1684"/>
      <c r="H31" s="1684"/>
      <c r="I31" s="1692">
        <f t="shared" si="10"/>
        <v>0</v>
      </c>
      <c r="J31" s="14"/>
    </row>
    <row r="32" spans="2:15" outlineLevel="1" x14ac:dyDescent="0.25">
      <c r="B32" s="1690"/>
      <c r="C32" s="1683"/>
      <c r="D32" s="1684"/>
      <c r="E32" s="1684"/>
      <c r="F32" s="1692">
        <f t="shared" si="9"/>
        <v>0</v>
      </c>
      <c r="G32" s="1684"/>
      <c r="H32" s="1684"/>
      <c r="I32" s="1692">
        <f t="shared" si="10"/>
        <v>0</v>
      </c>
      <c r="J32" s="14"/>
    </row>
    <row r="33" spans="2:10" outlineLevel="1" x14ac:dyDescent="0.25">
      <c r="B33" s="1690"/>
      <c r="C33" s="1683"/>
      <c r="D33" s="1684"/>
      <c r="E33" s="1684"/>
      <c r="F33" s="1692">
        <f t="shared" si="9"/>
        <v>0</v>
      </c>
      <c r="G33" s="1684"/>
      <c r="H33" s="1684"/>
      <c r="I33" s="1692">
        <f t="shared" si="10"/>
        <v>0</v>
      </c>
      <c r="J33" s="14"/>
    </row>
    <row r="34" spans="2:10" outlineLevel="1" x14ac:dyDescent="0.25">
      <c r="B34" s="1690"/>
      <c r="C34" s="1683"/>
      <c r="D34" s="1684"/>
      <c r="E34" s="1684"/>
      <c r="F34" s="1692">
        <f t="shared" si="9"/>
        <v>0</v>
      </c>
      <c r="G34" s="1684"/>
      <c r="H34" s="1684"/>
      <c r="I34" s="1692">
        <f t="shared" si="10"/>
        <v>0</v>
      </c>
      <c r="J34" s="14"/>
    </row>
    <row r="35" spans="2:10" outlineLevel="1" x14ac:dyDescent="0.25">
      <c r="B35" s="1690"/>
      <c r="C35" s="1683"/>
      <c r="D35" s="1684"/>
      <c r="E35" s="1684"/>
      <c r="F35" s="1692">
        <f t="shared" si="9"/>
        <v>0</v>
      </c>
      <c r="G35" s="1684"/>
      <c r="H35" s="1684"/>
      <c r="I35" s="1692">
        <f t="shared" si="10"/>
        <v>0</v>
      </c>
      <c r="J35" s="14"/>
    </row>
    <row r="36" spans="2:10" outlineLevel="1" x14ac:dyDescent="0.25">
      <c r="B36" s="1690"/>
      <c r="C36" s="1685"/>
      <c r="D36" s="1684"/>
      <c r="E36" s="1684"/>
      <c r="F36" s="1692">
        <f t="shared" si="9"/>
        <v>0</v>
      </c>
      <c r="G36" s="1684"/>
      <c r="H36" s="1684"/>
      <c r="I36" s="1692">
        <f t="shared" si="10"/>
        <v>0</v>
      </c>
      <c r="J36" s="14"/>
    </row>
    <row r="37" spans="2:10" outlineLevel="1" x14ac:dyDescent="0.25">
      <c r="B37" s="1690"/>
      <c r="C37" s="1683"/>
      <c r="D37" s="1684"/>
      <c r="E37" s="1684"/>
      <c r="F37" s="1692">
        <f t="shared" si="9"/>
        <v>0</v>
      </c>
      <c r="G37" s="1684"/>
      <c r="H37" s="1684"/>
      <c r="I37" s="1692">
        <f t="shared" si="10"/>
        <v>0</v>
      </c>
      <c r="J37" s="14"/>
    </row>
    <row r="38" spans="2:10" outlineLevel="1" x14ac:dyDescent="0.25">
      <c r="B38" s="1690"/>
      <c r="C38" s="1683"/>
      <c r="D38" s="1684"/>
      <c r="E38" s="1684"/>
      <c r="F38" s="1692">
        <f t="shared" si="9"/>
        <v>0</v>
      </c>
      <c r="G38" s="1684"/>
      <c r="H38" s="1684"/>
      <c r="I38" s="1692">
        <f t="shared" si="10"/>
        <v>0</v>
      </c>
      <c r="J38" s="14"/>
    </row>
    <row r="39" spans="2:10" outlineLevel="1" x14ac:dyDescent="0.25">
      <c r="B39" s="1690"/>
      <c r="C39" s="1683"/>
      <c r="D39" s="1684"/>
      <c r="E39" s="1684"/>
      <c r="F39" s="1692">
        <f t="shared" si="9"/>
        <v>0</v>
      </c>
      <c r="G39" s="1684"/>
      <c r="H39" s="1684"/>
      <c r="I39" s="1692">
        <f t="shared" si="10"/>
        <v>0</v>
      </c>
      <c r="J39" s="14"/>
    </row>
    <row r="40" spans="2:10" outlineLevel="1" x14ac:dyDescent="0.25">
      <c r="B40" s="1690"/>
      <c r="C40" s="1683"/>
      <c r="D40" s="1684"/>
      <c r="E40" s="1684"/>
      <c r="F40" s="1692">
        <f t="shared" si="9"/>
        <v>0</v>
      </c>
      <c r="G40" s="1684"/>
      <c r="H40" s="1684"/>
      <c r="I40" s="1692">
        <f t="shared" si="10"/>
        <v>0</v>
      </c>
      <c r="J40" s="14"/>
    </row>
    <row r="41" spans="2:10" outlineLevel="1" x14ac:dyDescent="0.25">
      <c r="B41" s="1690"/>
      <c r="C41" s="1683"/>
      <c r="D41" s="1684"/>
      <c r="E41" s="1684"/>
      <c r="F41" s="1692">
        <f t="shared" si="9"/>
        <v>0</v>
      </c>
      <c r="G41" s="1684"/>
      <c r="H41" s="1684"/>
      <c r="I41" s="1692">
        <f t="shared" si="10"/>
        <v>0</v>
      </c>
      <c r="J41" s="14"/>
    </row>
    <row r="42" spans="2:10" outlineLevel="1" x14ac:dyDescent="0.25">
      <c r="B42" s="1690"/>
      <c r="C42" s="1683"/>
      <c r="D42" s="1684"/>
      <c r="E42" s="1684"/>
      <c r="F42" s="1692">
        <f t="shared" si="9"/>
        <v>0</v>
      </c>
      <c r="G42" s="1684"/>
      <c r="H42" s="1684"/>
      <c r="I42" s="1692">
        <f t="shared" si="10"/>
        <v>0</v>
      </c>
      <c r="J42" s="14"/>
    </row>
    <row r="43" spans="2:10" outlineLevel="1" x14ac:dyDescent="0.25">
      <c r="B43" s="1690"/>
      <c r="C43" s="1683"/>
      <c r="D43" s="1684"/>
      <c r="E43" s="1684"/>
      <c r="F43" s="1692">
        <f t="shared" si="9"/>
        <v>0</v>
      </c>
      <c r="G43" s="1684"/>
      <c r="H43" s="1684"/>
      <c r="I43" s="1692">
        <f t="shared" si="10"/>
        <v>0</v>
      </c>
      <c r="J43" s="14"/>
    </row>
    <row r="44" spans="2:10" outlineLevel="1" x14ac:dyDescent="0.25">
      <c r="B44" s="1690"/>
      <c r="C44" s="1683"/>
      <c r="D44" s="1684"/>
      <c r="E44" s="1684"/>
      <c r="F44" s="1692">
        <f t="shared" si="9"/>
        <v>0</v>
      </c>
      <c r="G44" s="1684"/>
      <c r="H44" s="1684"/>
      <c r="I44" s="1692">
        <f t="shared" si="10"/>
        <v>0</v>
      </c>
      <c r="J44" s="14"/>
    </row>
    <row r="45" spans="2:10" outlineLevel="1" x14ac:dyDescent="0.25">
      <c r="B45" s="1690"/>
      <c r="C45" s="1683"/>
      <c r="D45" s="1684"/>
      <c r="E45" s="1684"/>
      <c r="F45" s="1692">
        <f t="shared" si="9"/>
        <v>0</v>
      </c>
      <c r="G45" s="1684"/>
      <c r="H45" s="1684"/>
      <c r="I45" s="1692">
        <f t="shared" si="10"/>
        <v>0</v>
      </c>
      <c r="J45" s="14"/>
    </row>
    <row r="46" spans="2:10" outlineLevel="1" x14ac:dyDescent="0.25">
      <c r="B46" s="1690"/>
      <c r="C46" s="1683"/>
      <c r="D46" s="1684"/>
      <c r="E46" s="1684"/>
      <c r="F46" s="1692">
        <f t="shared" si="9"/>
        <v>0</v>
      </c>
      <c r="G46" s="1684"/>
      <c r="H46" s="1684"/>
      <c r="I46" s="1692">
        <f t="shared" si="10"/>
        <v>0</v>
      </c>
      <c r="J46" s="14"/>
    </row>
    <row r="47" spans="2:10" outlineLevel="1" x14ac:dyDescent="0.25">
      <c r="B47" s="1690"/>
      <c r="C47" s="1686"/>
      <c r="D47" s="1687"/>
      <c r="E47" s="1687"/>
      <c r="F47" s="1692">
        <f t="shared" si="9"/>
        <v>0</v>
      </c>
      <c r="G47" s="1687"/>
      <c r="H47" s="1687"/>
      <c r="I47" s="1692">
        <f t="shared" si="10"/>
        <v>0</v>
      </c>
      <c r="J47" s="14"/>
    </row>
    <row r="48" spans="2:10" outlineLevel="1" x14ac:dyDescent="0.25">
      <c r="B48" s="1690"/>
      <c r="C48" s="1686"/>
      <c r="D48" s="1687"/>
      <c r="E48" s="1687"/>
      <c r="F48" s="1692">
        <f t="shared" si="9"/>
        <v>0</v>
      </c>
      <c r="G48" s="1687"/>
      <c r="H48" s="1687"/>
      <c r="I48" s="1692">
        <f t="shared" si="10"/>
        <v>0</v>
      </c>
      <c r="J48" s="14"/>
    </row>
    <row r="49" spans="2:10" outlineLevel="1" x14ac:dyDescent="0.25">
      <c r="B49" s="1690"/>
      <c r="C49" s="1686"/>
      <c r="D49" s="1687"/>
      <c r="E49" s="1687"/>
      <c r="F49" s="1692">
        <f t="shared" si="9"/>
        <v>0</v>
      </c>
      <c r="G49" s="1687"/>
      <c r="H49" s="1687"/>
      <c r="I49" s="1692">
        <f t="shared" si="10"/>
        <v>0</v>
      </c>
      <c r="J49" s="14"/>
    </row>
    <row r="50" spans="2:10" outlineLevel="1" x14ac:dyDescent="0.25">
      <c r="B50" s="1690"/>
      <c r="C50" s="1686"/>
      <c r="D50" s="1687"/>
      <c r="E50" s="1687"/>
      <c r="F50" s="1692">
        <f t="shared" si="9"/>
        <v>0</v>
      </c>
      <c r="G50" s="1687"/>
      <c r="H50" s="1687"/>
      <c r="I50" s="1692">
        <f t="shared" si="10"/>
        <v>0</v>
      </c>
      <c r="J50" s="14"/>
    </row>
    <row r="51" spans="2:10" outlineLevel="1" x14ac:dyDescent="0.25">
      <c r="B51" s="1690"/>
      <c r="C51" s="1686"/>
      <c r="D51" s="1687"/>
      <c r="E51" s="1687"/>
      <c r="F51" s="1692">
        <f t="shared" si="9"/>
        <v>0</v>
      </c>
      <c r="G51" s="1687"/>
      <c r="H51" s="1687"/>
      <c r="I51" s="1692">
        <f t="shared" si="10"/>
        <v>0</v>
      </c>
      <c r="J51" s="14"/>
    </row>
    <row r="52" spans="2:10" outlineLevel="1" x14ac:dyDescent="0.25">
      <c r="B52" s="1690"/>
      <c r="C52" s="1686"/>
      <c r="D52" s="1687"/>
      <c r="E52" s="1687"/>
      <c r="F52" s="1692">
        <f t="shared" si="9"/>
        <v>0</v>
      </c>
      <c r="G52" s="1687"/>
      <c r="H52" s="1687"/>
      <c r="I52" s="1692">
        <f t="shared" si="10"/>
        <v>0</v>
      </c>
      <c r="J52" s="14"/>
    </row>
    <row r="53" spans="2:10" outlineLevel="1" x14ac:dyDescent="0.25">
      <c r="B53" s="1690"/>
      <c r="C53" s="1686"/>
      <c r="D53" s="1687"/>
      <c r="E53" s="1687"/>
      <c r="F53" s="1692">
        <f t="shared" si="9"/>
        <v>0</v>
      </c>
      <c r="G53" s="1687"/>
      <c r="H53" s="1687"/>
      <c r="I53" s="1692">
        <f t="shared" si="10"/>
        <v>0</v>
      </c>
      <c r="J53" s="14"/>
    </row>
    <row r="54" spans="2:10" outlineLevel="1" x14ac:dyDescent="0.25">
      <c r="B54" s="1690"/>
      <c r="C54" s="1686"/>
      <c r="D54" s="1687"/>
      <c r="E54" s="1687"/>
      <c r="F54" s="1692">
        <f t="shared" si="9"/>
        <v>0</v>
      </c>
      <c r="G54" s="1687"/>
      <c r="H54" s="1687"/>
      <c r="I54" s="1692">
        <f t="shared" si="10"/>
        <v>0</v>
      </c>
      <c r="J54" s="14"/>
    </row>
    <row r="55" spans="2:10" ht="12" outlineLevel="1" thickBot="1" x14ac:dyDescent="0.3">
      <c r="B55" s="1690"/>
      <c r="C55" s="1688"/>
      <c r="D55" s="1689"/>
      <c r="E55" s="1689"/>
      <c r="F55" s="1693">
        <f t="shared" si="9"/>
        <v>0</v>
      </c>
      <c r="G55" s="1689"/>
      <c r="H55" s="1689"/>
      <c r="I55" s="1693">
        <f t="shared" si="10"/>
        <v>0</v>
      </c>
      <c r="J55" s="14"/>
    </row>
    <row r="56" spans="2:10" ht="12" thickBot="1" x14ac:dyDescent="0.3">
      <c r="F56" s="1694">
        <f>SUM(F29:F55)</f>
        <v>0</v>
      </c>
      <c r="I56" s="1694">
        <f>SUM(I29:I55)</f>
        <v>0</v>
      </c>
      <c r="J56" s="14"/>
    </row>
    <row r="57" spans="2:10" x14ac:dyDescent="0.25">
      <c r="J57" s="14"/>
    </row>
    <row r="58" spans="2:10" ht="11.25" customHeight="1" x14ac:dyDescent="0.25">
      <c r="B58" s="1893" t="s">
        <v>1104</v>
      </c>
      <c r="C58" s="1894"/>
      <c r="D58" s="1894"/>
      <c r="E58" s="1894"/>
      <c r="F58" s="1894"/>
      <c r="G58" s="1894"/>
      <c r="H58" s="1894"/>
      <c r="I58" s="1894"/>
      <c r="J58" s="1895"/>
    </row>
    <row r="59" spans="2:10" ht="11.25" customHeight="1" x14ac:dyDescent="0.25">
      <c r="B59" s="1896"/>
      <c r="C59" s="1897"/>
      <c r="D59" s="1897"/>
      <c r="E59" s="1897"/>
      <c r="F59" s="1897"/>
      <c r="G59" s="1897"/>
      <c r="H59" s="1897"/>
      <c r="I59" s="1897"/>
      <c r="J59" s="1898"/>
    </row>
    <row r="60" spans="2:10" x14ac:dyDescent="0.25">
      <c r="B60" s="1732" t="s">
        <v>138</v>
      </c>
      <c r="C60" s="1732" t="s">
        <v>702</v>
      </c>
      <c r="D60" s="1732" t="s">
        <v>1085</v>
      </c>
      <c r="E60" s="1732" t="s">
        <v>1086</v>
      </c>
      <c r="F60" s="1732" t="s">
        <v>1087</v>
      </c>
      <c r="G60" s="1732" t="s">
        <v>1088</v>
      </c>
      <c r="H60" s="1732" t="s">
        <v>666</v>
      </c>
      <c r="I60" s="1732" t="s">
        <v>1089</v>
      </c>
      <c r="J60" s="1732" t="s">
        <v>1103</v>
      </c>
    </row>
    <row r="61" spans="2:10" x14ac:dyDescent="0.2">
      <c r="B61" s="1733" t="s">
        <v>248</v>
      </c>
      <c r="C61" s="1734"/>
      <c r="D61" s="1734"/>
      <c r="E61" s="1734"/>
      <c r="F61" s="1735"/>
      <c r="G61" s="1734"/>
      <c r="H61" s="1734"/>
      <c r="I61" s="1736"/>
      <c r="J61" s="1737"/>
    </row>
    <row r="62" spans="2:10" x14ac:dyDescent="0.2">
      <c r="B62" s="1733" t="s">
        <v>1090</v>
      </c>
      <c r="C62" s="1734"/>
      <c r="D62" s="1734"/>
      <c r="E62" s="1734"/>
      <c r="F62" s="1735"/>
      <c r="G62" s="1734"/>
      <c r="H62" s="1734"/>
      <c r="I62" s="1736"/>
      <c r="J62" s="1737"/>
    </row>
    <row r="63" spans="2:10" x14ac:dyDescent="0.2">
      <c r="B63" s="1733" t="s">
        <v>1091</v>
      </c>
      <c r="C63" s="1734"/>
      <c r="D63" s="1734"/>
      <c r="E63" s="1734"/>
      <c r="F63" s="1735"/>
      <c r="G63" s="1734"/>
      <c r="H63" s="1734"/>
      <c r="I63" s="1736"/>
      <c r="J63" s="1737"/>
    </row>
    <row r="64" spans="2:10" x14ac:dyDescent="0.2">
      <c r="B64" s="1733" t="s">
        <v>1092</v>
      </c>
      <c r="C64" s="1734"/>
      <c r="D64" s="1734"/>
      <c r="E64" s="1734"/>
      <c r="F64" s="1735"/>
      <c r="G64" s="1734"/>
      <c r="H64" s="1734"/>
      <c r="I64" s="1736"/>
      <c r="J64" s="1737"/>
    </row>
    <row r="65" spans="2:10" x14ac:dyDescent="0.2">
      <c r="B65" s="1733" t="s">
        <v>1093</v>
      </c>
      <c r="C65" s="1734"/>
      <c r="D65" s="1734"/>
      <c r="E65" s="1734"/>
      <c r="F65" s="1735"/>
      <c r="G65" s="1734"/>
      <c r="H65" s="1734"/>
      <c r="I65" s="1736"/>
      <c r="J65" s="1737"/>
    </row>
    <row r="66" spans="2:10" x14ac:dyDescent="0.2">
      <c r="B66" s="1733" t="s">
        <v>1094</v>
      </c>
      <c r="C66" s="1734"/>
      <c r="D66" s="1734"/>
      <c r="E66" s="1734"/>
      <c r="F66" s="1735"/>
      <c r="G66" s="1734"/>
      <c r="H66" s="1734"/>
      <c r="I66" s="1736"/>
      <c r="J66" s="1734"/>
    </row>
    <row r="67" spans="2:10" x14ac:dyDescent="0.2">
      <c r="B67" s="1733" t="s">
        <v>1095</v>
      </c>
      <c r="C67" s="1734"/>
      <c r="D67" s="1734"/>
      <c r="E67" s="1734"/>
      <c r="F67" s="1735"/>
      <c r="G67" s="1734"/>
      <c r="H67" s="1734"/>
      <c r="I67" s="1736"/>
      <c r="J67" s="1734"/>
    </row>
    <row r="68" spans="2:10" x14ac:dyDescent="0.2">
      <c r="B68" s="1733" t="s">
        <v>1096</v>
      </c>
      <c r="C68" s="1734"/>
      <c r="D68" s="1734"/>
      <c r="E68" s="1734"/>
      <c r="F68" s="1735"/>
      <c r="G68" s="1734"/>
      <c r="H68" s="1734"/>
      <c r="I68" s="1736"/>
      <c r="J68" s="1734"/>
    </row>
    <row r="69" spans="2:10" x14ac:dyDescent="0.2">
      <c r="B69" s="1733" t="s">
        <v>1097</v>
      </c>
      <c r="C69" s="1734"/>
      <c r="D69" s="1734"/>
      <c r="E69" s="1734"/>
      <c r="F69" s="1735"/>
      <c r="G69" s="1734"/>
      <c r="H69" s="1734"/>
      <c r="I69" s="1736"/>
      <c r="J69" s="1734"/>
    </row>
    <row r="70" spans="2:10" x14ac:dyDescent="0.2">
      <c r="B70" s="1733" t="s">
        <v>1098</v>
      </c>
      <c r="C70" s="1734"/>
      <c r="D70" s="1734"/>
      <c r="E70" s="1734"/>
      <c r="F70" s="1735"/>
      <c r="G70" s="1734"/>
      <c r="H70" s="1734"/>
      <c r="I70" s="1736"/>
      <c r="J70" s="1734"/>
    </row>
    <row r="71" spans="2:10" x14ac:dyDescent="0.2">
      <c r="B71" s="1733" t="s">
        <v>1099</v>
      </c>
      <c r="C71" s="1734"/>
      <c r="D71" s="1734"/>
      <c r="E71" s="1734"/>
      <c r="F71" s="1735"/>
      <c r="G71" s="1734"/>
      <c r="H71" s="1734"/>
      <c r="I71" s="1736"/>
      <c r="J71" s="1734"/>
    </row>
    <row r="72" spans="2:10" x14ac:dyDescent="0.2">
      <c r="B72" s="1733" t="s">
        <v>1100</v>
      </c>
      <c r="C72" s="1734"/>
      <c r="D72" s="1734"/>
      <c r="E72" s="1734"/>
      <c r="F72" s="1735"/>
      <c r="G72" s="1734"/>
      <c r="H72" s="1734"/>
      <c r="I72" s="1736"/>
      <c r="J72" s="1734"/>
    </row>
    <row r="73" spans="2:10" x14ac:dyDescent="0.2">
      <c r="B73" s="1733" t="s">
        <v>1101</v>
      </c>
      <c r="C73" s="1734"/>
      <c r="D73" s="1734"/>
      <c r="E73" s="1734"/>
      <c r="F73" s="1735"/>
      <c r="G73" s="1734"/>
      <c r="H73" s="1734"/>
      <c r="I73" s="1736"/>
      <c r="J73" s="1734"/>
    </row>
    <row r="74" spans="2:10" x14ac:dyDescent="0.2">
      <c r="B74" s="1733" t="s">
        <v>1102</v>
      </c>
      <c r="C74" s="1734"/>
      <c r="D74" s="1734"/>
      <c r="E74" s="1734"/>
      <c r="F74" s="1735"/>
      <c r="G74" s="1734"/>
      <c r="H74" s="1734"/>
      <c r="I74" s="1736"/>
      <c r="J74" s="1734"/>
    </row>
  </sheetData>
  <mergeCells count="12">
    <mergeCell ref="B10:C10"/>
    <mergeCell ref="B58:J59"/>
    <mergeCell ref="B3:C3"/>
    <mergeCell ref="B4:C4"/>
    <mergeCell ref="B5:C5"/>
    <mergeCell ref="B6:C6"/>
    <mergeCell ref="B9:C9"/>
    <mergeCell ref="D27:F27"/>
    <mergeCell ref="G27:I27"/>
    <mergeCell ref="B27:B28"/>
    <mergeCell ref="C27:C28"/>
    <mergeCell ref="B11:G11"/>
  </mergeCells>
  <dataValidations count="3">
    <dataValidation type="list" allowBlank="1" showInputMessage="1" showErrorMessage="1" sqref="C13:C24">
      <formula1>$O$1:$O$16</formula1>
    </dataValidation>
    <dataValidation type="list" allowBlank="1" showInputMessage="1" showErrorMessage="1" sqref="C61:C74 B29:B55">
      <formula1>$O$2:$O$16</formula1>
    </dataValidation>
    <dataValidation type="list" allowBlank="1" showInputMessage="1" showErrorMessage="1" sqref="E61:E74 C29:C55">
      <formula1>$O$19:$O$26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lha8">
    <tabColor theme="9"/>
  </sheetPr>
  <dimension ref="A1:M375"/>
  <sheetViews>
    <sheetView topLeftCell="A71" zoomScaleNormal="100" workbookViewId="0">
      <selection activeCell="E99" sqref="E99"/>
    </sheetView>
  </sheetViews>
  <sheetFormatPr defaultColWidth="9.140625" defaultRowHeight="15" outlineLevelRow="1" x14ac:dyDescent="0.25"/>
  <cols>
    <col min="1" max="1" width="2.140625" style="181" customWidth="1"/>
    <col min="2" max="2" width="3.5703125" style="181" bestFit="1" customWidth="1"/>
    <col min="3" max="3" width="65" style="181" customWidth="1"/>
    <col min="4" max="4" width="19" style="181" customWidth="1"/>
    <col min="5" max="5" width="19.5703125" style="181" customWidth="1"/>
    <col min="6" max="6" width="19.85546875" style="181" customWidth="1"/>
    <col min="7" max="7" width="18.140625" style="181" customWidth="1"/>
    <col min="8" max="8" width="16.42578125" style="181" bestFit="1" customWidth="1"/>
    <col min="9" max="9" width="16.5703125" style="181" customWidth="1"/>
    <col min="10" max="10" width="14.85546875" style="181" customWidth="1"/>
    <col min="11" max="11" width="22.7109375" style="181" customWidth="1"/>
    <col min="12" max="12" width="12.7109375" style="181" customWidth="1"/>
    <col min="13" max="16384" width="9.140625" style="181"/>
  </cols>
  <sheetData>
    <row r="1" spans="1:13" ht="4.5" customHeight="1" x14ac:dyDescent="0.25">
      <c r="A1" s="131"/>
      <c r="B1" s="131"/>
      <c r="C1" s="131"/>
      <c r="D1" s="131"/>
      <c r="E1" s="131"/>
      <c r="F1" s="131"/>
      <c r="G1" s="132"/>
      <c r="H1" s="131"/>
      <c r="I1" s="133"/>
      <c r="J1" s="133"/>
      <c r="K1" s="131"/>
      <c r="L1" s="132"/>
      <c r="M1" s="182"/>
    </row>
    <row r="2" spans="1:13" x14ac:dyDescent="0.25">
      <c r="A2" s="131"/>
      <c r="B2" s="1926" t="s">
        <v>136</v>
      </c>
      <c r="C2" s="1926"/>
      <c r="D2" s="1926"/>
      <c r="E2" s="1926"/>
      <c r="F2" s="1926"/>
      <c r="G2" s="134"/>
      <c r="H2" s="131"/>
      <c r="I2" s="133"/>
      <c r="J2" s="133"/>
      <c r="K2" s="131"/>
      <c r="L2" s="132"/>
      <c r="M2" s="182"/>
    </row>
    <row r="3" spans="1:13" x14ac:dyDescent="0.25">
      <c r="A3" s="131"/>
      <c r="B3" s="135"/>
      <c r="C3" s="135"/>
      <c r="D3" s="135"/>
      <c r="E3" s="135"/>
      <c r="F3" s="136" t="s">
        <v>137</v>
      </c>
      <c r="G3" s="137"/>
      <c r="H3" s="131"/>
      <c r="I3" s="133"/>
      <c r="J3" s="133"/>
      <c r="K3" s="131"/>
      <c r="L3" s="132"/>
      <c r="M3" s="182"/>
    </row>
    <row r="4" spans="1:13" x14ac:dyDescent="0.25">
      <c r="A4" s="131"/>
      <c r="B4" s="199" t="s">
        <v>138</v>
      </c>
      <c r="C4" s="199" t="s">
        <v>139</v>
      </c>
      <c r="D4" s="199" t="s">
        <v>140</v>
      </c>
      <c r="E4" s="199" t="s">
        <v>141</v>
      </c>
      <c r="F4" s="199" t="s">
        <v>159</v>
      </c>
      <c r="G4" s="138"/>
      <c r="H4" s="131"/>
      <c r="I4" s="139"/>
      <c r="J4" s="139"/>
      <c r="K4" s="131"/>
      <c r="L4" s="132"/>
      <c r="M4" s="182"/>
    </row>
    <row r="5" spans="1:13" s="1758" customFormat="1" x14ac:dyDescent="0.25">
      <c r="A5" s="181"/>
      <c r="B5" s="182"/>
      <c r="C5" s="182"/>
      <c r="D5" s="182"/>
      <c r="E5" s="182"/>
      <c r="F5" s="182"/>
      <c r="G5" s="1667"/>
      <c r="H5" s="1667"/>
      <c r="I5" s="1667"/>
      <c r="J5" s="1667"/>
      <c r="K5" s="1667"/>
      <c r="L5" s="1667"/>
      <c r="M5" s="1667"/>
    </row>
    <row r="6" spans="1:13" x14ac:dyDescent="0.25">
      <c r="A6" s="131"/>
      <c r="B6" s="199" t="s">
        <v>138</v>
      </c>
      <c r="C6" s="140" t="s">
        <v>142</v>
      </c>
      <c r="D6" s="199" t="s">
        <v>140</v>
      </c>
      <c r="E6" s="199" t="s">
        <v>141</v>
      </c>
      <c r="F6" s="199" t="s">
        <v>159</v>
      </c>
      <c r="G6" s="141"/>
      <c r="H6" s="180"/>
      <c r="I6" s="133"/>
      <c r="J6" s="133"/>
      <c r="K6" s="131"/>
      <c r="L6" s="132"/>
      <c r="M6" s="182"/>
    </row>
    <row r="7" spans="1:13" hidden="1" outlineLevel="1" x14ac:dyDescent="0.25">
      <c r="A7" s="131"/>
      <c r="B7" s="1551">
        <v>1</v>
      </c>
      <c r="C7" s="187"/>
      <c r="D7" s="188"/>
      <c r="E7" s="208"/>
      <c r="F7" s="1554">
        <f>YEAR(D7)</f>
        <v>1900</v>
      </c>
      <c r="G7" s="142"/>
      <c r="H7" s="149"/>
      <c r="I7" s="133"/>
      <c r="J7" s="133"/>
      <c r="K7" s="131"/>
      <c r="L7" s="132"/>
      <c r="M7" s="182"/>
    </row>
    <row r="8" spans="1:13" hidden="1" outlineLevel="1" x14ac:dyDescent="0.25">
      <c r="A8" s="131"/>
      <c r="B8" s="1552">
        <v>2</v>
      </c>
      <c r="C8" s="189"/>
      <c r="D8" s="190"/>
      <c r="E8" s="209"/>
      <c r="F8" s="1555">
        <f t="shared" ref="F8:F22" si="0">YEAR(D8)</f>
        <v>1900</v>
      </c>
      <c r="G8" s="142"/>
      <c r="H8" s="149"/>
      <c r="I8" s="133"/>
      <c r="J8" s="133"/>
      <c r="K8" s="131"/>
      <c r="L8" s="132"/>
      <c r="M8" s="182"/>
    </row>
    <row r="9" spans="1:13" hidden="1" outlineLevel="1" x14ac:dyDescent="0.25">
      <c r="A9" s="131"/>
      <c r="B9" s="1552">
        <v>3</v>
      </c>
      <c r="C9" s="189"/>
      <c r="D9" s="190"/>
      <c r="E9" s="209"/>
      <c r="F9" s="1555">
        <f t="shared" si="0"/>
        <v>1900</v>
      </c>
      <c r="G9" s="142"/>
      <c r="H9" s="149"/>
      <c r="I9" s="133"/>
      <c r="J9" s="133"/>
      <c r="K9" s="131"/>
      <c r="L9" s="132"/>
      <c r="M9" s="182"/>
    </row>
    <row r="10" spans="1:13" hidden="1" outlineLevel="1" x14ac:dyDescent="0.25">
      <c r="A10" s="131"/>
      <c r="B10" s="1552">
        <v>4</v>
      </c>
      <c r="C10" s="189"/>
      <c r="D10" s="190"/>
      <c r="E10" s="209"/>
      <c r="F10" s="1555">
        <f t="shared" si="0"/>
        <v>1900</v>
      </c>
      <c r="G10" s="142"/>
      <c r="H10" s="149"/>
      <c r="I10" s="133"/>
      <c r="J10" s="133"/>
      <c r="K10" s="131"/>
      <c r="L10" s="132"/>
      <c r="M10" s="182"/>
    </row>
    <row r="11" spans="1:13" hidden="1" outlineLevel="1" x14ac:dyDescent="0.25">
      <c r="A11" s="131"/>
      <c r="B11" s="1552">
        <v>5</v>
      </c>
      <c r="C11" s="189"/>
      <c r="D11" s="190"/>
      <c r="E11" s="209"/>
      <c r="F11" s="1555">
        <f t="shared" si="0"/>
        <v>1900</v>
      </c>
      <c r="G11" s="142"/>
      <c r="H11" s="149"/>
      <c r="I11" s="133"/>
      <c r="J11" s="133"/>
      <c r="K11" s="131"/>
      <c r="L11" s="132"/>
      <c r="M11" s="182"/>
    </row>
    <row r="12" spans="1:13" hidden="1" outlineLevel="1" x14ac:dyDescent="0.25">
      <c r="A12" s="131"/>
      <c r="B12" s="1552">
        <v>6</v>
      </c>
      <c r="C12" s="189"/>
      <c r="D12" s="190"/>
      <c r="E12" s="209"/>
      <c r="F12" s="1555">
        <f t="shared" si="0"/>
        <v>1900</v>
      </c>
      <c r="G12" s="142"/>
      <c r="H12" s="149"/>
      <c r="I12" s="133"/>
      <c r="J12" s="133"/>
      <c r="K12" s="131"/>
      <c r="L12" s="132"/>
      <c r="M12" s="182"/>
    </row>
    <row r="13" spans="1:13" hidden="1" outlineLevel="1" x14ac:dyDescent="0.25">
      <c r="A13" s="131"/>
      <c r="B13" s="1552">
        <v>7</v>
      </c>
      <c r="C13" s="189"/>
      <c r="D13" s="190"/>
      <c r="E13" s="209"/>
      <c r="F13" s="1555">
        <f t="shared" si="0"/>
        <v>1900</v>
      </c>
      <c r="G13" s="142"/>
      <c r="H13" s="149"/>
      <c r="I13" s="133"/>
      <c r="J13" s="133"/>
      <c r="K13" s="131"/>
      <c r="L13" s="132"/>
      <c r="M13" s="182"/>
    </row>
    <row r="14" spans="1:13" hidden="1" outlineLevel="1" x14ac:dyDescent="0.25">
      <c r="A14" s="131"/>
      <c r="B14" s="1552">
        <v>8</v>
      </c>
      <c r="C14" s="189"/>
      <c r="D14" s="190"/>
      <c r="E14" s="209"/>
      <c r="F14" s="1555">
        <f t="shared" si="0"/>
        <v>1900</v>
      </c>
      <c r="G14" s="142"/>
      <c r="H14" s="149"/>
      <c r="I14" s="133"/>
      <c r="J14" s="133"/>
      <c r="K14" s="131"/>
      <c r="L14" s="132"/>
      <c r="M14" s="182"/>
    </row>
    <row r="15" spans="1:13" hidden="1" outlineLevel="1" x14ac:dyDescent="0.25">
      <c r="A15" s="131"/>
      <c r="B15" s="1552">
        <v>9</v>
      </c>
      <c r="C15" s="189"/>
      <c r="D15" s="202"/>
      <c r="E15" s="209"/>
      <c r="F15" s="1555">
        <f t="shared" si="0"/>
        <v>1900</v>
      </c>
      <c r="G15" s="142"/>
      <c r="H15" s="149"/>
      <c r="I15" s="133"/>
      <c r="J15" s="133"/>
      <c r="K15" s="131"/>
      <c r="L15" s="132"/>
      <c r="M15" s="182"/>
    </row>
    <row r="16" spans="1:13" hidden="1" outlineLevel="1" x14ac:dyDescent="0.25">
      <c r="A16" s="131"/>
      <c r="B16" s="1552">
        <v>10</v>
      </c>
      <c r="C16" s="189"/>
      <c r="D16" s="202"/>
      <c r="E16" s="209"/>
      <c r="F16" s="1555">
        <f t="shared" si="0"/>
        <v>1900</v>
      </c>
      <c r="G16" s="142"/>
      <c r="H16" s="149"/>
      <c r="I16" s="133"/>
      <c r="J16" s="133"/>
      <c r="K16" s="131"/>
      <c r="L16" s="132"/>
      <c r="M16" s="182"/>
    </row>
    <row r="17" spans="1:13" hidden="1" outlineLevel="1" x14ac:dyDescent="0.25">
      <c r="A17" s="131"/>
      <c r="B17" s="1552">
        <v>11</v>
      </c>
      <c r="C17" s="189"/>
      <c r="D17" s="202"/>
      <c r="E17" s="209"/>
      <c r="F17" s="1555">
        <f t="shared" si="0"/>
        <v>1900</v>
      </c>
      <c r="G17" s="142"/>
      <c r="H17" s="149"/>
      <c r="I17" s="133"/>
      <c r="J17" s="133"/>
      <c r="K17" s="131"/>
      <c r="L17" s="132"/>
      <c r="M17" s="182"/>
    </row>
    <row r="18" spans="1:13" hidden="1" outlineLevel="1" x14ac:dyDescent="0.25">
      <c r="A18" s="131"/>
      <c r="B18" s="1552">
        <v>12</v>
      </c>
      <c r="C18" s="189"/>
      <c r="D18" s="202"/>
      <c r="E18" s="209"/>
      <c r="F18" s="1555">
        <f t="shared" si="0"/>
        <v>1900</v>
      </c>
      <c r="G18" s="142"/>
      <c r="H18" s="149"/>
      <c r="I18" s="133"/>
      <c r="J18" s="133"/>
      <c r="K18" s="131"/>
      <c r="L18" s="132"/>
      <c r="M18" s="182"/>
    </row>
    <row r="19" spans="1:13" hidden="1" outlineLevel="1" x14ac:dyDescent="0.25">
      <c r="A19" s="131"/>
      <c r="B19" s="1552">
        <v>13</v>
      </c>
      <c r="C19" s="189"/>
      <c r="D19" s="202"/>
      <c r="E19" s="209"/>
      <c r="F19" s="1555">
        <f t="shared" si="0"/>
        <v>1900</v>
      </c>
      <c r="G19" s="142"/>
      <c r="H19" s="149"/>
      <c r="I19" s="133"/>
      <c r="J19" s="133"/>
      <c r="K19" s="131"/>
      <c r="L19" s="132"/>
      <c r="M19" s="182"/>
    </row>
    <row r="20" spans="1:13" hidden="1" outlineLevel="1" x14ac:dyDescent="0.25">
      <c r="A20" s="131"/>
      <c r="B20" s="1552">
        <v>14</v>
      </c>
      <c r="C20" s="189"/>
      <c r="D20" s="202"/>
      <c r="E20" s="209"/>
      <c r="F20" s="1555">
        <f t="shared" si="0"/>
        <v>1900</v>
      </c>
      <c r="G20" s="142"/>
      <c r="H20" s="149"/>
      <c r="I20" s="133"/>
      <c r="J20" s="133"/>
      <c r="K20" s="131"/>
      <c r="L20" s="132"/>
      <c r="M20" s="182"/>
    </row>
    <row r="21" spans="1:13" hidden="1" outlineLevel="1" x14ac:dyDescent="0.25">
      <c r="A21" s="131"/>
      <c r="B21" s="1552">
        <v>15</v>
      </c>
      <c r="C21" s="189"/>
      <c r="D21" s="202"/>
      <c r="E21" s="209"/>
      <c r="F21" s="1555">
        <f t="shared" si="0"/>
        <v>1900</v>
      </c>
      <c r="G21" s="142"/>
      <c r="H21" s="149"/>
      <c r="I21" s="133"/>
      <c r="J21" s="133"/>
      <c r="K21" s="131"/>
      <c r="L21" s="132"/>
      <c r="M21" s="182"/>
    </row>
    <row r="22" spans="1:13" hidden="1" outlineLevel="1" x14ac:dyDescent="0.25">
      <c r="A22" s="131"/>
      <c r="B22" s="1553">
        <v>16</v>
      </c>
      <c r="C22" s="191"/>
      <c r="D22" s="204"/>
      <c r="E22" s="210"/>
      <c r="F22" s="1556">
        <f t="shared" si="0"/>
        <v>1900</v>
      </c>
      <c r="G22" s="142"/>
      <c r="H22" s="149"/>
      <c r="I22" s="133"/>
      <c r="J22" s="133"/>
      <c r="K22" s="131"/>
      <c r="L22" s="132"/>
      <c r="M22" s="182"/>
    </row>
    <row r="23" spans="1:13" collapsed="1" x14ac:dyDescent="0.25">
      <c r="A23" s="131"/>
      <c r="B23" s="143"/>
      <c r="C23" s="179"/>
      <c r="D23" s="145"/>
      <c r="E23" s="211">
        <f>SUM(E7:E22)</f>
        <v>0</v>
      </c>
      <c r="F23" s="183"/>
      <c r="G23" s="146"/>
      <c r="H23" s="149"/>
      <c r="I23" s="133"/>
      <c r="J23" s="133"/>
      <c r="K23" s="131"/>
      <c r="L23" s="132"/>
      <c r="M23" s="182"/>
    </row>
    <row r="24" spans="1:13" x14ac:dyDescent="0.25">
      <c r="A24" s="131"/>
      <c r="B24" s="143"/>
      <c r="C24" s="144"/>
      <c r="D24" s="145"/>
      <c r="E24" s="178"/>
      <c r="F24" s="183"/>
      <c r="G24" s="146"/>
      <c r="H24" s="149"/>
      <c r="I24" s="133"/>
      <c r="J24" s="133"/>
      <c r="K24" s="131"/>
      <c r="L24" s="132"/>
      <c r="M24" s="182"/>
    </row>
    <row r="25" spans="1:13" x14ac:dyDescent="0.25">
      <c r="A25" s="131"/>
      <c r="B25" s="199" t="s">
        <v>138</v>
      </c>
      <c r="C25" s="148" t="s">
        <v>143</v>
      </c>
      <c r="D25" s="199" t="s">
        <v>140</v>
      </c>
      <c r="E25" s="199" t="s">
        <v>141</v>
      </c>
      <c r="F25" s="199" t="s">
        <v>159</v>
      </c>
      <c r="G25" s="163" t="s">
        <v>144</v>
      </c>
      <c r="H25" s="180"/>
      <c r="I25" s="182"/>
      <c r="J25" s="133"/>
      <c r="K25" s="131"/>
      <c r="L25" s="132"/>
      <c r="M25" s="182"/>
    </row>
    <row r="26" spans="1:13" outlineLevel="1" x14ac:dyDescent="0.25">
      <c r="A26" s="131"/>
      <c r="B26" s="1551">
        <v>1</v>
      </c>
      <c r="C26" s="189" t="s">
        <v>1450</v>
      </c>
      <c r="D26" s="190">
        <v>43831</v>
      </c>
      <c r="E26" s="209"/>
      <c r="F26" s="1557">
        <f>YEAR(D26)</f>
        <v>2020</v>
      </c>
      <c r="G26" s="194" t="s">
        <v>145</v>
      </c>
      <c r="H26" s="149"/>
      <c r="I26" s="182"/>
      <c r="J26" s="133"/>
      <c r="K26" s="131"/>
      <c r="L26" s="132"/>
      <c r="M26" s="182"/>
    </row>
    <row r="27" spans="1:13" outlineLevel="1" x14ac:dyDescent="0.25">
      <c r="A27" s="131"/>
      <c r="B27" s="1552">
        <f>B26+1</f>
        <v>2</v>
      </c>
      <c r="C27" s="189" t="s">
        <v>1451</v>
      </c>
      <c r="D27" s="190">
        <v>44197</v>
      </c>
      <c r="E27" s="209">
        <f>+[1]Folha2!$H$42</f>
        <v>40000</v>
      </c>
      <c r="F27" s="1558">
        <f t="shared" ref="F27:F60" si="1">YEAR(D27)</f>
        <v>2021</v>
      </c>
      <c r="G27" s="196" t="s">
        <v>145</v>
      </c>
      <c r="H27" s="149"/>
      <c r="I27" s="182"/>
      <c r="J27" s="133"/>
      <c r="K27" s="131"/>
      <c r="L27" s="132"/>
      <c r="M27" s="182"/>
    </row>
    <row r="28" spans="1:13" outlineLevel="1" x14ac:dyDescent="0.25">
      <c r="A28" s="131"/>
      <c r="B28" s="1552">
        <f>B27+1</f>
        <v>3</v>
      </c>
      <c r="C28" s="189" t="s">
        <v>1452</v>
      </c>
      <c r="D28" s="190">
        <v>44562</v>
      </c>
      <c r="E28" s="209">
        <v>0</v>
      </c>
      <c r="F28" s="1558">
        <f t="shared" si="1"/>
        <v>2022</v>
      </c>
      <c r="G28" s="196" t="s">
        <v>145</v>
      </c>
      <c r="H28" s="149"/>
      <c r="I28" s="149"/>
      <c r="J28" s="133"/>
      <c r="K28" s="131"/>
      <c r="L28" s="132"/>
      <c r="M28" s="182"/>
    </row>
    <row r="29" spans="1:13" outlineLevel="1" x14ac:dyDescent="0.25">
      <c r="A29" s="131"/>
      <c r="B29" s="1552">
        <f t="shared" ref="B29:B60" si="2">B28+1</f>
        <v>4</v>
      </c>
      <c r="C29" s="1829"/>
      <c r="D29" s="1828"/>
      <c r="E29" s="1830"/>
      <c r="F29" s="1558">
        <f t="shared" si="1"/>
        <v>1900</v>
      </c>
      <c r="G29" s="196" t="s">
        <v>145</v>
      </c>
      <c r="H29" s="149"/>
      <c r="I29" s="149"/>
      <c r="J29" s="133"/>
      <c r="K29" s="131"/>
      <c r="L29" s="132"/>
      <c r="M29" s="182"/>
    </row>
    <row r="30" spans="1:13" ht="15" customHeight="1" outlineLevel="1" x14ac:dyDescent="0.25">
      <c r="A30" s="131"/>
      <c r="B30" s="1552">
        <f t="shared" si="2"/>
        <v>5</v>
      </c>
      <c r="C30" s="1829"/>
      <c r="D30" s="1828"/>
      <c r="E30" s="1830"/>
      <c r="F30" s="1558">
        <f t="shared" si="1"/>
        <v>1900</v>
      </c>
      <c r="G30" s="196" t="s">
        <v>145</v>
      </c>
      <c r="H30" s="149"/>
      <c r="I30" s="149"/>
      <c r="J30" s="133"/>
      <c r="K30" s="131"/>
      <c r="L30" s="132"/>
      <c r="M30" s="182"/>
    </row>
    <row r="31" spans="1:13" ht="15" customHeight="1" outlineLevel="1" x14ac:dyDescent="0.25">
      <c r="A31" s="131"/>
      <c r="B31" s="1552">
        <f t="shared" si="2"/>
        <v>6</v>
      </c>
      <c r="C31" s="1829"/>
      <c r="D31" s="1828"/>
      <c r="E31" s="1830"/>
      <c r="F31" s="1558">
        <f t="shared" si="1"/>
        <v>1900</v>
      </c>
      <c r="G31" s="196" t="s">
        <v>145</v>
      </c>
      <c r="H31" s="149"/>
      <c r="I31" s="149"/>
      <c r="J31" s="133"/>
      <c r="K31" s="131"/>
      <c r="L31" s="132"/>
      <c r="M31" s="182"/>
    </row>
    <row r="32" spans="1:13" ht="15" customHeight="1" outlineLevel="1" x14ac:dyDescent="0.25">
      <c r="A32" s="131"/>
      <c r="B32" s="1552">
        <f t="shared" si="2"/>
        <v>7</v>
      </c>
      <c r="C32" s="189"/>
      <c r="D32" s="202"/>
      <c r="E32" s="209"/>
      <c r="F32" s="1558">
        <f t="shared" si="1"/>
        <v>1900</v>
      </c>
      <c r="G32" s="196" t="s">
        <v>145</v>
      </c>
      <c r="H32" s="149"/>
      <c r="I32" s="149"/>
      <c r="J32" s="133"/>
      <c r="K32" s="131"/>
      <c r="L32" s="132"/>
      <c r="M32" s="182"/>
    </row>
    <row r="33" spans="1:13" ht="15" customHeight="1" outlineLevel="1" x14ac:dyDescent="0.25">
      <c r="A33" s="131"/>
      <c r="B33" s="1552">
        <f t="shared" si="2"/>
        <v>8</v>
      </c>
      <c r="C33" s="189"/>
      <c r="D33" s="202"/>
      <c r="E33" s="209"/>
      <c r="F33" s="1558">
        <f t="shared" si="1"/>
        <v>1900</v>
      </c>
      <c r="G33" s="196" t="s">
        <v>145</v>
      </c>
      <c r="H33" s="149"/>
      <c r="I33" s="149"/>
      <c r="J33" s="133"/>
      <c r="K33" s="131"/>
      <c r="L33" s="132"/>
      <c r="M33" s="182"/>
    </row>
    <row r="34" spans="1:13" ht="15" customHeight="1" outlineLevel="1" x14ac:dyDescent="0.25">
      <c r="A34" s="131"/>
      <c r="B34" s="1552">
        <f t="shared" si="2"/>
        <v>9</v>
      </c>
      <c r="C34" s="189"/>
      <c r="D34" s="202"/>
      <c r="E34" s="209"/>
      <c r="F34" s="1558">
        <f t="shared" si="1"/>
        <v>1900</v>
      </c>
      <c r="G34" s="196" t="s">
        <v>145</v>
      </c>
      <c r="H34" s="149"/>
      <c r="I34" s="149"/>
      <c r="J34" s="133"/>
      <c r="K34" s="131"/>
      <c r="L34" s="132"/>
      <c r="M34" s="182"/>
    </row>
    <row r="35" spans="1:13" ht="15" customHeight="1" outlineLevel="1" x14ac:dyDescent="0.25">
      <c r="A35" s="131"/>
      <c r="B35" s="1552">
        <f t="shared" si="2"/>
        <v>10</v>
      </c>
      <c r="C35" s="189"/>
      <c r="D35" s="202"/>
      <c r="E35" s="209"/>
      <c r="F35" s="1558">
        <f t="shared" si="1"/>
        <v>1900</v>
      </c>
      <c r="G35" s="196" t="s">
        <v>145</v>
      </c>
      <c r="H35" s="149"/>
      <c r="I35" s="149"/>
      <c r="J35" s="133"/>
      <c r="K35" s="131"/>
      <c r="L35" s="132"/>
      <c r="M35" s="182"/>
    </row>
    <row r="36" spans="1:13" ht="15" customHeight="1" outlineLevel="1" x14ac:dyDescent="0.25">
      <c r="A36" s="131"/>
      <c r="B36" s="1552">
        <f t="shared" si="2"/>
        <v>11</v>
      </c>
      <c r="C36" s="189"/>
      <c r="D36" s="202"/>
      <c r="E36" s="209"/>
      <c r="F36" s="1558">
        <f t="shared" si="1"/>
        <v>1900</v>
      </c>
      <c r="G36" s="196" t="s">
        <v>145</v>
      </c>
      <c r="H36" s="149"/>
      <c r="I36" s="149"/>
      <c r="J36" s="133"/>
      <c r="K36" s="131"/>
      <c r="L36" s="132"/>
      <c r="M36" s="182"/>
    </row>
    <row r="37" spans="1:13" ht="15" customHeight="1" outlineLevel="1" x14ac:dyDescent="0.25">
      <c r="A37" s="131"/>
      <c r="B37" s="1552">
        <f t="shared" si="2"/>
        <v>12</v>
      </c>
      <c r="C37" s="189"/>
      <c r="D37" s="202"/>
      <c r="E37" s="209"/>
      <c r="F37" s="1558">
        <f t="shared" si="1"/>
        <v>1900</v>
      </c>
      <c r="G37" s="196" t="s">
        <v>145</v>
      </c>
      <c r="H37" s="149"/>
      <c r="I37" s="149"/>
      <c r="J37" s="133"/>
      <c r="K37" s="131"/>
      <c r="L37" s="132"/>
      <c r="M37" s="182"/>
    </row>
    <row r="38" spans="1:13" ht="15" customHeight="1" outlineLevel="1" x14ac:dyDescent="0.25">
      <c r="A38" s="131"/>
      <c r="B38" s="1552">
        <f t="shared" si="2"/>
        <v>13</v>
      </c>
      <c r="C38" s="189"/>
      <c r="D38" s="202"/>
      <c r="E38" s="209"/>
      <c r="F38" s="1558">
        <f t="shared" si="1"/>
        <v>1900</v>
      </c>
      <c r="G38" s="196" t="s">
        <v>145</v>
      </c>
      <c r="H38" s="149"/>
      <c r="I38" s="149"/>
      <c r="J38" s="133"/>
      <c r="K38" s="131"/>
      <c r="L38" s="132"/>
      <c r="M38" s="182"/>
    </row>
    <row r="39" spans="1:13" ht="15" customHeight="1" outlineLevel="1" x14ac:dyDescent="0.25">
      <c r="A39" s="131"/>
      <c r="B39" s="1552">
        <f t="shared" si="2"/>
        <v>14</v>
      </c>
      <c r="C39" s="189"/>
      <c r="D39" s="202"/>
      <c r="E39" s="209"/>
      <c r="F39" s="1558">
        <f t="shared" si="1"/>
        <v>1900</v>
      </c>
      <c r="G39" s="196" t="s">
        <v>145</v>
      </c>
      <c r="H39" s="149"/>
      <c r="I39" s="149"/>
      <c r="J39" s="133"/>
      <c r="K39" s="131"/>
      <c r="L39" s="132"/>
      <c r="M39" s="182"/>
    </row>
    <row r="40" spans="1:13" ht="15" customHeight="1" outlineLevel="1" x14ac:dyDescent="0.25">
      <c r="A40" s="131"/>
      <c r="B40" s="1552">
        <f t="shared" si="2"/>
        <v>15</v>
      </c>
      <c r="C40" s="189"/>
      <c r="D40" s="202"/>
      <c r="E40" s="209"/>
      <c r="F40" s="1558">
        <f t="shared" si="1"/>
        <v>1900</v>
      </c>
      <c r="G40" s="196" t="s">
        <v>145</v>
      </c>
      <c r="H40" s="149"/>
      <c r="I40" s="149"/>
      <c r="J40" s="133"/>
      <c r="K40" s="131"/>
      <c r="L40" s="132"/>
      <c r="M40" s="182"/>
    </row>
    <row r="41" spans="1:13" ht="15" customHeight="1" outlineLevel="1" x14ac:dyDescent="0.25">
      <c r="A41" s="131"/>
      <c r="B41" s="1552">
        <f t="shared" si="2"/>
        <v>16</v>
      </c>
      <c r="C41" s="189"/>
      <c r="D41" s="202"/>
      <c r="E41" s="209"/>
      <c r="F41" s="1558">
        <f t="shared" si="1"/>
        <v>1900</v>
      </c>
      <c r="G41" s="196" t="s">
        <v>145</v>
      </c>
      <c r="H41" s="149"/>
      <c r="I41" s="149"/>
      <c r="J41" s="133"/>
      <c r="K41" s="131"/>
      <c r="L41" s="132"/>
      <c r="M41" s="182"/>
    </row>
    <row r="42" spans="1:13" ht="15" customHeight="1" outlineLevel="1" x14ac:dyDescent="0.25">
      <c r="A42" s="131"/>
      <c r="B42" s="1552">
        <f t="shared" si="2"/>
        <v>17</v>
      </c>
      <c r="C42" s="189"/>
      <c r="D42" s="202"/>
      <c r="E42" s="209"/>
      <c r="F42" s="1558">
        <f t="shared" si="1"/>
        <v>1900</v>
      </c>
      <c r="G42" s="196" t="s">
        <v>145</v>
      </c>
      <c r="H42" s="149"/>
      <c r="I42" s="149"/>
      <c r="J42" s="133"/>
      <c r="K42" s="131"/>
      <c r="L42" s="132"/>
      <c r="M42" s="182"/>
    </row>
    <row r="43" spans="1:13" ht="15" customHeight="1" outlineLevel="1" x14ac:dyDescent="0.25">
      <c r="A43" s="131"/>
      <c r="B43" s="1552">
        <f t="shared" si="2"/>
        <v>18</v>
      </c>
      <c r="C43" s="189"/>
      <c r="D43" s="202"/>
      <c r="E43" s="209"/>
      <c r="F43" s="1558">
        <f t="shared" si="1"/>
        <v>1900</v>
      </c>
      <c r="G43" s="196" t="s">
        <v>145</v>
      </c>
      <c r="H43" s="149"/>
      <c r="I43" s="149"/>
      <c r="J43" s="133"/>
      <c r="K43" s="131"/>
      <c r="L43" s="132"/>
      <c r="M43" s="182"/>
    </row>
    <row r="44" spans="1:13" ht="15" customHeight="1" outlineLevel="1" x14ac:dyDescent="0.25">
      <c r="A44" s="131"/>
      <c r="B44" s="1552">
        <f t="shared" si="2"/>
        <v>19</v>
      </c>
      <c r="C44" s="189"/>
      <c r="D44" s="202"/>
      <c r="E44" s="209"/>
      <c r="F44" s="1558">
        <f t="shared" si="1"/>
        <v>1900</v>
      </c>
      <c r="G44" s="196" t="s">
        <v>145</v>
      </c>
      <c r="H44" s="149"/>
      <c r="I44" s="149"/>
      <c r="J44" s="133"/>
      <c r="K44" s="131"/>
      <c r="L44" s="132"/>
      <c r="M44" s="182"/>
    </row>
    <row r="45" spans="1:13" ht="15" customHeight="1" outlineLevel="1" x14ac:dyDescent="0.25">
      <c r="A45" s="131"/>
      <c r="B45" s="1552">
        <f t="shared" si="2"/>
        <v>20</v>
      </c>
      <c r="C45" s="189"/>
      <c r="D45" s="202"/>
      <c r="E45" s="209"/>
      <c r="F45" s="1558">
        <f t="shared" si="1"/>
        <v>1900</v>
      </c>
      <c r="G45" s="196" t="s">
        <v>145</v>
      </c>
      <c r="H45" s="149"/>
      <c r="I45" s="149"/>
      <c r="J45" s="133"/>
      <c r="K45" s="131"/>
      <c r="L45" s="132"/>
      <c r="M45" s="182"/>
    </row>
    <row r="46" spans="1:13" ht="15" customHeight="1" outlineLevel="1" x14ac:dyDescent="0.25">
      <c r="A46" s="131"/>
      <c r="B46" s="1552">
        <f t="shared" si="2"/>
        <v>21</v>
      </c>
      <c r="C46" s="189"/>
      <c r="D46" s="202"/>
      <c r="E46" s="209"/>
      <c r="F46" s="1558">
        <f t="shared" si="1"/>
        <v>1900</v>
      </c>
      <c r="G46" s="196" t="s">
        <v>145</v>
      </c>
      <c r="H46" s="149"/>
      <c r="I46" s="149"/>
      <c r="J46" s="133"/>
      <c r="K46" s="131"/>
      <c r="L46" s="132"/>
      <c r="M46" s="182"/>
    </row>
    <row r="47" spans="1:13" outlineLevel="1" x14ac:dyDescent="0.25">
      <c r="A47" s="131"/>
      <c r="B47" s="1552">
        <f t="shared" si="2"/>
        <v>22</v>
      </c>
      <c r="C47" s="189"/>
      <c r="D47" s="202"/>
      <c r="E47" s="209"/>
      <c r="F47" s="1558">
        <f t="shared" si="1"/>
        <v>1900</v>
      </c>
      <c r="G47" s="196" t="s">
        <v>145</v>
      </c>
      <c r="H47" s="149"/>
      <c r="I47" s="149"/>
      <c r="J47" s="133"/>
      <c r="K47" s="131"/>
      <c r="L47" s="132"/>
      <c r="M47" s="182"/>
    </row>
    <row r="48" spans="1:13" ht="15" customHeight="1" outlineLevel="1" x14ac:dyDescent="0.25">
      <c r="A48" s="131"/>
      <c r="B48" s="1552">
        <f t="shared" si="2"/>
        <v>23</v>
      </c>
      <c r="C48" s="189"/>
      <c r="D48" s="202"/>
      <c r="E48" s="209"/>
      <c r="F48" s="1558">
        <f t="shared" si="1"/>
        <v>1900</v>
      </c>
      <c r="G48" s="196" t="s">
        <v>145</v>
      </c>
      <c r="H48" s="149"/>
      <c r="I48" s="149"/>
      <c r="J48" s="133"/>
      <c r="K48" s="131"/>
      <c r="L48" s="132"/>
      <c r="M48" s="182"/>
    </row>
    <row r="49" spans="1:13" outlineLevel="1" x14ac:dyDescent="0.25">
      <c r="A49" s="131"/>
      <c r="B49" s="1552">
        <f t="shared" si="2"/>
        <v>24</v>
      </c>
      <c r="C49" s="189"/>
      <c r="D49" s="202"/>
      <c r="E49" s="209"/>
      <c r="F49" s="1558">
        <f t="shared" si="1"/>
        <v>1900</v>
      </c>
      <c r="G49" s="196" t="s">
        <v>145</v>
      </c>
      <c r="H49" s="149"/>
      <c r="I49" s="149"/>
      <c r="J49" s="133"/>
      <c r="K49" s="131"/>
      <c r="L49" s="132"/>
      <c r="M49" s="182"/>
    </row>
    <row r="50" spans="1:13" outlineLevel="1" x14ac:dyDescent="0.25">
      <c r="A50" s="131"/>
      <c r="B50" s="1552">
        <f t="shared" si="2"/>
        <v>25</v>
      </c>
      <c r="C50" s="189"/>
      <c r="D50" s="202"/>
      <c r="E50" s="209"/>
      <c r="F50" s="1558">
        <f t="shared" si="1"/>
        <v>1900</v>
      </c>
      <c r="G50" s="196" t="s">
        <v>145</v>
      </c>
      <c r="H50" s="149"/>
      <c r="I50" s="149"/>
      <c r="J50" s="133"/>
      <c r="K50" s="131"/>
      <c r="L50" s="132"/>
      <c r="M50" s="182"/>
    </row>
    <row r="51" spans="1:13" ht="15" customHeight="1" outlineLevel="1" x14ac:dyDescent="0.25">
      <c r="A51" s="131"/>
      <c r="B51" s="1552">
        <f t="shared" si="2"/>
        <v>26</v>
      </c>
      <c r="C51" s="189"/>
      <c r="D51" s="202"/>
      <c r="E51" s="209"/>
      <c r="F51" s="1558">
        <f t="shared" si="1"/>
        <v>1900</v>
      </c>
      <c r="G51" s="196" t="s">
        <v>145</v>
      </c>
      <c r="H51" s="149"/>
      <c r="I51" s="149"/>
      <c r="J51" s="133"/>
      <c r="K51" s="131"/>
      <c r="L51" s="132"/>
      <c r="M51" s="182"/>
    </row>
    <row r="52" spans="1:13" ht="15" customHeight="1" outlineLevel="1" x14ac:dyDescent="0.25">
      <c r="A52" s="131"/>
      <c r="B52" s="1552">
        <f t="shared" si="2"/>
        <v>27</v>
      </c>
      <c r="C52" s="189"/>
      <c r="D52" s="202"/>
      <c r="E52" s="209"/>
      <c r="F52" s="1558">
        <f t="shared" si="1"/>
        <v>1900</v>
      </c>
      <c r="G52" s="196" t="s">
        <v>145</v>
      </c>
      <c r="H52" s="149"/>
      <c r="I52" s="149"/>
      <c r="J52" s="133"/>
      <c r="K52" s="131"/>
      <c r="L52" s="132"/>
      <c r="M52" s="182"/>
    </row>
    <row r="53" spans="1:13" ht="15" customHeight="1" outlineLevel="1" x14ac:dyDescent="0.25">
      <c r="A53" s="131"/>
      <c r="B53" s="1552">
        <f t="shared" si="2"/>
        <v>28</v>
      </c>
      <c r="C53" s="189"/>
      <c r="D53" s="202"/>
      <c r="E53" s="209"/>
      <c r="F53" s="1558">
        <f t="shared" si="1"/>
        <v>1900</v>
      </c>
      <c r="G53" s="196" t="s">
        <v>145</v>
      </c>
      <c r="H53" s="149"/>
      <c r="I53" s="149"/>
      <c r="J53" s="133"/>
      <c r="K53" s="131"/>
      <c r="L53" s="132"/>
      <c r="M53" s="182"/>
    </row>
    <row r="54" spans="1:13" ht="15" customHeight="1" outlineLevel="1" x14ac:dyDescent="0.25">
      <c r="A54" s="131"/>
      <c r="B54" s="1552">
        <f t="shared" si="2"/>
        <v>29</v>
      </c>
      <c r="C54" s="189"/>
      <c r="D54" s="202"/>
      <c r="E54" s="209"/>
      <c r="F54" s="1558">
        <f t="shared" si="1"/>
        <v>1900</v>
      </c>
      <c r="G54" s="196" t="s">
        <v>145</v>
      </c>
      <c r="H54" s="149"/>
      <c r="I54" s="149"/>
      <c r="J54" s="133"/>
      <c r="K54" s="131"/>
      <c r="L54" s="132"/>
      <c r="M54" s="182"/>
    </row>
    <row r="55" spans="1:13" outlineLevel="1" x14ac:dyDescent="0.25">
      <c r="A55" s="131"/>
      <c r="B55" s="1552">
        <f t="shared" si="2"/>
        <v>30</v>
      </c>
      <c r="C55" s="189"/>
      <c r="D55" s="202"/>
      <c r="E55" s="212"/>
      <c r="F55" s="1558">
        <f t="shared" si="1"/>
        <v>1900</v>
      </c>
      <c r="G55" s="196" t="s">
        <v>145</v>
      </c>
      <c r="H55" s="149"/>
      <c r="I55" s="149"/>
      <c r="J55" s="133"/>
      <c r="K55" s="131"/>
      <c r="L55" s="132"/>
      <c r="M55" s="182"/>
    </row>
    <row r="56" spans="1:13" outlineLevel="1" x14ac:dyDescent="0.25">
      <c r="A56" s="131"/>
      <c r="B56" s="1552">
        <f t="shared" si="2"/>
        <v>31</v>
      </c>
      <c r="C56" s="189"/>
      <c r="D56" s="202"/>
      <c r="E56" s="212"/>
      <c r="F56" s="1558">
        <f t="shared" si="1"/>
        <v>1900</v>
      </c>
      <c r="G56" s="196" t="s">
        <v>145</v>
      </c>
      <c r="H56" s="149"/>
      <c r="I56" s="149"/>
      <c r="J56" s="133"/>
      <c r="K56" s="131"/>
      <c r="L56" s="132"/>
      <c r="M56" s="182"/>
    </row>
    <row r="57" spans="1:13" outlineLevel="1" x14ac:dyDescent="0.25">
      <c r="A57" s="131"/>
      <c r="B57" s="1552">
        <f t="shared" si="2"/>
        <v>32</v>
      </c>
      <c r="C57" s="189"/>
      <c r="D57" s="202"/>
      <c r="E57" s="212"/>
      <c r="F57" s="1558">
        <f t="shared" si="1"/>
        <v>1900</v>
      </c>
      <c r="G57" s="196" t="s">
        <v>145</v>
      </c>
      <c r="H57" s="149"/>
      <c r="I57" s="149"/>
      <c r="J57" s="133"/>
      <c r="K57" s="131"/>
      <c r="L57" s="132"/>
      <c r="M57" s="182"/>
    </row>
    <row r="58" spans="1:13" ht="15" customHeight="1" outlineLevel="1" x14ac:dyDescent="0.25">
      <c r="A58" s="131"/>
      <c r="B58" s="1552">
        <f t="shared" si="2"/>
        <v>33</v>
      </c>
      <c r="C58" s="189"/>
      <c r="D58" s="202"/>
      <c r="E58" s="212"/>
      <c r="F58" s="1558">
        <f t="shared" si="1"/>
        <v>1900</v>
      </c>
      <c r="G58" s="196" t="s">
        <v>145</v>
      </c>
      <c r="H58" s="149"/>
      <c r="I58" s="149"/>
      <c r="J58" s="133"/>
      <c r="K58" s="131"/>
      <c r="L58" s="132"/>
      <c r="M58" s="182"/>
    </row>
    <row r="59" spans="1:13" outlineLevel="1" x14ac:dyDescent="0.25">
      <c r="A59" s="131"/>
      <c r="B59" s="1552">
        <f t="shared" si="2"/>
        <v>34</v>
      </c>
      <c r="C59" s="189"/>
      <c r="D59" s="202"/>
      <c r="E59" s="212"/>
      <c r="F59" s="1558">
        <f t="shared" si="1"/>
        <v>1900</v>
      </c>
      <c r="G59" s="196" t="s">
        <v>145</v>
      </c>
      <c r="H59" s="149"/>
      <c r="I59" s="149"/>
      <c r="J59" s="133"/>
      <c r="K59" s="131"/>
      <c r="L59" s="132"/>
      <c r="M59" s="182"/>
    </row>
    <row r="60" spans="1:13" outlineLevel="1" x14ac:dyDescent="0.25">
      <c r="A60" s="131"/>
      <c r="B60" s="1552">
        <f t="shared" si="2"/>
        <v>35</v>
      </c>
      <c r="C60" s="191"/>
      <c r="D60" s="204"/>
      <c r="E60" s="213"/>
      <c r="F60" s="1559">
        <f t="shared" si="1"/>
        <v>1900</v>
      </c>
      <c r="G60" s="198" t="s">
        <v>145</v>
      </c>
      <c r="H60" s="149"/>
      <c r="I60" s="149"/>
      <c r="J60" s="133"/>
      <c r="K60" s="131"/>
      <c r="L60" s="132"/>
      <c r="M60" s="182"/>
    </row>
    <row r="61" spans="1:13" x14ac:dyDescent="0.25">
      <c r="A61" s="131"/>
      <c r="B61" s="143"/>
      <c r="C61" s="179"/>
      <c r="D61" s="150"/>
      <c r="E61" s="211">
        <f>SUM(E26:E60)</f>
        <v>40000</v>
      </c>
      <c r="F61" s="143"/>
      <c r="G61" s="151"/>
      <c r="H61" s="149"/>
      <c r="I61" s="149"/>
      <c r="J61" s="133"/>
      <c r="K61" s="131"/>
      <c r="L61" s="132"/>
      <c r="M61" s="182"/>
    </row>
    <row r="62" spans="1:13" x14ac:dyDescent="0.25">
      <c r="A62" s="131"/>
      <c r="B62" s="143"/>
      <c r="C62" s="144"/>
      <c r="D62" s="150"/>
      <c r="E62" s="178"/>
      <c r="F62" s="143"/>
      <c r="G62" s="151"/>
      <c r="H62" s="149"/>
      <c r="I62" s="149"/>
      <c r="J62" s="133"/>
      <c r="K62" s="131"/>
      <c r="L62" s="132"/>
      <c r="M62" s="182"/>
    </row>
    <row r="63" spans="1:13" x14ac:dyDescent="0.25">
      <c r="A63" s="131"/>
      <c r="B63" s="199" t="s">
        <v>138</v>
      </c>
      <c r="C63" s="152" t="s">
        <v>146</v>
      </c>
      <c r="D63" s="199" t="s">
        <v>140</v>
      </c>
      <c r="E63" s="199" t="s">
        <v>141</v>
      </c>
      <c r="F63" s="199" t="s">
        <v>159</v>
      </c>
      <c r="G63" s="151"/>
      <c r="H63" s="149"/>
      <c r="I63" s="149"/>
      <c r="J63" s="133"/>
      <c r="K63" s="131"/>
      <c r="L63" s="132"/>
      <c r="M63" s="182"/>
    </row>
    <row r="64" spans="1:13" outlineLevel="1" x14ac:dyDescent="0.25">
      <c r="A64" s="131"/>
      <c r="B64" s="1551">
        <v>1</v>
      </c>
      <c r="C64" s="189"/>
      <c r="D64" s="190"/>
      <c r="E64" s="209"/>
      <c r="F64" s="1557">
        <f>YEAR(D64)</f>
        <v>1900</v>
      </c>
      <c r="G64" s="153"/>
      <c r="H64" s="149"/>
      <c r="I64" s="133"/>
      <c r="J64" s="133"/>
      <c r="K64" s="131"/>
      <c r="L64" s="132"/>
      <c r="M64" s="182"/>
    </row>
    <row r="65" spans="1:13" outlineLevel="1" x14ac:dyDescent="0.25">
      <c r="A65" s="131"/>
      <c r="B65" s="1552">
        <v>2</v>
      </c>
      <c r="C65" s="189"/>
      <c r="D65" s="190"/>
      <c r="E65" s="209"/>
      <c r="F65" s="1558">
        <f t="shared" ref="F65:F79" si="3">YEAR(D65)</f>
        <v>1900</v>
      </c>
      <c r="G65" s="153"/>
      <c r="H65" s="149"/>
      <c r="I65" s="133"/>
      <c r="J65" s="133"/>
      <c r="K65" s="131"/>
      <c r="L65" s="132"/>
      <c r="M65" s="182"/>
    </row>
    <row r="66" spans="1:13" ht="15" customHeight="1" outlineLevel="1" x14ac:dyDescent="0.25">
      <c r="A66" s="131"/>
      <c r="B66" s="1552">
        <v>3</v>
      </c>
      <c r="C66" s="189"/>
      <c r="D66" s="190"/>
      <c r="E66" s="209"/>
      <c r="F66" s="1558">
        <f t="shared" si="3"/>
        <v>1900</v>
      </c>
      <c r="G66" s="153"/>
      <c r="H66" s="149"/>
      <c r="I66" s="133"/>
      <c r="J66" s="133"/>
      <c r="K66" s="131"/>
      <c r="L66" s="132"/>
      <c r="M66" s="182"/>
    </row>
    <row r="67" spans="1:13" outlineLevel="1" x14ac:dyDescent="0.25">
      <c r="A67" s="131"/>
      <c r="B67" s="1552">
        <v>4</v>
      </c>
      <c r="C67" s="189"/>
      <c r="D67" s="190"/>
      <c r="E67" s="209"/>
      <c r="F67" s="1558">
        <f t="shared" si="3"/>
        <v>1900</v>
      </c>
      <c r="G67" s="153"/>
      <c r="H67" s="149"/>
      <c r="I67" s="133"/>
      <c r="J67" s="133"/>
      <c r="K67" s="131"/>
      <c r="L67" s="132"/>
      <c r="M67" s="182"/>
    </row>
    <row r="68" spans="1:13" ht="15" customHeight="1" outlineLevel="1" x14ac:dyDescent="0.25">
      <c r="A68" s="131"/>
      <c r="B68" s="1552">
        <v>5</v>
      </c>
      <c r="C68" s="189"/>
      <c r="D68" s="190"/>
      <c r="E68" s="209"/>
      <c r="F68" s="1558">
        <f t="shared" si="3"/>
        <v>1900</v>
      </c>
      <c r="G68" s="153"/>
      <c r="H68" s="149"/>
      <c r="I68" s="133"/>
      <c r="J68" s="133"/>
      <c r="K68" s="131"/>
      <c r="L68" s="132"/>
      <c r="M68" s="182"/>
    </row>
    <row r="69" spans="1:13" outlineLevel="1" x14ac:dyDescent="0.25">
      <c r="A69" s="131"/>
      <c r="B69" s="1552">
        <v>6</v>
      </c>
      <c r="C69" s="189"/>
      <c r="D69" s="190"/>
      <c r="E69" s="209"/>
      <c r="F69" s="1558">
        <f t="shared" si="3"/>
        <v>1900</v>
      </c>
      <c r="G69" s="153"/>
      <c r="H69" s="149"/>
      <c r="I69" s="133"/>
      <c r="J69" s="133"/>
      <c r="K69" s="131"/>
      <c r="L69" s="132"/>
      <c r="M69" s="182"/>
    </row>
    <row r="70" spans="1:13" outlineLevel="1" x14ac:dyDescent="0.25">
      <c r="A70" s="131"/>
      <c r="B70" s="1552">
        <v>7</v>
      </c>
      <c r="C70" s="189"/>
      <c r="D70" s="190"/>
      <c r="E70" s="209"/>
      <c r="F70" s="1558">
        <f t="shared" si="3"/>
        <v>1900</v>
      </c>
      <c r="G70" s="153"/>
      <c r="H70" s="149"/>
      <c r="I70" s="133"/>
      <c r="J70" s="133"/>
      <c r="K70" s="131"/>
      <c r="L70" s="132"/>
      <c r="M70" s="182"/>
    </row>
    <row r="71" spans="1:13" outlineLevel="1" x14ac:dyDescent="0.25">
      <c r="A71" s="131"/>
      <c r="B71" s="1552">
        <v>8</v>
      </c>
      <c r="C71" s="189"/>
      <c r="D71" s="190"/>
      <c r="E71" s="209"/>
      <c r="F71" s="1558">
        <f t="shared" si="3"/>
        <v>1900</v>
      </c>
      <c r="G71" s="153"/>
      <c r="H71" s="149"/>
      <c r="I71" s="133"/>
      <c r="J71" s="133"/>
      <c r="K71" s="131"/>
      <c r="L71" s="132"/>
      <c r="M71" s="182"/>
    </row>
    <row r="72" spans="1:13" outlineLevel="1" x14ac:dyDescent="0.25">
      <c r="A72" s="131"/>
      <c r="B72" s="1552">
        <v>9</v>
      </c>
      <c r="C72" s="189"/>
      <c r="D72" s="190"/>
      <c r="E72" s="209"/>
      <c r="F72" s="1558">
        <f t="shared" si="3"/>
        <v>1900</v>
      </c>
      <c r="G72" s="153"/>
      <c r="H72" s="149"/>
      <c r="I72" s="133"/>
      <c r="J72" s="133"/>
      <c r="K72" s="131"/>
      <c r="L72" s="132"/>
      <c r="M72" s="182"/>
    </row>
    <row r="73" spans="1:13" outlineLevel="1" x14ac:dyDescent="0.25">
      <c r="A73" s="131"/>
      <c r="B73" s="1552">
        <v>10</v>
      </c>
      <c r="C73" s="189"/>
      <c r="D73" s="190"/>
      <c r="E73" s="209"/>
      <c r="F73" s="1558">
        <f t="shared" si="3"/>
        <v>1900</v>
      </c>
      <c r="G73" s="153"/>
      <c r="H73" s="149"/>
      <c r="I73" s="133"/>
      <c r="J73" s="133"/>
      <c r="K73" s="131"/>
      <c r="L73" s="132"/>
      <c r="M73" s="182"/>
    </row>
    <row r="74" spans="1:13" outlineLevel="1" x14ac:dyDescent="0.25">
      <c r="A74" s="131"/>
      <c r="B74" s="1552">
        <v>11</v>
      </c>
      <c r="C74" s="189"/>
      <c r="D74" s="190"/>
      <c r="E74" s="209"/>
      <c r="F74" s="1558">
        <f t="shared" si="3"/>
        <v>1900</v>
      </c>
      <c r="G74" s="153"/>
      <c r="H74" s="149"/>
      <c r="I74" s="133"/>
      <c r="J74" s="133"/>
      <c r="K74" s="131"/>
      <c r="L74" s="132"/>
      <c r="M74" s="182"/>
    </row>
    <row r="75" spans="1:13" ht="15" customHeight="1" outlineLevel="1" x14ac:dyDescent="0.25">
      <c r="A75" s="131"/>
      <c r="B75" s="1552">
        <v>12</v>
      </c>
      <c r="C75" s="189"/>
      <c r="D75" s="190"/>
      <c r="E75" s="209"/>
      <c r="F75" s="1558">
        <f t="shared" si="3"/>
        <v>1900</v>
      </c>
      <c r="G75" s="153"/>
      <c r="H75" s="149"/>
      <c r="I75" s="133"/>
      <c r="J75" s="133"/>
      <c r="K75" s="131"/>
      <c r="L75" s="132"/>
      <c r="M75" s="182"/>
    </row>
    <row r="76" spans="1:13" outlineLevel="1" x14ac:dyDescent="0.25">
      <c r="A76" s="131"/>
      <c r="B76" s="1552">
        <v>13</v>
      </c>
      <c r="C76" s="189"/>
      <c r="D76" s="190"/>
      <c r="E76" s="209"/>
      <c r="F76" s="1558">
        <f t="shared" si="3"/>
        <v>1900</v>
      </c>
      <c r="G76" s="153"/>
      <c r="H76" s="149"/>
      <c r="I76" s="133"/>
      <c r="J76" s="133"/>
      <c r="K76" s="131"/>
      <c r="L76" s="132"/>
      <c r="M76" s="182"/>
    </row>
    <row r="77" spans="1:13" outlineLevel="1" x14ac:dyDescent="0.25">
      <c r="A77" s="131"/>
      <c r="B77" s="1552">
        <v>14</v>
      </c>
      <c r="C77" s="189"/>
      <c r="D77" s="190"/>
      <c r="E77" s="209"/>
      <c r="F77" s="1558">
        <f t="shared" si="3"/>
        <v>1900</v>
      </c>
      <c r="G77" s="153"/>
      <c r="H77" s="149"/>
      <c r="I77" s="133"/>
      <c r="J77" s="133"/>
      <c r="K77" s="131"/>
      <c r="L77" s="132"/>
      <c r="M77" s="182"/>
    </row>
    <row r="78" spans="1:13" outlineLevel="1" x14ac:dyDescent="0.25">
      <c r="A78" s="131"/>
      <c r="B78" s="1552">
        <v>15</v>
      </c>
      <c r="C78" s="189"/>
      <c r="D78" s="190"/>
      <c r="E78" s="209"/>
      <c r="F78" s="1558">
        <f t="shared" si="3"/>
        <v>1900</v>
      </c>
      <c r="G78" s="153"/>
      <c r="H78" s="149"/>
      <c r="I78" s="133"/>
      <c r="J78" s="133"/>
      <c r="K78" s="131"/>
      <c r="L78" s="132"/>
      <c r="M78" s="182"/>
    </row>
    <row r="79" spans="1:13" outlineLevel="1" x14ac:dyDescent="0.25">
      <c r="A79" s="131"/>
      <c r="B79" s="1553">
        <f t="shared" ref="B79" si="4">B78+1</f>
        <v>16</v>
      </c>
      <c r="C79" s="191"/>
      <c r="D79" s="192"/>
      <c r="E79" s="210"/>
      <c r="F79" s="1559">
        <f t="shared" si="3"/>
        <v>1900</v>
      </c>
      <c r="G79" s="153"/>
      <c r="H79" s="149"/>
      <c r="I79" s="133"/>
      <c r="J79" s="133"/>
      <c r="K79" s="131"/>
      <c r="L79" s="132"/>
      <c r="M79" s="182"/>
    </row>
    <row r="80" spans="1:13" x14ac:dyDescent="0.25">
      <c r="A80" s="131"/>
      <c r="B80" s="147"/>
      <c r="C80" s="154"/>
      <c r="D80" s="155"/>
      <c r="E80" s="214">
        <f>SUM(E64:E79)</f>
        <v>0</v>
      </c>
      <c r="F80" s="147"/>
      <c r="G80" s="153"/>
      <c r="H80" s="149"/>
      <c r="I80" s="133"/>
      <c r="J80" s="133"/>
      <c r="K80" s="131"/>
      <c r="L80" s="132"/>
      <c r="M80" s="182"/>
    </row>
    <row r="81" spans="1:13" x14ac:dyDescent="0.25">
      <c r="A81" s="131"/>
      <c r="B81" s="147"/>
      <c r="C81" s="154"/>
      <c r="D81" s="155"/>
      <c r="E81" s="164"/>
      <c r="F81" s="147"/>
      <c r="G81" s="153"/>
      <c r="H81" s="149"/>
      <c r="I81" s="133"/>
      <c r="J81" s="133"/>
      <c r="K81" s="131"/>
      <c r="L81" s="132"/>
      <c r="M81" s="182"/>
    </row>
    <row r="82" spans="1:13" x14ac:dyDescent="0.25">
      <c r="A82" s="131"/>
      <c r="B82" s="199" t="s">
        <v>138</v>
      </c>
      <c r="C82" s="152" t="s">
        <v>147</v>
      </c>
      <c r="D82" s="199" t="s">
        <v>140</v>
      </c>
      <c r="E82" s="199" t="s">
        <v>141</v>
      </c>
      <c r="F82" s="199" t="s">
        <v>159</v>
      </c>
      <c r="G82" s="153"/>
      <c r="H82" s="149"/>
      <c r="I82" s="133"/>
      <c r="J82" s="133"/>
      <c r="K82" s="131"/>
      <c r="L82" s="132"/>
      <c r="M82" s="182"/>
    </row>
    <row r="83" spans="1:13" hidden="1" outlineLevel="1" x14ac:dyDescent="0.25">
      <c r="A83" s="131"/>
      <c r="B83" s="184">
        <v>1</v>
      </c>
      <c r="C83" s="187"/>
      <c r="D83" s="205"/>
      <c r="E83" s="208"/>
      <c r="F83" s="193">
        <f>YEAR(D83)</f>
        <v>1900</v>
      </c>
      <c r="G83" s="153"/>
      <c r="H83" s="149"/>
      <c r="I83" s="133"/>
      <c r="J83" s="133"/>
      <c r="K83" s="131"/>
      <c r="L83" s="132"/>
      <c r="M83" s="182"/>
    </row>
    <row r="84" spans="1:13" hidden="1" outlineLevel="1" x14ac:dyDescent="0.25">
      <c r="A84" s="131"/>
      <c r="B84" s="185">
        <v>2</v>
      </c>
      <c r="C84" s="189"/>
      <c r="D84" s="202"/>
      <c r="E84" s="209"/>
      <c r="F84" s="195">
        <f t="shared" ref="F84:F92" si="5">YEAR(D84)</f>
        <v>1900</v>
      </c>
      <c r="G84" s="153"/>
      <c r="H84" s="149"/>
      <c r="I84" s="133"/>
      <c r="J84" s="133"/>
      <c r="K84" s="131"/>
      <c r="L84" s="132"/>
      <c r="M84" s="182"/>
    </row>
    <row r="85" spans="1:13" hidden="1" outlineLevel="1" x14ac:dyDescent="0.25">
      <c r="A85" s="131"/>
      <c r="B85" s="185">
        <v>3</v>
      </c>
      <c r="C85" s="189"/>
      <c r="D85" s="202"/>
      <c r="E85" s="209"/>
      <c r="F85" s="195">
        <f t="shared" si="5"/>
        <v>1900</v>
      </c>
      <c r="G85" s="153"/>
      <c r="H85" s="149"/>
      <c r="I85" s="133"/>
      <c r="J85" s="133"/>
      <c r="K85" s="131"/>
      <c r="L85" s="132"/>
      <c r="M85" s="182"/>
    </row>
    <row r="86" spans="1:13" hidden="1" outlineLevel="1" x14ac:dyDescent="0.25">
      <c r="A86" s="131"/>
      <c r="B86" s="185">
        <v>4</v>
      </c>
      <c r="C86" s="189"/>
      <c r="D86" s="202"/>
      <c r="E86" s="209"/>
      <c r="F86" s="195">
        <f t="shared" si="5"/>
        <v>1900</v>
      </c>
      <c r="G86" s="153"/>
      <c r="H86" s="149"/>
      <c r="I86" s="133"/>
      <c r="J86" s="133"/>
      <c r="K86" s="131"/>
      <c r="L86" s="132"/>
      <c r="M86" s="182"/>
    </row>
    <row r="87" spans="1:13" hidden="1" outlineLevel="1" x14ac:dyDescent="0.25">
      <c r="A87" s="131"/>
      <c r="B87" s="185">
        <v>5</v>
      </c>
      <c r="C87" s="189"/>
      <c r="D87" s="202"/>
      <c r="E87" s="209"/>
      <c r="F87" s="195">
        <f t="shared" si="5"/>
        <v>1900</v>
      </c>
      <c r="G87" s="153"/>
      <c r="H87" s="149"/>
      <c r="I87" s="133"/>
      <c r="J87" s="133"/>
      <c r="K87" s="131"/>
      <c r="L87" s="132"/>
      <c r="M87" s="182"/>
    </row>
    <row r="88" spans="1:13" hidden="1" outlineLevel="1" x14ac:dyDescent="0.25">
      <c r="A88" s="131"/>
      <c r="B88" s="185">
        <v>6</v>
      </c>
      <c r="C88" s="189"/>
      <c r="D88" s="202"/>
      <c r="E88" s="209"/>
      <c r="F88" s="195">
        <f t="shared" si="5"/>
        <v>1900</v>
      </c>
      <c r="G88" s="153"/>
      <c r="H88" s="149"/>
      <c r="I88" s="133"/>
      <c r="J88" s="133"/>
      <c r="K88" s="131"/>
      <c r="L88" s="132"/>
      <c r="M88" s="182"/>
    </row>
    <row r="89" spans="1:13" hidden="1" outlineLevel="1" x14ac:dyDescent="0.25">
      <c r="A89" s="131"/>
      <c r="B89" s="185">
        <v>7</v>
      </c>
      <c r="C89" s="189"/>
      <c r="D89" s="202"/>
      <c r="E89" s="209"/>
      <c r="F89" s="195">
        <f t="shared" si="5"/>
        <v>1900</v>
      </c>
      <c r="G89" s="153"/>
      <c r="H89" s="149"/>
      <c r="I89" s="133"/>
      <c r="J89" s="133"/>
      <c r="K89" s="131"/>
      <c r="L89" s="132"/>
      <c r="M89" s="182"/>
    </row>
    <row r="90" spans="1:13" hidden="1" outlineLevel="1" x14ac:dyDescent="0.25">
      <c r="A90" s="131"/>
      <c r="B90" s="185">
        <v>8</v>
      </c>
      <c r="C90" s="189"/>
      <c r="D90" s="202"/>
      <c r="E90" s="209"/>
      <c r="F90" s="195">
        <f t="shared" si="5"/>
        <v>1900</v>
      </c>
      <c r="G90" s="153"/>
      <c r="H90" s="149"/>
      <c r="I90" s="133"/>
      <c r="J90" s="133"/>
      <c r="K90" s="131"/>
      <c r="L90" s="132"/>
      <c r="M90" s="182"/>
    </row>
    <row r="91" spans="1:13" hidden="1" outlineLevel="1" x14ac:dyDescent="0.25">
      <c r="A91" s="131"/>
      <c r="B91" s="185">
        <v>9</v>
      </c>
      <c r="C91" s="189"/>
      <c r="D91" s="202"/>
      <c r="E91" s="209"/>
      <c r="F91" s="195">
        <f t="shared" si="5"/>
        <v>1900</v>
      </c>
      <c r="G91" s="153"/>
      <c r="H91" s="149"/>
      <c r="I91" s="133"/>
      <c r="J91" s="133"/>
      <c r="K91" s="131"/>
      <c r="L91" s="132"/>
      <c r="M91" s="182"/>
    </row>
    <row r="92" spans="1:13" hidden="1" outlineLevel="1" x14ac:dyDescent="0.25">
      <c r="A92" s="131"/>
      <c r="B92" s="186">
        <v>10</v>
      </c>
      <c r="C92" s="191"/>
      <c r="D92" s="204"/>
      <c r="E92" s="210"/>
      <c r="F92" s="197">
        <f t="shared" si="5"/>
        <v>1900</v>
      </c>
      <c r="G92" s="153"/>
      <c r="H92" s="149"/>
      <c r="I92" s="133"/>
      <c r="J92" s="133"/>
      <c r="K92" s="131"/>
      <c r="L92" s="132"/>
      <c r="M92" s="182"/>
    </row>
    <row r="93" spans="1:13" collapsed="1" x14ac:dyDescent="0.25">
      <c r="A93" s="131"/>
      <c r="B93" s="147"/>
      <c r="C93" s="154"/>
      <c r="D93" s="155"/>
      <c r="E93" s="214">
        <f>SUM(E83:E92)</f>
        <v>0</v>
      </c>
      <c r="F93" s="147"/>
      <c r="G93" s="153"/>
      <c r="H93" s="149"/>
      <c r="I93" s="133"/>
      <c r="J93" s="133"/>
      <c r="K93" s="131"/>
      <c r="L93" s="132"/>
      <c r="M93" s="182"/>
    </row>
    <row r="94" spans="1:13" x14ac:dyDescent="0.25">
      <c r="A94" s="131"/>
      <c r="B94" s="147"/>
      <c r="C94" s="156"/>
      <c r="D94" s="155"/>
      <c r="E94" s="164"/>
      <c r="F94" s="147"/>
      <c r="G94" s="153"/>
      <c r="H94" s="149"/>
      <c r="I94" s="133"/>
      <c r="J94" s="133"/>
      <c r="K94" s="131"/>
      <c r="L94" s="132"/>
      <c r="M94" s="182"/>
    </row>
    <row r="95" spans="1:13" x14ac:dyDescent="0.25">
      <c r="A95" s="131"/>
      <c r="B95" s="199" t="s">
        <v>138</v>
      </c>
      <c r="C95" s="157" t="s">
        <v>151</v>
      </c>
      <c r="D95" s="199" t="s">
        <v>140</v>
      </c>
      <c r="E95" s="199" t="s">
        <v>141</v>
      </c>
      <c r="F95" s="199" t="s">
        <v>159</v>
      </c>
      <c r="G95" s="132"/>
      <c r="H95" s="180"/>
      <c r="I95" s="133"/>
      <c r="J95" s="133"/>
      <c r="K95" s="131"/>
      <c r="L95" s="132"/>
      <c r="M95" s="182"/>
    </row>
    <row r="96" spans="1:13" outlineLevel="1" x14ac:dyDescent="0.25">
      <c r="A96" s="131"/>
      <c r="B96" s="1551">
        <v>1</v>
      </c>
      <c r="C96" s="200" t="s">
        <v>1453</v>
      </c>
      <c r="D96" s="202">
        <v>43831</v>
      </c>
      <c r="E96" s="215">
        <f>+[1]Folha2!$G$43</f>
        <v>20625.25</v>
      </c>
      <c r="F96" s="1557">
        <f>YEAR(D96)</f>
        <v>2020</v>
      </c>
      <c r="G96" s="153"/>
      <c r="H96" s="149"/>
      <c r="I96" s="133"/>
      <c r="J96" s="133"/>
      <c r="K96" s="131"/>
      <c r="L96" s="132"/>
      <c r="M96" s="182"/>
    </row>
    <row r="97" spans="1:13" ht="15" customHeight="1" outlineLevel="1" x14ac:dyDescent="0.25">
      <c r="A97" s="131"/>
      <c r="B97" s="1552">
        <v>2</v>
      </c>
      <c r="C97" s="201" t="s">
        <v>1454</v>
      </c>
      <c r="D97" s="202">
        <v>44197</v>
      </c>
      <c r="E97" s="216">
        <f>+[1]Folha2!$H$43</f>
        <v>18340</v>
      </c>
      <c r="F97" s="1558">
        <f t="shared" ref="F97:F160" si="6">YEAR(D97)</f>
        <v>2021</v>
      </c>
      <c r="G97" s="153"/>
      <c r="H97" s="149"/>
      <c r="I97" s="133"/>
      <c r="J97" s="133"/>
      <c r="K97" s="131"/>
      <c r="L97" s="132"/>
      <c r="M97" s="182"/>
    </row>
    <row r="98" spans="1:13" outlineLevel="1" x14ac:dyDescent="0.25">
      <c r="A98" s="131"/>
      <c r="B98" s="1552">
        <v>3</v>
      </c>
      <c r="C98" s="201" t="s">
        <v>1455</v>
      </c>
      <c r="D98" s="202">
        <v>44562</v>
      </c>
      <c r="E98" s="216">
        <f>+[1]Folha2!$I$43</f>
        <v>14800</v>
      </c>
      <c r="F98" s="1558">
        <f t="shared" si="6"/>
        <v>2022</v>
      </c>
      <c r="G98" s="153"/>
      <c r="H98" s="149"/>
      <c r="I98" s="133"/>
      <c r="J98" s="133"/>
      <c r="K98" s="131"/>
      <c r="L98" s="132"/>
      <c r="M98" s="182"/>
    </row>
    <row r="99" spans="1:13" ht="15" customHeight="1" outlineLevel="1" x14ac:dyDescent="0.25">
      <c r="A99" s="131"/>
      <c r="B99" s="1552">
        <v>4</v>
      </c>
      <c r="C99" s="201"/>
      <c r="D99" s="202"/>
      <c r="E99" s="216"/>
      <c r="F99" s="1558">
        <f t="shared" si="6"/>
        <v>1900</v>
      </c>
      <c r="G99" s="153"/>
      <c r="H99" s="149"/>
      <c r="I99" s="133"/>
      <c r="J99" s="133"/>
      <c r="K99" s="131"/>
      <c r="L99" s="132"/>
      <c r="M99" s="182"/>
    </row>
    <row r="100" spans="1:13" outlineLevel="1" x14ac:dyDescent="0.25">
      <c r="A100" s="131"/>
      <c r="B100" s="1552">
        <v>5</v>
      </c>
      <c r="C100" s="201"/>
      <c r="D100" s="202"/>
      <c r="E100" s="216"/>
      <c r="F100" s="1558">
        <f t="shared" si="6"/>
        <v>1900</v>
      </c>
      <c r="G100" s="153"/>
      <c r="H100" s="149"/>
      <c r="I100" s="133"/>
      <c r="J100" s="133"/>
      <c r="K100" s="131"/>
      <c r="L100" s="132"/>
      <c r="M100" s="182"/>
    </row>
    <row r="101" spans="1:13" ht="15" customHeight="1" outlineLevel="1" x14ac:dyDescent="0.25">
      <c r="A101" s="131"/>
      <c r="B101" s="1552">
        <v>6</v>
      </c>
      <c r="C101" s="201"/>
      <c r="D101" s="202"/>
      <c r="E101" s="216"/>
      <c r="F101" s="1558">
        <f t="shared" si="6"/>
        <v>1900</v>
      </c>
      <c r="G101" s="153"/>
      <c r="H101" s="149"/>
      <c r="I101" s="133"/>
      <c r="J101" s="133"/>
      <c r="K101" s="131"/>
      <c r="L101" s="132"/>
      <c r="M101" s="182"/>
    </row>
    <row r="102" spans="1:13" ht="15" customHeight="1" outlineLevel="1" x14ac:dyDescent="0.25">
      <c r="A102" s="131"/>
      <c r="B102" s="1552">
        <v>7</v>
      </c>
      <c r="C102" s="201"/>
      <c r="D102" s="202"/>
      <c r="E102" s="216"/>
      <c r="F102" s="1558">
        <f t="shared" si="6"/>
        <v>1900</v>
      </c>
      <c r="G102" s="153"/>
      <c r="H102" s="149"/>
      <c r="I102" s="133"/>
      <c r="J102" s="133"/>
      <c r="K102" s="131"/>
      <c r="L102" s="132"/>
      <c r="M102" s="182"/>
    </row>
    <row r="103" spans="1:13" ht="15" customHeight="1" outlineLevel="1" x14ac:dyDescent="0.25">
      <c r="A103" s="131"/>
      <c r="B103" s="1552">
        <v>8</v>
      </c>
      <c r="C103" s="201"/>
      <c r="D103" s="202"/>
      <c r="E103" s="216"/>
      <c r="F103" s="1558">
        <f t="shared" si="6"/>
        <v>1900</v>
      </c>
      <c r="G103" s="153"/>
      <c r="H103" s="149"/>
      <c r="I103" s="133"/>
      <c r="J103" s="133"/>
      <c r="K103" s="131"/>
      <c r="L103" s="132"/>
      <c r="M103" s="182"/>
    </row>
    <row r="104" spans="1:13" outlineLevel="1" x14ac:dyDescent="0.25">
      <c r="A104" s="131"/>
      <c r="B104" s="1552">
        <v>9</v>
      </c>
      <c r="C104" s="201"/>
      <c r="D104" s="202"/>
      <c r="E104" s="216"/>
      <c r="F104" s="1558">
        <f t="shared" si="6"/>
        <v>1900</v>
      </c>
      <c r="G104" s="153"/>
      <c r="H104" s="149"/>
      <c r="I104" s="133"/>
      <c r="J104" s="133"/>
      <c r="K104" s="131"/>
      <c r="L104" s="132"/>
      <c r="M104" s="182"/>
    </row>
    <row r="105" spans="1:13" outlineLevel="1" x14ac:dyDescent="0.25">
      <c r="A105" s="131"/>
      <c r="B105" s="1552">
        <v>10</v>
      </c>
      <c r="C105" s="201"/>
      <c r="D105" s="202"/>
      <c r="E105" s="216"/>
      <c r="F105" s="1558">
        <f t="shared" si="6"/>
        <v>1900</v>
      </c>
      <c r="G105" s="153"/>
      <c r="H105" s="149"/>
      <c r="I105" s="133"/>
      <c r="J105" s="133"/>
      <c r="K105" s="131"/>
      <c r="L105" s="132"/>
      <c r="M105" s="182"/>
    </row>
    <row r="106" spans="1:13" outlineLevel="1" x14ac:dyDescent="0.25">
      <c r="A106" s="131"/>
      <c r="B106" s="1552">
        <v>11</v>
      </c>
      <c r="C106" s="201"/>
      <c r="D106" s="202"/>
      <c r="E106" s="216"/>
      <c r="F106" s="1558">
        <f t="shared" si="6"/>
        <v>1900</v>
      </c>
      <c r="G106" s="153"/>
      <c r="H106" s="149"/>
      <c r="I106" s="133"/>
      <c r="J106" s="133"/>
      <c r="K106" s="131"/>
      <c r="L106" s="132"/>
      <c r="M106" s="182"/>
    </row>
    <row r="107" spans="1:13" outlineLevel="1" x14ac:dyDescent="0.25">
      <c r="A107" s="131"/>
      <c r="B107" s="1552">
        <v>12</v>
      </c>
      <c r="C107" s="201"/>
      <c r="D107" s="202"/>
      <c r="E107" s="216"/>
      <c r="F107" s="1558">
        <f t="shared" si="6"/>
        <v>1900</v>
      </c>
      <c r="G107" s="153"/>
      <c r="H107" s="149"/>
      <c r="I107" s="133"/>
      <c r="J107" s="133"/>
      <c r="K107" s="131"/>
      <c r="L107" s="132"/>
      <c r="M107" s="182"/>
    </row>
    <row r="108" spans="1:13" outlineLevel="1" x14ac:dyDescent="0.25">
      <c r="A108" s="131"/>
      <c r="B108" s="1552">
        <v>13</v>
      </c>
      <c r="C108" s="201"/>
      <c r="D108" s="202"/>
      <c r="E108" s="216"/>
      <c r="F108" s="1558">
        <f t="shared" si="6"/>
        <v>1900</v>
      </c>
      <c r="G108" s="153"/>
      <c r="H108" s="149"/>
      <c r="I108" s="133"/>
      <c r="J108" s="133"/>
      <c r="K108" s="131"/>
      <c r="L108" s="132"/>
      <c r="M108" s="182"/>
    </row>
    <row r="109" spans="1:13" outlineLevel="1" x14ac:dyDescent="0.25">
      <c r="A109" s="131"/>
      <c r="B109" s="1552">
        <v>14</v>
      </c>
      <c r="C109" s="201"/>
      <c r="D109" s="202"/>
      <c r="E109" s="216"/>
      <c r="F109" s="1558">
        <f t="shared" si="6"/>
        <v>1900</v>
      </c>
      <c r="G109" s="153"/>
      <c r="H109" s="149"/>
      <c r="I109" s="133"/>
      <c r="J109" s="133"/>
      <c r="K109" s="131"/>
      <c r="L109" s="132"/>
      <c r="M109" s="182"/>
    </row>
    <row r="110" spans="1:13" outlineLevel="1" x14ac:dyDescent="0.25">
      <c r="A110" s="131"/>
      <c r="B110" s="1552">
        <v>15</v>
      </c>
      <c r="C110" s="201"/>
      <c r="D110" s="202"/>
      <c r="E110" s="216"/>
      <c r="F110" s="1558">
        <f t="shared" si="6"/>
        <v>1900</v>
      </c>
      <c r="G110" s="153"/>
      <c r="H110" s="149"/>
      <c r="I110" s="133"/>
      <c r="J110" s="133"/>
      <c r="K110" s="131"/>
      <c r="L110" s="132"/>
      <c r="M110" s="182"/>
    </row>
    <row r="111" spans="1:13" outlineLevel="1" x14ac:dyDescent="0.25">
      <c r="A111" s="131"/>
      <c r="B111" s="1552">
        <v>16</v>
      </c>
      <c r="C111" s="201"/>
      <c r="D111" s="202"/>
      <c r="E111" s="216"/>
      <c r="F111" s="1558">
        <f t="shared" si="6"/>
        <v>1900</v>
      </c>
      <c r="G111" s="153"/>
      <c r="H111" s="149"/>
      <c r="I111" s="133"/>
      <c r="J111" s="133"/>
      <c r="K111" s="131"/>
      <c r="L111" s="132"/>
      <c r="M111" s="182"/>
    </row>
    <row r="112" spans="1:13" outlineLevel="1" x14ac:dyDescent="0.25">
      <c r="A112" s="131"/>
      <c r="B112" s="1552">
        <v>17</v>
      </c>
      <c r="C112" s="201"/>
      <c r="D112" s="202"/>
      <c r="E112" s="216"/>
      <c r="F112" s="1558">
        <f t="shared" si="6"/>
        <v>1900</v>
      </c>
      <c r="G112" s="153"/>
      <c r="H112" s="149"/>
      <c r="I112" s="133"/>
      <c r="J112" s="133"/>
      <c r="K112" s="131"/>
      <c r="L112" s="132"/>
      <c r="M112" s="182"/>
    </row>
    <row r="113" spans="1:13" outlineLevel="1" x14ac:dyDescent="0.25">
      <c r="A113" s="131"/>
      <c r="B113" s="1552">
        <v>18</v>
      </c>
      <c r="C113" s="201"/>
      <c r="D113" s="202"/>
      <c r="E113" s="216"/>
      <c r="F113" s="1558">
        <f t="shared" si="6"/>
        <v>1900</v>
      </c>
      <c r="G113" s="153"/>
      <c r="H113" s="149"/>
      <c r="I113" s="133"/>
      <c r="J113" s="133"/>
      <c r="K113" s="131"/>
      <c r="L113" s="132"/>
      <c r="M113" s="182"/>
    </row>
    <row r="114" spans="1:13" outlineLevel="1" x14ac:dyDescent="0.25">
      <c r="A114" s="131"/>
      <c r="B114" s="1552">
        <v>19</v>
      </c>
      <c r="C114" s="201"/>
      <c r="D114" s="202"/>
      <c r="E114" s="216"/>
      <c r="F114" s="1558">
        <f t="shared" si="6"/>
        <v>1900</v>
      </c>
      <c r="G114" s="153"/>
      <c r="H114" s="149"/>
      <c r="I114" s="133"/>
      <c r="J114" s="133"/>
      <c r="K114" s="131"/>
      <c r="L114" s="132"/>
      <c r="M114" s="182"/>
    </row>
    <row r="115" spans="1:13" outlineLevel="1" x14ac:dyDescent="0.25">
      <c r="A115" s="131"/>
      <c r="B115" s="1552">
        <v>20</v>
      </c>
      <c r="C115" s="201"/>
      <c r="D115" s="202"/>
      <c r="E115" s="216"/>
      <c r="F115" s="1558">
        <f t="shared" si="6"/>
        <v>1900</v>
      </c>
      <c r="G115" s="153"/>
      <c r="H115" s="149"/>
      <c r="I115" s="133"/>
      <c r="J115" s="133"/>
      <c r="K115" s="131"/>
      <c r="L115" s="132"/>
      <c r="M115" s="182"/>
    </row>
    <row r="116" spans="1:13" outlineLevel="1" x14ac:dyDescent="0.25">
      <c r="A116" s="131"/>
      <c r="B116" s="1552">
        <v>21</v>
      </c>
      <c r="C116" s="201"/>
      <c r="D116" s="202"/>
      <c r="E116" s="216"/>
      <c r="F116" s="1558">
        <f t="shared" si="6"/>
        <v>1900</v>
      </c>
      <c r="G116" s="153"/>
      <c r="H116" s="149"/>
      <c r="I116" s="133"/>
      <c r="J116" s="133"/>
      <c r="K116" s="131"/>
      <c r="L116" s="132"/>
      <c r="M116" s="182"/>
    </row>
    <row r="117" spans="1:13" outlineLevel="1" x14ac:dyDescent="0.25">
      <c r="A117" s="131"/>
      <c r="B117" s="1552">
        <v>22</v>
      </c>
      <c r="C117" s="201"/>
      <c r="D117" s="202"/>
      <c r="E117" s="216"/>
      <c r="F117" s="1558">
        <f t="shared" si="6"/>
        <v>1900</v>
      </c>
      <c r="G117" s="153"/>
      <c r="H117" s="149"/>
      <c r="I117" s="133"/>
      <c r="J117" s="133"/>
      <c r="K117" s="131"/>
      <c r="L117" s="132"/>
      <c r="M117" s="182"/>
    </row>
    <row r="118" spans="1:13" outlineLevel="1" x14ac:dyDescent="0.25">
      <c r="A118" s="131"/>
      <c r="B118" s="1552">
        <v>23</v>
      </c>
      <c r="C118" s="201"/>
      <c r="D118" s="202"/>
      <c r="E118" s="216"/>
      <c r="F118" s="1558">
        <f t="shared" si="6"/>
        <v>1900</v>
      </c>
      <c r="G118" s="153"/>
      <c r="H118" s="149"/>
      <c r="I118" s="133"/>
      <c r="J118" s="133"/>
      <c r="K118" s="131"/>
      <c r="L118" s="132"/>
      <c r="M118" s="182"/>
    </row>
    <row r="119" spans="1:13" outlineLevel="1" x14ac:dyDescent="0.25">
      <c r="A119" s="131"/>
      <c r="B119" s="1552">
        <v>24</v>
      </c>
      <c r="C119" s="201"/>
      <c r="D119" s="202"/>
      <c r="E119" s="216"/>
      <c r="F119" s="1558">
        <f t="shared" si="6"/>
        <v>1900</v>
      </c>
      <c r="G119" s="153"/>
      <c r="H119" s="149"/>
      <c r="I119" s="133"/>
      <c r="J119" s="133"/>
      <c r="K119" s="131"/>
      <c r="L119" s="132"/>
      <c r="M119" s="182"/>
    </row>
    <row r="120" spans="1:13" outlineLevel="1" x14ac:dyDescent="0.25">
      <c r="A120" s="131"/>
      <c r="B120" s="1552">
        <v>25</v>
      </c>
      <c r="C120" s="201"/>
      <c r="D120" s="202"/>
      <c r="E120" s="216"/>
      <c r="F120" s="1558">
        <f t="shared" si="6"/>
        <v>1900</v>
      </c>
      <c r="G120" s="153"/>
      <c r="H120" s="149"/>
      <c r="I120" s="133"/>
      <c r="J120" s="133"/>
      <c r="K120" s="131"/>
      <c r="L120" s="132"/>
      <c r="M120" s="182"/>
    </row>
    <row r="121" spans="1:13" outlineLevel="1" x14ac:dyDescent="0.25">
      <c r="A121" s="131"/>
      <c r="B121" s="1552">
        <v>26</v>
      </c>
      <c r="C121" s="201"/>
      <c r="D121" s="202"/>
      <c r="E121" s="216"/>
      <c r="F121" s="1558">
        <f t="shared" si="6"/>
        <v>1900</v>
      </c>
      <c r="G121" s="153"/>
      <c r="H121" s="149"/>
      <c r="I121" s="133"/>
      <c r="J121" s="133"/>
      <c r="K121" s="131"/>
      <c r="L121" s="132"/>
      <c r="M121" s="182"/>
    </row>
    <row r="122" spans="1:13" ht="15" customHeight="1" outlineLevel="1" x14ac:dyDescent="0.25">
      <c r="A122" s="131"/>
      <c r="B122" s="1552">
        <v>27</v>
      </c>
      <c r="C122" s="201"/>
      <c r="D122" s="202"/>
      <c r="E122" s="216"/>
      <c r="F122" s="1558">
        <f t="shared" si="6"/>
        <v>1900</v>
      </c>
      <c r="G122" s="153"/>
      <c r="H122" s="149"/>
      <c r="I122" s="133"/>
      <c r="J122" s="133"/>
      <c r="K122" s="131"/>
      <c r="L122" s="132"/>
      <c r="M122" s="182"/>
    </row>
    <row r="123" spans="1:13" outlineLevel="1" x14ac:dyDescent="0.25">
      <c r="A123" s="131"/>
      <c r="B123" s="1552">
        <v>28</v>
      </c>
      <c r="C123" s="201"/>
      <c r="D123" s="202"/>
      <c r="E123" s="216"/>
      <c r="F123" s="1558">
        <f t="shared" si="6"/>
        <v>1900</v>
      </c>
      <c r="G123" s="153"/>
      <c r="H123" s="149"/>
      <c r="I123" s="133"/>
      <c r="J123" s="133"/>
      <c r="K123" s="131"/>
      <c r="L123" s="132"/>
      <c r="M123" s="182"/>
    </row>
    <row r="124" spans="1:13" outlineLevel="1" x14ac:dyDescent="0.25">
      <c r="A124" s="131"/>
      <c r="B124" s="1552">
        <v>29</v>
      </c>
      <c r="C124" s="201"/>
      <c r="D124" s="202"/>
      <c r="E124" s="216"/>
      <c r="F124" s="1558">
        <f t="shared" si="6"/>
        <v>1900</v>
      </c>
      <c r="G124" s="153"/>
      <c r="H124" s="149"/>
      <c r="I124" s="133"/>
      <c r="J124" s="133"/>
      <c r="K124" s="131"/>
      <c r="L124" s="132"/>
      <c r="M124" s="182"/>
    </row>
    <row r="125" spans="1:13" outlineLevel="1" x14ac:dyDescent="0.25">
      <c r="A125" s="131"/>
      <c r="B125" s="1552">
        <v>30</v>
      </c>
      <c r="C125" s="201"/>
      <c r="D125" s="202"/>
      <c r="E125" s="216"/>
      <c r="F125" s="1558">
        <f t="shared" si="6"/>
        <v>1900</v>
      </c>
      <c r="G125" s="153"/>
      <c r="H125" s="149"/>
      <c r="I125" s="133"/>
      <c r="J125" s="133"/>
      <c r="K125" s="131"/>
      <c r="L125" s="132"/>
      <c r="M125" s="182"/>
    </row>
    <row r="126" spans="1:13" outlineLevel="1" x14ac:dyDescent="0.25">
      <c r="A126" s="131"/>
      <c r="B126" s="1552">
        <v>31</v>
      </c>
      <c r="C126" s="201"/>
      <c r="D126" s="202"/>
      <c r="E126" s="216"/>
      <c r="F126" s="1558">
        <f t="shared" si="6"/>
        <v>1900</v>
      </c>
      <c r="G126" s="153"/>
      <c r="H126" s="149"/>
      <c r="I126" s="133"/>
      <c r="J126" s="133"/>
      <c r="K126" s="131"/>
      <c r="L126" s="132"/>
      <c r="M126" s="182"/>
    </row>
    <row r="127" spans="1:13" outlineLevel="1" x14ac:dyDescent="0.25">
      <c r="A127" s="131"/>
      <c r="B127" s="1552">
        <v>32</v>
      </c>
      <c r="C127" s="201"/>
      <c r="D127" s="202"/>
      <c r="E127" s="216"/>
      <c r="F127" s="1558">
        <f t="shared" si="6"/>
        <v>1900</v>
      </c>
      <c r="G127" s="153"/>
      <c r="H127" s="149"/>
      <c r="I127" s="133"/>
      <c r="J127" s="133"/>
      <c r="K127" s="131"/>
      <c r="L127" s="132"/>
      <c r="M127" s="182"/>
    </row>
    <row r="128" spans="1:13" outlineLevel="1" x14ac:dyDescent="0.25">
      <c r="A128" s="131"/>
      <c r="B128" s="1552">
        <v>33</v>
      </c>
      <c r="C128" s="201"/>
      <c r="D128" s="202"/>
      <c r="E128" s="216"/>
      <c r="F128" s="1558">
        <f t="shared" si="6"/>
        <v>1900</v>
      </c>
      <c r="G128" s="153"/>
      <c r="H128" s="149"/>
      <c r="I128" s="133"/>
      <c r="J128" s="133"/>
      <c r="K128" s="131"/>
      <c r="L128" s="132"/>
      <c r="M128" s="182"/>
    </row>
    <row r="129" spans="1:13" outlineLevel="1" x14ac:dyDescent="0.25">
      <c r="A129" s="131"/>
      <c r="B129" s="1552">
        <v>34</v>
      </c>
      <c r="C129" s="201"/>
      <c r="D129" s="202"/>
      <c r="E129" s="216"/>
      <c r="F129" s="1558">
        <f t="shared" si="6"/>
        <v>1900</v>
      </c>
      <c r="G129" s="153"/>
      <c r="H129" s="149"/>
      <c r="I129" s="133"/>
      <c r="J129" s="133"/>
      <c r="K129" s="131"/>
      <c r="L129" s="132"/>
      <c r="M129" s="182"/>
    </row>
    <row r="130" spans="1:13" outlineLevel="1" x14ac:dyDescent="0.25">
      <c r="A130" s="131"/>
      <c r="B130" s="1552">
        <v>35</v>
      </c>
      <c r="C130" s="201"/>
      <c r="D130" s="202"/>
      <c r="E130" s="216"/>
      <c r="F130" s="1558">
        <f t="shared" si="6"/>
        <v>1900</v>
      </c>
      <c r="G130" s="153"/>
      <c r="H130" s="149"/>
      <c r="I130" s="133"/>
      <c r="J130" s="133"/>
      <c r="K130" s="131"/>
      <c r="L130" s="132"/>
      <c r="M130" s="182"/>
    </row>
    <row r="131" spans="1:13" outlineLevel="1" x14ac:dyDescent="0.25">
      <c r="A131" s="131"/>
      <c r="B131" s="1552">
        <v>36</v>
      </c>
      <c r="C131" s="201"/>
      <c r="D131" s="202"/>
      <c r="E131" s="216"/>
      <c r="F131" s="1558">
        <f t="shared" si="6"/>
        <v>1900</v>
      </c>
      <c r="G131" s="153"/>
      <c r="H131" s="149"/>
      <c r="I131" s="133"/>
      <c r="J131" s="133"/>
      <c r="K131" s="131"/>
      <c r="L131" s="132"/>
      <c r="M131" s="182"/>
    </row>
    <row r="132" spans="1:13" outlineLevel="1" x14ac:dyDescent="0.25">
      <c r="A132" s="131"/>
      <c r="B132" s="1552">
        <v>37</v>
      </c>
      <c r="C132" s="201"/>
      <c r="D132" s="202"/>
      <c r="E132" s="216"/>
      <c r="F132" s="1558">
        <f t="shared" si="6"/>
        <v>1900</v>
      </c>
      <c r="G132" s="153"/>
      <c r="H132" s="149"/>
      <c r="I132" s="133"/>
      <c r="J132" s="133"/>
      <c r="K132" s="131"/>
      <c r="L132" s="132"/>
      <c r="M132" s="182"/>
    </row>
    <row r="133" spans="1:13" outlineLevel="1" x14ac:dyDescent="0.25">
      <c r="A133" s="131"/>
      <c r="B133" s="1552">
        <v>38</v>
      </c>
      <c r="C133" s="201"/>
      <c r="D133" s="202"/>
      <c r="E133" s="216"/>
      <c r="F133" s="1558">
        <f t="shared" si="6"/>
        <v>1900</v>
      </c>
      <c r="G133" s="153"/>
      <c r="H133" s="149"/>
      <c r="I133" s="133"/>
      <c r="J133" s="133"/>
      <c r="K133" s="131"/>
      <c r="L133" s="132"/>
      <c r="M133" s="182"/>
    </row>
    <row r="134" spans="1:13" outlineLevel="1" x14ac:dyDescent="0.25">
      <c r="A134" s="131"/>
      <c r="B134" s="1552">
        <v>39</v>
      </c>
      <c r="C134" s="201"/>
      <c r="D134" s="202"/>
      <c r="E134" s="216"/>
      <c r="F134" s="1558">
        <f t="shared" si="6"/>
        <v>1900</v>
      </c>
      <c r="G134" s="153"/>
      <c r="H134" s="149"/>
      <c r="I134" s="133"/>
      <c r="J134" s="133"/>
      <c r="K134" s="131"/>
      <c r="L134" s="132"/>
      <c r="M134" s="182"/>
    </row>
    <row r="135" spans="1:13" outlineLevel="1" x14ac:dyDescent="0.25">
      <c r="A135" s="131"/>
      <c r="B135" s="1552">
        <v>40</v>
      </c>
      <c r="C135" s="201"/>
      <c r="D135" s="202"/>
      <c r="E135" s="216"/>
      <c r="F135" s="1558">
        <f t="shared" si="6"/>
        <v>1900</v>
      </c>
      <c r="G135" s="153"/>
      <c r="H135" s="149"/>
      <c r="I135" s="133"/>
      <c r="J135" s="133"/>
      <c r="K135" s="131"/>
      <c r="L135" s="132"/>
      <c r="M135" s="182"/>
    </row>
    <row r="136" spans="1:13" outlineLevel="1" x14ac:dyDescent="0.25">
      <c r="A136" s="131"/>
      <c r="B136" s="1552">
        <v>41</v>
      </c>
      <c r="C136" s="201"/>
      <c r="D136" s="202"/>
      <c r="E136" s="216"/>
      <c r="F136" s="1558">
        <f t="shared" si="6"/>
        <v>1900</v>
      </c>
      <c r="G136" s="153"/>
      <c r="H136" s="149"/>
      <c r="I136" s="133"/>
      <c r="J136" s="133"/>
      <c r="K136" s="131"/>
      <c r="L136" s="132"/>
      <c r="M136" s="182"/>
    </row>
    <row r="137" spans="1:13" outlineLevel="1" x14ac:dyDescent="0.25">
      <c r="A137" s="131"/>
      <c r="B137" s="1552">
        <v>42</v>
      </c>
      <c r="C137" s="201"/>
      <c r="D137" s="202"/>
      <c r="E137" s="216"/>
      <c r="F137" s="1558">
        <f t="shared" si="6"/>
        <v>1900</v>
      </c>
      <c r="G137" s="153"/>
      <c r="H137" s="149"/>
      <c r="I137" s="133"/>
      <c r="J137" s="133"/>
      <c r="K137" s="131"/>
      <c r="L137" s="132"/>
      <c r="M137" s="182"/>
    </row>
    <row r="138" spans="1:13" outlineLevel="1" x14ac:dyDescent="0.25">
      <c r="A138" s="131"/>
      <c r="B138" s="1552">
        <v>43</v>
      </c>
      <c r="C138" s="201"/>
      <c r="D138" s="202"/>
      <c r="E138" s="216"/>
      <c r="F138" s="1558">
        <f t="shared" si="6"/>
        <v>1900</v>
      </c>
      <c r="G138" s="153"/>
      <c r="H138" s="149"/>
      <c r="I138" s="133"/>
      <c r="J138" s="133"/>
      <c r="K138" s="131"/>
      <c r="L138" s="132"/>
      <c r="M138" s="182"/>
    </row>
    <row r="139" spans="1:13" outlineLevel="1" x14ac:dyDescent="0.25">
      <c r="A139" s="131"/>
      <c r="B139" s="1552">
        <v>44</v>
      </c>
      <c r="C139" s="201"/>
      <c r="D139" s="202"/>
      <c r="E139" s="216"/>
      <c r="F139" s="1558">
        <f t="shared" si="6"/>
        <v>1900</v>
      </c>
      <c r="G139" s="153"/>
      <c r="H139" s="149"/>
      <c r="I139" s="133"/>
      <c r="J139" s="133"/>
      <c r="K139" s="131"/>
      <c r="L139" s="132"/>
      <c r="M139" s="182"/>
    </row>
    <row r="140" spans="1:13" outlineLevel="1" x14ac:dyDescent="0.25">
      <c r="A140" s="131"/>
      <c r="B140" s="1552">
        <v>45</v>
      </c>
      <c r="C140" s="201"/>
      <c r="D140" s="202"/>
      <c r="E140" s="216"/>
      <c r="F140" s="1558">
        <f t="shared" si="6"/>
        <v>1900</v>
      </c>
      <c r="G140" s="153"/>
      <c r="H140" s="149"/>
      <c r="I140" s="133"/>
      <c r="J140" s="133"/>
      <c r="K140" s="131"/>
      <c r="L140" s="132"/>
      <c r="M140" s="182"/>
    </row>
    <row r="141" spans="1:13" outlineLevel="1" x14ac:dyDescent="0.25">
      <c r="A141" s="131"/>
      <c r="B141" s="1552">
        <v>46</v>
      </c>
      <c r="C141" s="201"/>
      <c r="D141" s="202"/>
      <c r="E141" s="216"/>
      <c r="F141" s="1558">
        <f t="shared" si="6"/>
        <v>1900</v>
      </c>
      <c r="G141" s="153"/>
      <c r="H141" s="149"/>
      <c r="I141" s="133"/>
      <c r="J141" s="133"/>
      <c r="K141" s="131"/>
      <c r="L141" s="132"/>
      <c r="M141" s="182"/>
    </row>
    <row r="142" spans="1:13" outlineLevel="1" x14ac:dyDescent="0.25">
      <c r="A142" s="131"/>
      <c r="B142" s="1552">
        <v>47</v>
      </c>
      <c r="C142" s="201"/>
      <c r="D142" s="202"/>
      <c r="E142" s="216"/>
      <c r="F142" s="1558">
        <f t="shared" si="6"/>
        <v>1900</v>
      </c>
      <c r="G142" s="153"/>
      <c r="H142" s="149"/>
      <c r="I142" s="133"/>
      <c r="J142" s="133"/>
      <c r="K142" s="131"/>
      <c r="L142" s="132"/>
      <c r="M142" s="182"/>
    </row>
    <row r="143" spans="1:13" outlineLevel="1" x14ac:dyDescent="0.25">
      <c r="A143" s="131"/>
      <c r="B143" s="1552">
        <v>48</v>
      </c>
      <c r="C143" s="201"/>
      <c r="D143" s="202"/>
      <c r="E143" s="216"/>
      <c r="F143" s="1558">
        <f t="shared" si="6"/>
        <v>1900</v>
      </c>
      <c r="G143" s="153"/>
      <c r="H143" s="149"/>
      <c r="I143" s="133"/>
      <c r="J143" s="133"/>
      <c r="K143" s="131"/>
      <c r="L143" s="132"/>
      <c r="M143" s="182"/>
    </row>
    <row r="144" spans="1:13" outlineLevel="1" x14ac:dyDescent="0.25">
      <c r="A144" s="131"/>
      <c r="B144" s="1552">
        <v>49</v>
      </c>
      <c r="C144" s="201"/>
      <c r="D144" s="202"/>
      <c r="E144" s="216"/>
      <c r="F144" s="1558">
        <f t="shared" si="6"/>
        <v>1900</v>
      </c>
      <c r="G144" s="153"/>
      <c r="H144" s="149"/>
      <c r="I144" s="133"/>
      <c r="J144" s="133"/>
      <c r="K144" s="131"/>
      <c r="L144" s="132"/>
      <c r="M144" s="182"/>
    </row>
    <row r="145" spans="1:13" outlineLevel="1" x14ac:dyDescent="0.25">
      <c r="A145" s="131"/>
      <c r="B145" s="1552">
        <v>50</v>
      </c>
      <c r="C145" s="201"/>
      <c r="D145" s="202"/>
      <c r="E145" s="216"/>
      <c r="F145" s="1558">
        <f t="shared" si="6"/>
        <v>1900</v>
      </c>
      <c r="G145" s="153"/>
      <c r="H145" s="149"/>
      <c r="I145" s="133"/>
      <c r="J145" s="133"/>
      <c r="K145" s="131"/>
      <c r="L145" s="132"/>
      <c r="M145" s="182"/>
    </row>
    <row r="146" spans="1:13" outlineLevel="1" x14ac:dyDescent="0.25">
      <c r="A146" s="131"/>
      <c r="B146" s="1552">
        <v>51</v>
      </c>
      <c r="C146" s="201"/>
      <c r="D146" s="202"/>
      <c r="E146" s="216"/>
      <c r="F146" s="1558">
        <f t="shared" si="6"/>
        <v>1900</v>
      </c>
      <c r="G146" s="153"/>
      <c r="H146" s="149"/>
      <c r="I146" s="133"/>
      <c r="J146" s="133"/>
      <c r="K146" s="131"/>
      <c r="L146" s="132"/>
      <c r="M146" s="182"/>
    </row>
    <row r="147" spans="1:13" outlineLevel="1" x14ac:dyDescent="0.25">
      <c r="A147" s="131"/>
      <c r="B147" s="1552">
        <v>52</v>
      </c>
      <c r="C147" s="201"/>
      <c r="D147" s="202"/>
      <c r="E147" s="216"/>
      <c r="F147" s="1558">
        <f t="shared" si="6"/>
        <v>1900</v>
      </c>
      <c r="G147" s="153"/>
      <c r="H147" s="149"/>
      <c r="I147" s="133"/>
      <c r="J147" s="133"/>
      <c r="K147" s="131"/>
      <c r="L147" s="132"/>
      <c r="M147" s="182"/>
    </row>
    <row r="148" spans="1:13" outlineLevel="1" x14ac:dyDescent="0.25">
      <c r="A148" s="131"/>
      <c r="B148" s="1552">
        <v>53</v>
      </c>
      <c r="C148" s="201"/>
      <c r="D148" s="202"/>
      <c r="E148" s="216"/>
      <c r="F148" s="1558">
        <f t="shared" si="6"/>
        <v>1900</v>
      </c>
      <c r="G148" s="153"/>
      <c r="H148" s="149"/>
      <c r="I148" s="133"/>
      <c r="J148" s="133"/>
      <c r="K148" s="131"/>
      <c r="L148" s="132"/>
      <c r="M148" s="182"/>
    </row>
    <row r="149" spans="1:13" outlineLevel="1" x14ac:dyDescent="0.25">
      <c r="A149" s="131"/>
      <c r="B149" s="1552">
        <v>54</v>
      </c>
      <c r="C149" s="201"/>
      <c r="D149" s="202"/>
      <c r="E149" s="216"/>
      <c r="F149" s="1558">
        <f t="shared" si="6"/>
        <v>1900</v>
      </c>
      <c r="G149" s="153"/>
      <c r="H149" s="149"/>
      <c r="I149" s="133"/>
      <c r="J149" s="133"/>
      <c r="K149" s="131"/>
      <c r="L149" s="132"/>
      <c r="M149" s="182"/>
    </row>
    <row r="150" spans="1:13" outlineLevel="1" x14ac:dyDescent="0.25">
      <c r="A150" s="131"/>
      <c r="B150" s="1552">
        <v>55</v>
      </c>
      <c r="C150" s="201"/>
      <c r="D150" s="202"/>
      <c r="E150" s="216"/>
      <c r="F150" s="1558">
        <f t="shared" si="6"/>
        <v>1900</v>
      </c>
      <c r="G150" s="153"/>
      <c r="H150" s="149"/>
      <c r="I150" s="133"/>
      <c r="J150" s="133"/>
      <c r="K150" s="131"/>
      <c r="L150" s="132"/>
      <c r="M150" s="182"/>
    </row>
    <row r="151" spans="1:13" outlineLevel="1" x14ac:dyDescent="0.25">
      <c r="A151" s="131"/>
      <c r="B151" s="1552">
        <v>56</v>
      </c>
      <c r="C151" s="201"/>
      <c r="D151" s="202"/>
      <c r="E151" s="216"/>
      <c r="F151" s="1558">
        <f t="shared" si="6"/>
        <v>1900</v>
      </c>
      <c r="G151" s="153"/>
      <c r="H151" s="149"/>
      <c r="I151" s="133"/>
      <c r="J151" s="133"/>
      <c r="K151" s="131"/>
      <c r="L151" s="132"/>
      <c r="M151" s="182"/>
    </row>
    <row r="152" spans="1:13" outlineLevel="1" x14ac:dyDescent="0.25">
      <c r="A152" s="131"/>
      <c r="B152" s="1552">
        <v>57</v>
      </c>
      <c r="C152" s="201"/>
      <c r="D152" s="202"/>
      <c r="E152" s="216"/>
      <c r="F152" s="1558">
        <f t="shared" si="6"/>
        <v>1900</v>
      </c>
      <c r="G152" s="153"/>
      <c r="H152" s="149"/>
      <c r="I152" s="133"/>
      <c r="J152" s="133"/>
      <c r="K152" s="131"/>
      <c r="L152" s="132"/>
      <c r="M152" s="182"/>
    </row>
    <row r="153" spans="1:13" outlineLevel="1" x14ac:dyDescent="0.25">
      <c r="A153" s="131"/>
      <c r="B153" s="1552">
        <v>58</v>
      </c>
      <c r="C153" s="201"/>
      <c r="D153" s="202"/>
      <c r="E153" s="216"/>
      <c r="F153" s="1558">
        <f t="shared" si="6"/>
        <v>1900</v>
      </c>
      <c r="G153" s="153"/>
      <c r="H153" s="149"/>
      <c r="I153" s="133"/>
      <c r="J153" s="133"/>
      <c r="K153" s="131"/>
      <c r="L153" s="132"/>
      <c r="M153" s="182"/>
    </row>
    <row r="154" spans="1:13" outlineLevel="1" x14ac:dyDescent="0.25">
      <c r="A154" s="131"/>
      <c r="B154" s="1552">
        <v>59</v>
      </c>
      <c r="C154" s="201"/>
      <c r="D154" s="202"/>
      <c r="E154" s="216"/>
      <c r="F154" s="1558">
        <f t="shared" si="6"/>
        <v>1900</v>
      </c>
      <c r="G154" s="153"/>
      <c r="H154" s="149"/>
      <c r="I154" s="133"/>
      <c r="J154" s="133"/>
      <c r="K154" s="131"/>
      <c r="L154" s="132"/>
      <c r="M154" s="182"/>
    </row>
    <row r="155" spans="1:13" outlineLevel="1" x14ac:dyDescent="0.25">
      <c r="A155" s="131"/>
      <c r="B155" s="1552">
        <v>60</v>
      </c>
      <c r="C155" s="201"/>
      <c r="D155" s="202"/>
      <c r="E155" s="216"/>
      <c r="F155" s="1558">
        <f t="shared" si="6"/>
        <v>1900</v>
      </c>
      <c r="G155" s="153"/>
      <c r="H155" s="149"/>
      <c r="I155" s="133"/>
      <c r="J155" s="133"/>
      <c r="K155" s="131"/>
      <c r="L155" s="132"/>
      <c r="M155" s="182"/>
    </row>
    <row r="156" spans="1:13" outlineLevel="1" x14ac:dyDescent="0.25">
      <c r="A156" s="131"/>
      <c r="B156" s="1552">
        <v>61</v>
      </c>
      <c r="C156" s="201"/>
      <c r="D156" s="202"/>
      <c r="E156" s="216"/>
      <c r="F156" s="1558">
        <f t="shared" si="6"/>
        <v>1900</v>
      </c>
      <c r="G156" s="153"/>
      <c r="H156" s="149"/>
      <c r="I156" s="133"/>
      <c r="J156" s="133"/>
      <c r="K156" s="131"/>
      <c r="L156" s="132"/>
      <c r="M156" s="182"/>
    </row>
    <row r="157" spans="1:13" outlineLevel="1" x14ac:dyDescent="0.25">
      <c r="A157" s="131"/>
      <c r="B157" s="1552">
        <v>62</v>
      </c>
      <c r="C157" s="201"/>
      <c r="D157" s="202"/>
      <c r="E157" s="216"/>
      <c r="F157" s="1558">
        <f t="shared" si="6"/>
        <v>1900</v>
      </c>
      <c r="G157" s="153"/>
      <c r="H157" s="149"/>
      <c r="I157" s="133"/>
      <c r="J157" s="133"/>
      <c r="K157" s="131"/>
      <c r="L157" s="132"/>
      <c r="M157" s="182"/>
    </row>
    <row r="158" spans="1:13" outlineLevel="1" x14ac:dyDescent="0.25">
      <c r="A158" s="131"/>
      <c r="B158" s="1552">
        <v>63</v>
      </c>
      <c r="C158" s="201"/>
      <c r="D158" s="202"/>
      <c r="E158" s="216"/>
      <c r="F158" s="1558">
        <f t="shared" si="6"/>
        <v>1900</v>
      </c>
      <c r="G158" s="153"/>
      <c r="H158" s="149"/>
      <c r="I158" s="133"/>
      <c r="J158" s="133"/>
      <c r="K158" s="131"/>
      <c r="L158" s="132"/>
      <c r="M158" s="182"/>
    </row>
    <row r="159" spans="1:13" outlineLevel="1" x14ac:dyDescent="0.25">
      <c r="A159" s="131"/>
      <c r="B159" s="1552">
        <v>64</v>
      </c>
      <c r="C159" s="201"/>
      <c r="D159" s="202"/>
      <c r="E159" s="216"/>
      <c r="F159" s="1558">
        <f t="shared" si="6"/>
        <v>1900</v>
      </c>
      <c r="G159" s="153"/>
      <c r="H159" s="149"/>
      <c r="I159" s="133"/>
      <c r="J159" s="133"/>
      <c r="K159" s="131"/>
      <c r="L159" s="132"/>
      <c r="M159" s="182"/>
    </row>
    <row r="160" spans="1:13" outlineLevel="1" x14ac:dyDescent="0.25">
      <c r="A160" s="131"/>
      <c r="B160" s="1552">
        <v>65</v>
      </c>
      <c r="C160" s="201"/>
      <c r="D160" s="202"/>
      <c r="E160" s="216"/>
      <c r="F160" s="1558">
        <f t="shared" si="6"/>
        <v>1900</v>
      </c>
      <c r="G160" s="153"/>
      <c r="H160" s="149"/>
      <c r="I160" s="133"/>
      <c r="J160" s="133"/>
      <c r="K160" s="131"/>
      <c r="L160" s="132"/>
      <c r="M160" s="182"/>
    </row>
    <row r="161" spans="1:13" outlineLevel="1" x14ac:dyDescent="0.25">
      <c r="A161" s="131"/>
      <c r="B161" s="1552">
        <v>66</v>
      </c>
      <c r="C161" s="201"/>
      <c r="D161" s="202"/>
      <c r="E161" s="216"/>
      <c r="F161" s="1558">
        <f t="shared" ref="F161:F258" si="7">YEAR(D161)</f>
        <v>1900</v>
      </c>
      <c r="G161" s="153"/>
      <c r="H161" s="149"/>
      <c r="I161" s="133"/>
      <c r="J161" s="133"/>
      <c r="K161" s="131"/>
      <c r="L161" s="132"/>
      <c r="M161" s="182"/>
    </row>
    <row r="162" spans="1:13" outlineLevel="1" x14ac:dyDescent="0.25">
      <c r="A162" s="131"/>
      <c r="B162" s="1552">
        <v>67</v>
      </c>
      <c r="C162" s="201"/>
      <c r="D162" s="202"/>
      <c r="E162" s="216"/>
      <c r="F162" s="1558">
        <f t="shared" si="7"/>
        <v>1900</v>
      </c>
      <c r="G162" s="153"/>
      <c r="H162" s="149"/>
      <c r="I162" s="133"/>
      <c r="J162" s="133"/>
      <c r="K162" s="131"/>
      <c r="L162" s="132"/>
      <c r="M162" s="182"/>
    </row>
    <row r="163" spans="1:13" outlineLevel="1" x14ac:dyDescent="0.25">
      <c r="A163" s="131"/>
      <c r="B163" s="1552">
        <v>68</v>
      </c>
      <c r="C163" s="201"/>
      <c r="D163" s="202"/>
      <c r="E163" s="216"/>
      <c r="F163" s="1558">
        <f t="shared" si="7"/>
        <v>1900</v>
      </c>
      <c r="G163" s="153"/>
      <c r="H163" s="149"/>
      <c r="I163" s="133"/>
      <c r="J163" s="133"/>
      <c r="K163" s="131"/>
      <c r="L163" s="132"/>
      <c r="M163" s="182"/>
    </row>
    <row r="164" spans="1:13" outlineLevel="1" x14ac:dyDescent="0.25">
      <c r="A164" s="131"/>
      <c r="B164" s="1552">
        <v>69</v>
      </c>
      <c r="C164" s="201"/>
      <c r="D164" s="202"/>
      <c r="E164" s="216"/>
      <c r="F164" s="1558">
        <f t="shared" si="7"/>
        <v>1900</v>
      </c>
      <c r="G164" s="153"/>
      <c r="H164" s="149"/>
      <c r="I164" s="133"/>
      <c r="J164" s="133"/>
      <c r="K164" s="131"/>
      <c r="L164" s="132"/>
      <c r="M164" s="182"/>
    </row>
    <row r="165" spans="1:13" outlineLevel="1" x14ac:dyDescent="0.25">
      <c r="A165" s="131"/>
      <c r="B165" s="1552">
        <v>70</v>
      </c>
      <c r="C165" s="201"/>
      <c r="D165" s="202"/>
      <c r="E165" s="216"/>
      <c r="F165" s="1558">
        <f t="shared" si="7"/>
        <v>1900</v>
      </c>
      <c r="G165" s="153"/>
      <c r="H165" s="149"/>
      <c r="I165" s="133"/>
      <c r="J165" s="133"/>
      <c r="K165" s="131"/>
      <c r="L165" s="132"/>
      <c r="M165" s="182"/>
    </row>
    <row r="166" spans="1:13" outlineLevel="1" x14ac:dyDescent="0.25">
      <c r="A166" s="131"/>
      <c r="B166" s="1552">
        <v>71</v>
      </c>
      <c r="C166" s="201"/>
      <c r="D166" s="202"/>
      <c r="E166" s="216"/>
      <c r="F166" s="1558">
        <f t="shared" si="7"/>
        <v>1900</v>
      </c>
      <c r="G166" s="153"/>
      <c r="H166" s="149"/>
      <c r="I166" s="133"/>
      <c r="J166" s="133"/>
      <c r="K166" s="131"/>
      <c r="L166" s="132"/>
      <c r="M166" s="182"/>
    </row>
    <row r="167" spans="1:13" outlineLevel="1" x14ac:dyDescent="0.25">
      <c r="A167" s="131"/>
      <c r="B167" s="1552">
        <v>72</v>
      </c>
      <c r="C167" s="201"/>
      <c r="D167" s="202"/>
      <c r="E167" s="216"/>
      <c r="F167" s="1558">
        <f t="shared" si="7"/>
        <v>1900</v>
      </c>
      <c r="G167" s="153"/>
      <c r="H167" s="149"/>
      <c r="I167" s="133"/>
      <c r="J167" s="133"/>
      <c r="K167" s="131"/>
      <c r="L167" s="132"/>
      <c r="M167" s="182"/>
    </row>
    <row r="168" spans="1:13" outlineLevel="1" x14ac:dyDescent="0.25">
      <c r="A168" s="131"/>
      <c r="B168" s="1552">
        <v>73</v>
      </c>
      <c r="C168" s="201"/>
      <c r="D168" s="202"/>
      <c r="E168" s="216"/>
      <c r="F168" s="1558">
        <f t="shared" si="7"/>
        <v>1900</v>
      </c>
      <c r="G168" s="153"/>
      <c r="H168" s="149"/>
      <c r="I168" s="133"/>
      <c r="J168" s="133"/>
      <c r="K168" s="131"/>
      <c r="L168" s="132"/>
      <c r="M168" s="182"/>
    </row>
    <row r="169" spans="1:13" outlineLevel="1" x14ac:dyDescent="0.25">
      <c r="A169" s="131"/>
      <c r="B169" s="1552">
        <v>74</v>
      </c>
      <c r="C169" s="201"/>
      <c r="D169" s="202"/>
      <c r="E169" s="216"/>
      <c r="F169" s="1558">
        <f t="shared" si="7"/>
        <v>1900</v>
      </c>
      <c r="G169" s="153"/>
      <c r="H169" s="149"/>
      <c r="I169" s="133"/>
      <c r="J169" s="133"/>
      <c r="K169" s="131"/>
      <c r="L169" s="132"/>
      <c r="M169" s="182"/>
    </row>
    <row r="170" spans="1:13" outlineLevel="1" x14ac:dyDescent="0.25">
      <c r="A170" s="131"/>
      <c r="B170" s="1552">
        <v>75</v>
      </c>
      <c r="C170" s="201"/>
      <c r="D170" s="202"/>
      <c r="E170" s="216"/>
      <c r="F170" s="1558">
        <f t="shared" si="7"/>
        <v>1900</v>
      </c>
      <c r="G170" s="153"/>
      <c r="H170" s="149"/>
      <c r="I170" s="133"/>
      <c r="J170" s="133"/>
      <c r="K170" s="131"/>
      <c r="L170" s="132"/>
      <c r="M170" s="182"/>
    </row>
    <row r="171" spans="1:13" outlineLevel="1" x14ac:dyDescent="0.25">
      <c r="A171" s="131"/>
      <c r="B171" s="1552">
        <v>76</v>
      </c>
      <c r="C171" s="201"/>
      <c r="D171" s="202"/>
      <c r="E171" s="216"/>
      <c r="F171" s="1558">
        <f t="shared" si="7"/>
        <v>1900</v>
      </c>
      <c r="G171" s="153"/>
      <c r="H171" s="149"/>
      <c r="I171" s="133"/>
      <c r="J171" s="133"/>
      <c r="K171" s="131"/>
      <c r="L171" s="132"/>
      <c r="M171" s="182"/>
    </row>
    <row r="172" spans="1:13" outlineLevel="1" x14ac:dyDescent="0.25">
      <c r="A172" s="131"/>
      <c r="B172" s="1552">
        <v>77</v>
      </c>
      <c r="C172" s="201"/>
      <c r="D172" s="202"/>
      <c r="E172" s="216"/>
      <c r="F172" s="1558">
        <f t="shared" si="7"/>
        <v>1900</v>
      </c>
      <c r="G172" s="153"/>
      <c r="H172" s="149"/>
      <c r="I172" s="133"/>
      <c r="J172" s="133"/>
      <c r="K172" s="131"/>
      <c r="L172" s="132"/>
      <c r="M172" s="182"/>
    </row>
    <row r="173" spans="1:13" outlineLevel="1" x14ac:dyDescent="0.25">
      <c r="A173" s="131"/>
      <c r="B173" s="1552">
        <v>78</v>
      </c>
      <c r="C173" s="201"/>
      <c r="D173" s="202"/>
      <c r="E173" s="216"/>
      <c r="F173" s="1558">
        <f t="shared" si="7"/>
        <v>1900</v>
      </c>
      <c r="G173" s="153"/>
      <c r="H173" s="149"/>
      <c r="I173" s="133"/>
      <c r="J173" s="133"/>
      <c r="K173" s="131"/>
      <c r="L173" s="132"/>
      <c r="M173" s="182"/>
    </row>
    <row r="174" spans="1:13" outlineLevel="1" x14ac:dyDescent="0.25">
      <c r="A174" s="131"/>
      <c r="B174" s="1552">
        <v>79</v>
      </c>
      <c r="C174" s="201"/>
      <c r="D174" s="202"/>
      <c r="E174" s="216"/>
      <c r="F174" s="1558">
        <f t="shared" si="7"/>
        <v>1900</v>
      </c>
      <c r="G174" s="153"/>
      <c r="H174" s="149"/>
      <c r="I174" s="133"/>
      <c r="J174" s="133"/>
      <c r="K174" s="131"/>
      <c r="L174" s="132"/>
      <c r="M174" s="182"/>
    </row>
    <row r="175" spans="1:13" outlineLevel="1" x14ac:dyDescent="0.25">
      <c r="A175" s="131"/>
      <c r="B175" s="1552">
        <v>80</v>
      </c>
      <c r="C175" s="201"/>
      <c r="D175" s="202"/>
      <c r="E175" s="216"/>
      <c r="F175" s="1558">
        <f t="shared" si="7"/>
        <v>1900</v>
      </c>
      <c r="G175" s="153"/>
      <c r="H175" s="149"/>
      <c r="I175" s="133"/>
      <c r="J175" s="133"/>
      <c r="K175" s="131"/>
      <c r="L175" s="132"/>
      <c r="M175" s="182"/>
    </row>
    <row r="176" spans="1:13" outlineLevel="1" x14ac:dyDescent="0.25">
      <c r="A176" s="131"/>
      <c r="B176" s="1552">
        <v>81</v>
      </c>
      <c r="C176" s="201"/>
      <c r="D176" s="202"/>
      <c r="E176" s="216"/>
      <c r="F176" s="1558">
        <f t="shared" si="7"/>
        <v>1900</v>
      </c>
      <c r="G176" s="153"/>
      <c r="H176" s="149"/>
      <c r="I176" s="133"/>
      <c r="J176" s="133"/>
      <c r="K176" s="131"/>
      <c r="L176" s="132"/>
      <c r="M176" s="182"/>
    </row>
    <row r="177" spans="1:13" outlineLevel="1" x14ac:dyDescent="0.25">
      <c r="A177" s="131"/>
      <c r="B177" s="1552">
        <v>82</v>
      </c>
      <c r="C177" s="201"/>
      <c r="D177" s="202"/>
      <c r="E177" s="216"/>
      <c r="F177" s="1558">
        <f t="shared" si="7"/>
        <v>1900</v>
      </c>
      <c r="G177" s="153"/>
      <c r="H177" s="149"/>
      <c r="I177" s="133"/>
      <c r="J177" s="133"/>
      <c r="K177" s="131"/>
      <c r="L177" s="132"/>
      <c r="M177" s="182"/>
    </row>
    <row r="178" spans="1:13" outlineLevel="1" x14ac:dyDescent="0.25">
      <c r="A178" s="131"/>
      <c r="B178" s="1552">
        <v>83</v>
      </c>
      <c r="C178" s="201"/>
      <c r="D178" s="202"/>
      <c r="E178" s="216"/>
      <c r="F178" s="1558">
        <f t="shared" si="7"/>
        <v>1900</v>
      </c>
      <c r="G178" s="153"/>
      <c r="H178" s="149"/>
      <c r="I178" s="133"/>
      <c r="J178" s="133"/>
      <c r="K178" s="131"/>
      <c r="L178" s="132"/>
      <c r="M178" s="182"/>
    </row>
    <row r="179" spans="1:13" outlineLevel="1" x14ac:dyDescent="0.25">
      <c r="A179" s="131"/>
      <c r="B179" s="1552">
        <v>84</v>
      </c>
      <c r="C179" s="201"/>
      <c r="D179" s="202"/>
      <c r="E179" s="216"/>
      <c r="F179" s="1558">
        <f t="shared" si="7"/>
        <v>1900</v>
      </c>
      <c r="G179" s="153"/>
      <c r="H179" s="149"/>
      <c r="I179" s="133"/>
      <c r="J179" s="133"/>
      <c r="K179" s="131"/>
      <c r="L179" s="132"/>
      <c r="M179" s="182"/>
    </row>
    <row r="180" spans="1:13" outlineLevel="1" x14ac:dyDescent="0.25">
      <c r="A180" s="131"/>
      <c r="B180" s="1552">
        <v>85</v>
      </c>
      <c r="C180" s="201"/>
      <c r="D180" s="202"/>
      <c r="E180" s="216"/>
      <c r="F180" s="1558">
        <f t="shared" si="7"/>
        <v>1900</v>
      </c>
      <c r="G180" s="153"/>
      <c r="H180" s="149"/>
      <c r="I180" s="133"/>
      <c r="J180" s="133"/>
      <c r="K180" s="131"/>
      <c r="L180" s="132"/>
      <c r="M180" s="182"/>
    </row>
    <row r="181" spans="1:13" outlineLevel="1" x14ac:dyDescent="0.25">
      <c r="A181" s="131"/>
      <c r="B181" s="1552">
        <v>86</v>
      </c>
      <c r="C181" s="201"/>
      <c r="D181" s="202"/>
      <c r="E181" s="216"/>
      <c r="F181" s="1558">
        <f t="shared" si="7"/>
        <v>1900</v>
      </c>
      <c r="G181" s="153"/>
      <c r="H181" s="149"/>
      <c r="I181" s="133"/>
      <c r="J181" s="133"/>
      <c r="K181" s="131"/>
      <c r="L181" s="132"/>
      <c r="M181" s="182"/>
    </row>
    <row r="182" spans="1:13" outlineLevel="1" x14ac:dyDescent="0.25">
      <c r="A182" s="131"/>
      <c r="B182" s="1552">
        <v>87</v>
      </c>
      <c r="C182" s="201"/>
      <c r="D182" s="202"/>
      <c r="E182" s="216"/>
      <c r="F182" s="1558">
        <f t="shared" si="7"/>
        <v>1900</v>
      </c>
      <c r="G182" s="153"/>
      <c r="H182" s="149"/>
      <c r="I182" s="133"/>
      <c r="J182" s="133"/>
      <c r="K182" s="131"/>
      <c r="L182" s="132"/>
      <c r="M182" s="182"/>
    </row>
    <row r="183" spans="1:13" outlineLevel="1" x14ac:dyDescent="0.25">
      <c r="A183" s="131"/>
      <c r="B183" s="1552">
        <v>88</v>
      </c>
      <c r="C183" s="201"/>
      <c r="D183" s="202"/>
      <c r="E183" s="216"/>
      <c r="F183" s="1558">
        <f t="shared" si="7"/>
        <v>1900</v>
      </c>
      <c r="G183" s="153"/>
      <c r="H183" s="149"/>
      <c r="I183" s="133"/>
      <c r="J183" s="133"/>
      <c r="K183" s="131"/>
      <c r="L183" s="132"/>
      <c r="M183" s="182"/>
    </row>
    <row r="184" spans="1:13" outlineLevel="1" x14ac:dyDescent="0.25">
      <c r="A184" s="131"/>
      <c r="B184" s="1552">
        <v>89</v>
      </c>
      <c r="C184" s="201"/>
      <c r="D184" s="202"/>
      <c r="E184" s="216"/>
      <c r="F184" s="1558">
        <f t="shared" si="7"/>
        <v>1900</v>
      </c>
      <c r="G184" s="153"/>
      <c r="H184" s="149"/>
      <c r="I184" s="133"/>
      <c r="J184" s="133"/>
      <c r="K184" s="131"/>
      <c r="L184" s="132"/>
      <c r="M184" s="182"/>
    </row>
    <row r="185" spans="1:13" outlineLevel="1" x14ac:dyDescent="0.25">
      <c r="A185" s="131"/>
      <c r="B185" s="1552">
        <v>90</v>
      </c>
      <c r="C185" s="201"/>
      <c r="D185" s="202"/>
      <c r="E185" s="216"/>
      <c r="F185" s="1558">
        <f t="shared" si="7"/>
        <v>1900</v>
      </c>
      <c r="G185" s="153"/>
      <c r="H185" s="149"/>
      <c r="I185" s="133"/>
      <c r="J185" s="133"/>
      <c r="K185" s="131"/>
      <c r="L185" s="132"/>
      <c r="M185" s="182"/>
    </row>
    <row r="186" spans="1:13" outlineLevel="1" x14ac:dyDescent="0.25">
      <c r="A186" s="131"/>
      <c r="B186" s="1552">
        <v>91</v>
      </c>
      <c r="C186" s="201"/>
      <c r="D186" s="202"/>
      <c r="E186" s="216"/>
      <c r="F186" s="1558">
        <f t="shared" si="7"/>
        <v>1900</v>
      </c>
      <c r="G186" s="153"/>
      <c r="H186" s="149"/>
      <c r="I186" s="133"/>
      <c r="J186" s="133"/>
      <c r="K186" s="131"/>
      <c r="L186" s="132"/>
      <c r="M186" s="182"/>
    </row>
    <row r="187" spans="1:13" outlineLevel="1" x14ac:dyDescent="0.25">
      <c r="A187" s="131"/>
      <c r="B187" s="1552">
        <v>92</v>
      </c>
      <c r="C187" s="201"/>
      <c r="D187" s="202"/>
      <c r="E187" s="216"/>
      <c r="F187" s="1558">
        <f t="shared" si="7"/>
        <v>1900</v>
      </c>
      <c r="G187" s="153"/>
      <c r="H187" s="149"/>
      <c r="I187" s="133"/>
      <c r="J187" s="133"/>
      <c r="K187" s="131"/>
      <c r="L187" s="132"/>
      <c r="M187" s="182"/>
    </row>
    <row r="188" spans="1:13" outlineLevel="1" x14ac:dyDescent="0.25">
      <c r="A188" s="131"/>
      <c r="B188" s="1552">
        <v>93</v>
      </c>
      <c r="C188" s="201"/>
      <c r="D188" s="202"/>
      <c r="E188" s="216"/>
      <c r="F188" s="1558">
        <f t="shared" si="7"/>
        <v>1900</v>
      </c>
      <c r="G188" s="153"/>
      <c r="H188" s="149"/>
      <c r="I188" s="133"/>
      <c r="J188" s="133"/>
      <c r="K188" s="131"/>
      <c r="L188" s="132"/>
      <c r="M188" s="182"/>
    </row>
    <row r="189" spans="1:13" outlineLevel="1" x14ac:dyDescent="0.25">
      <c r="A189" s="131"/>
      <c r="B189" s="1552">
        <v>94</v>
      </c>
      <c r="C189" s="201"/>
      <c r="D189" s="202"/>
      <c r="E189" s="216"/>
      <c r="F189" s="1558">
        <f t="shared" si="7"/>
        <v>1900</v>
      </c>
      <c r="G189" s="153"/>
      <c r="H189" s="149"/>
      <c r="I189" s="133"/>
      <c r="J189" s="133"/>
      <c r="K189" s="131"/>
      <c r="L189" s="132"/>
      <c r="M189" s="182"/>
    </row>
    <row r="190" spans="1:13" outlineLevel="1" x14ac:dyDescent="0.25">
      <c r="A190" s="131"/>
      <c r="B190" s="1552">
        <v>95</v>
      </c>
      <c r="C190" s="201"/>
      <c r="D190" s="202"/>
      <c r="E190" s="216"/>
      <c r="F190" s="1558">
        <f t="shared" si="7"/>
        <v>1900</v>
      </c>
      <c r="G190" s="153"/>
      <c r="H190" s="149"/>
      <c r="I190" s="133"/>
      <c r="J190" s="133"/>
      <c r="K190" s="131"/>
      <c r="L190" s="132"/>
      <c r="M190" s="182"/>
    </row>
    <row r="191" spans="1:13" outlineLevel="1" x14ac:dyDescent="0.25">
      <c r="A191" s="131"/>
      <c r="B191" s="1552">
        <v>96</v>
      </c>
      <c r="C191" s="201"/>
      <c r="D191" s="202"/>
      <c r="E191" s="216"/>
      <c r="F191" s="1558">
        <f t="shared" si="7"/>
        <v>1900</v>
      </c>
      <c r="G191" s="153"/>
      <c r="H191" s="149"/>
      <c r="I191" s="133"/>
      <c r="J191" s="133"/>
      <c r="K191" s="131"/>
      <c r="L191" s="132"/>
      <c r="M191" s="182"/>
    </row>
    <row r="192" spans="1:13" outlineLevel="1" x14ac:dyDescent="0.25">
      <c r="A192" s="131"/>
      <c r="B192" s="1552">
        <v>97</v>
      </c>
      <c r="C192" s="201"/>
      <c r="D192" s="202"/>
      <c r="E192" s="216"/>
      <c r="F192" s="1558">
        <f t="shared" si="7"/>
        <v>1900</v>
      </c>
      <c r="G192" s="153"/>
      <c r="H192" s="149"/>
      <c r="I192" s="133"/>
      <c r="J192" s="133"/>
      <c r="K192" s="131"/>
      <c r="L192" s="132"/>
      <c r="M192" s="182"/>
    </row>
    <row r="193" spans="1:13" outlineLevel="1" x14ac:dyDescent="0.25">
      <c r="A193" s="131"/>
      <c r="B193" s="1552">
        <v>98</v>
      </c>
      <c r="C193" s="201"/>
      <c r="D193" s="202"/>
      <c r="E193" s="216"/>
      <c r="F193" s="1558">
        <f t="shared" si="7"/>
        <v>1900</v>
      </c>
      <c r="G193" s="153"/>
      <c r="H193" s="149"/>
      <c r="I193" s="133"/>
      <c r="J193" s="133"/>
      <c r="K193" s="131"/>
      <c r="L193" s="132"/>
      <c r="M193" s="182"/>
    </row>
    <row r="194" spans="1:13" outlineLevel="1" x14ac:dyDescent="0.25">
      <c r="A194" s="131"/>
      <c r="B194" s="1552">
        <v>99</v>
      </c>
      <c r="C194" s="201"/>
      <c r="D194" s="202"/>
      <c r="E194" s="216"/>
      <c r="F194" s="1558">
        <f t="shared" si="7"/>
        <v>1900</v>
      </c>
      <c r="G194" s="153"/>
      <c r="H194" s="149"/>
      <c r="I194" s="133"/>
      <c r="J194" s="133"/>
      <c r="K194" s="131"/>
      <c r="L194" s="132"/>
      <c r="M194" s="182"/>
    </row>
    <row r="195" spans="1:13" outlineLevel="1" x14ac:dyDescent="0.25">
      <c r="A195" s="131"/>
      <c r="B195" s="1552">
        <v>100</v>
      </c>
      <c r="C195" s="201"/>
      <c r="D195" s="202"/>
      <c r="E195" s="216"/>
      <c r="F195" s="1558">
        <f t="shared" si="7"/>
        <v>1900</v>
      </c>
      <c r="G195" s="153"/>
      <c r="H195" s="149"/>
      <c r="I195" s="133"/>
      <c r="J195" s="133"/>
      <c r="K195" s="131"/>
      <c r="L195" s="132"/>
      <c r="M195" s="182"/>
    </row>
    <row r="196" spans="1:13" outlineLevel="1" x14ac:dyDescent="0.25">
      <c r="A196" s="131"/>
      <c r="B196" s="1552">
        <v>101</v>
      </c>
      <c r="C196" s="201"/>
      <c r="D196" s="202"/>
      <c r="E196" s="216"/>
      <c r="F196" s="1558">
        <f t="shared" si="7"/>
        <v>1900</v>
      </c>
      <c r="G196" s="153"/>
      <c r="H196" s="149"/>
      <c r="I196" s="133"/>
      <c r="J196" s="133"/>
      <c r="K196" s="131"/>
      <c r="L196" s="132"/>
      <c r="M196" s="182"/>
    </row>
    <row r="197" spans="1:13" outlineLevel="1" x14ac:dyDescent="0.25">
      <c r="A197" s="131"/>
      <c r="B197" s="1552">
        <v>102</v>
      </c>
      <c r="C197" s="201"/>
      <c r="D197" s="202"/>
      <c r="E197" s="216"/>
      <c r="F197" s="1558">
        <f t="shared" si="7"/>
        <v>1900</v>
      </c>
      <c r="G197" s="153"/>
      <c r="H197" s="149"/>
      <c r="I197" s="133"/>
      <c r="J197" s="133"/>
      <c r="K197" s="131"/>
      <c r="L197" s="132"/>
      <c r="M197" s="182"/>
    </row>
    <row r="198" spans="1:13" outlineLevel="1" x14ac:dyDescent="0.25">
      <c r="A198" s="131"/>
      <c r="B198" s="1552">
        <v>103</v>
      </c>
      <c r="C198" s="201"/>
      <c r="D198" s="202"/>
      <c r="E198" s="216"/>
      <c r="F198" s="1558">
        <f t="shared" si="7"/>
        <v>1900</v>
      </c>
      <c r="G198" s="153"/>
      <c r="H198" s="149"/>
      <c r="I198" s="133"/>
      <c r="J198" s="133"/>
      <c r="K198" s="131"/>
      <c r="L198" s="132"/>
      <c r="M198" s="182"/>
    </row>
    <row r="199" spans="1:13" outlineLevel="1" x14ac:dyDescent="0.25">
      <c r="A199" s="131"/>
      <c r="B199" s="1552">
        <v>104</v>
      </c>
      <c r="C199" s="201"/>
      <c r="D199" s="202"/>
      <c r="E199" s="216"/>
      <c r="F199" s="1558">
        <f t="shared" si="7"/>
        <v>1900</v>
      </c>
      <c r="G199" s="153"/>
      <c r="H199" s="149"/>
      <c r="I199" s="133"/>
      <c r="J199" s="133"/>
      <c r="K199" s="131"/>
      <c r="L199" s="132"/>
      <c r="M199" s="182"/>
    </row>
    <row r="200" spans="1:13" outlineLevel="1" x14ac:dyDescent="0.25">
      <c r="A200" s="131"/>
      <c r="B200" s="1552">
        <v>105</v>
      </c>
      <c r="C200" s="201"/>
      <c r="D200" s="202"/>
      <c r="E200" s="216"/>
      <c r="F200" s="1558">
        <f t="shared" si="7"/>
        <v>1900</v>
      </c>
      <c r="G200" s="153"/>
      <c r="H200" s="149"/>
      <c r="I200" s="133"/>
      <c r="J200" s="133"/>
      <c r="K200" s="131"/>
      <c r="L200" s="132"/>
      <c r="M200" s="182"/>
    </row>
    <row r="201" spans="1:13" outlineLevel="1" x14ac:dyDescent="0.25">
      <c r="A201" s="131"/>
      <c r="B201" s="1552">
        <v>106</v>
      </c>
      <c r="C201" s="201"/>
      <c r="D201" s="202"/>
      <c r="E201" s="216"/>
      <c r="F201" s="1558">
        <f t="shared" si="7"/>
        <v>1900</v>
      </c>
      <c r="G201" s="153"/>
      <c r="H201" s="149"/>
      <c r="I201" s="133"/>
      <c r="J201" s="133"/>
      <c r="K201" s="131"/>
      <c r="L201" s="132"/>
      <c r="M201" s="182"/>
    </row>
    <row r="202" spans="1:13" outlineLevel="1" x14ac:dyDescent="0.25">
      <c r="A202" s="131"/>
      <c r="B202" s="1552">
        <v>107</v>
      </c>
      <c r="C202" s="201"/>
      <c r="D202" s="202"/>
      <c r="E202" s="216"/>
      <c r="F202" s="1558">
        <f t="shared" si="7"/>
        <v>1900</v>
      </c>
      <c r="G202" s="153"/>
      <c r="H202" s="149"/>
      <c r="I202" s="133"/>
      <c r="J202" s="133"/>
      <c r="K202" s="131"/>
      <c r="L202" s="132"/>
      <c r="M202" s="182"/>
    </row>
    <row r="203" spans="1:13" outlineLevel="1" x14ac:dyDescent="0.25">
      <c r="A203" s="131"/>
      <c r="B203" s="1552">
        <v>108</v>
      </c>
      <c r="C203" s="201"/>
      <c r="D203" s="202"/>
      <c r="E203" s="216"/>
      <c r="F203" s="1558">
        <f t="shared" si="7"/>
        <v>1900</v>
      </c>
      <c r="G203" s="153"/>
      <c r="H203" s="149"/>
      <c r="I203" s="133"/>
      <c r="J203" s="133"/>
      <c r="K203" s="131"/>
      <c r="L203" s="132"/>
      <c r="M203" s="182"/>
    </row>
    <row r="204" spans="1:13" outlineLevel="1" x14ac:dyDescent="0.25">
      <c r="A204" s="131"/>
      <c r="B204" s="1552">
        <v>109</v>
      </c>
      <c r="C204" s="201"/>
      <c r="D204" s="202"/>
      <c r="E204" s="216"/>
      <c r="F204" s="1558">
        <f t="shared" si="7"/>
        <v>1900</v>
      </c>
      <c r="G204" s="153"/>
      <c r="H204" s="149"/>
      <c r="I204" s="133"/>
      <c r="J204" s="133"/>
      <c r="K204" s="131"/>
      <c r="L204" s="132"/>
      <c r="M204" s="182"/>
    </row>
    <row r="205" spans="1:13" outlineLevel="1" x14ac:dyDescent="0.25">
      <c r="A205" s="131"/>
      <c r="B205" s="1552">
        <v>110</v>
      </c>
      <c r="C205" s="201"/>
      <c r="D205" s="202"/>
      <c r="E205" s="216"/>
      <c r="F205" s="1558">
        <f t="shared" si="7"/>
        <v>1900</v>
      </c>
      <c r="G205" s="153"/>
      <c r="H205" s="149"/>
      <c r="I205" s="133"/>
      <c r="J205" s="133"/>
      <c r="K205" s="131"/>
      <c r="L205" s="132"/>
      <c r="M205" s="182"/>
    </row>
    <row r="206" spans="1:13" outlineLevel="1" x14ac:dyDescent="0.25">
      <c r="A206" s="131"/>
      <c r="B206" s="1552">
        <v>111</v>
      </c>
      <c r="C206" s="201"/>
      <c r="D206" s="202"/>
      <c r="E206" s="216"/>
      <c r="F206" s="1558">
        <f t="shared" si="7"/>
        <v>1900</v>
      </c>
      <c r="G206" s="153"/>
      <c r="H206" s="149"/>
      <c r="I206" s="133"/>
      <c r="J206" s="133"/>
      <c r="K206" s="131"/>
      <c r="L206" s="132"/>
      <c r="M206" s="182"/>
    </row>
    <row r="207" spans="1:13" outlineLevel="1" x14ac:dyDescent="0.25">
      <c r="A207" s="131"/>
      <c r="B207" s="1552">
        <v>112</v>
      </c>
      <c r="C207" s="201"/>
      <c r="D207" s="202"/>
      <c r="E207" s="216"/>
      <c r="F207" s="1558">
        <f t="shared" si="7"/>
        <v>1900</v>
      </c>
      <c r="G207" s="153"/>
      <c r="H207" s="149"/>
      <c r="I207" s="133"/>
      <c r="J207" s="133"/>
      <c r="K207" s="131"/>
      <c r="L207" s="132"/>
      <c r="M207" s="182"/>
    </row>
    <row r="208" spans="1:13" outlineLevel="1" x14ac:dyDescent="0.25">
      <c r="A208" s="131"/>
      <c r="B208" s="1552">
        <v>113</v>
      </c>
      <c r="C208" s="201"/>
      <c r="D208" s="202"/>
      <c r="E208" s="216"/>
      <c r="F208" s="1558">
        <f t="shared" si="7"/>
        <v>1900</v>
      </c>
      <c r="G208" s="153"/>
      <c r="H208" s="149"/>
      <c r="I208" s="133"/>
      <c r="J208" s="133"/>
      <c r="K208" s="131"/>
      <c r="L208" s="132"/>
      <c r="M208" s="182"/>
    </row>
    <row r="209" spans="1:13" outlineLevel="1" x14ac:dyDescent="0.25">
      <c r="A209" s="131"/>
      <c r="B209" s="1552">
        <v>114</v>
      </c>
      <c r="C209" s="201"/>
      <c r="D209" s="202"/>
      <c r="E209" s="216"/>
      <c r="F209" s="1558">
        <f t="shared" si="7"/>
        <v>1900</v>
      </c>
      <c r="G209" s="153"/>
      <c r="H209" s="149"/>
      <c r="I209" s="133"/>
      <c r="J209" s="133"/>
      <c r="K209" s="131"/>
      <c r="L209" s="132"/>
      <c r="M209" s="182"/>
    </row>
    <row r="210" spans="1:13" outlineLevel="1" x14ac:dyDescent="0.25">
      <c r="A210" s="131"/>
      <c r="B210" s="1552">
        <v>115</v>
      </c>
      <c r="C210" s="201"/>
      <c r="D210" s="202"/>
      <c r="E210" s="216"/>
      <c r="F210" s="1558">
        <f t="shared" si="7"/>
        <v>1900</v>
      </c>
      <c r="G210" s="153"/>
      <c r="H210" s="149"/>
      <c r="I210" s="133"/>
      <c r="J210" s="133"/>
      <c r="K210" s="131"/>
      <c r="L210" s="132"/>
      <c r="M210" s="182"/>
    </row>
    <row r="211" spans="1:13" outlineLevel="1" x14ac:dyDescent="0.25">
      <c r="A211" s="131"/>
      <c r="B211" s="1552">
        <v>116</v>
      </c>
      <c r="C211" s="201"/>
      <c r="D211" s="202"/>
      <c r="E211" s="216"/>
      <c r="F211" s="1558">
        <f t="shared" si="7"/>
        <v>1900</v>
      </c>
      <c r="G211" s="153"/>
      <c r="H211" s="149"/>
      <c r="I211" s="133"/>
      <c r="J211" s="133"/>
      <c r="K211" s="131"/>
      <c r="L211" s="132"/>
      <c r="M211" s="182"/>
    </row>
    <row r="212" spans="1:13" outlineLevel="1" x14ac:dyDescent="0.25">
      <c r="A212" s="131"/>
      <c r="B212" s="1552">
        <v>117</v>
      </c>
      <c r="C212" s="201"/>
      <c r="D212" s="202"/>
      <c r="E212" s="216"/>
      <c r="F212" s="1558">
        <f t="shared" si="7"/>
        <v>1900</v>
      </c>
      <c r="G212" s="153"/>
      <c r="H212" s="149"/>
      <c r="I212" s="133"/>
      <c r="J212" s="133"/>
      <c r="K212" s="131"/>
      <c r="L212" s="132"/>
      <c r="M212" s="182"/>
    </row>
    <row r="213" spans="1:13" outlineLevel="1" x14ac:dyDescent="0.25">
      <c r="A213" s="131"/>
      <c r="B213" s="1552">
        <v>118</v>
      </c>
      <c r="C213" s="201"/>
      <c r="D213" s="202"/>
      <c r="E213" s="216"/>
      <c r="F213" s="1558">
        <f t="shared" si="7"/>
        <v>1900</v>
      </c>
      <c r="G213" s="153"/>
      <c r="H213" s="149"/>
      <c r="I213" s="133"/>
      <c r="J213" s="133"/>
      <c r="K213" s="131"/>
      <c r="L213" s="132"/>
      <c r="M213" s="182"/>
    </row>
    <row r="214" spans="1:13" outlineLevel="1" x14ac:dyDescent="0.25">
      <c r="A214" s="131"/>
      <c r="B214" s="1552">
        <v>119</v>
      </c>
      <c r="C214" s="201"/>
      <c r="D214" s="202"/>
      <c r="E214" s="216"/>
      <c r="F214" s="1558">
        <f t="shared" si="7"/>
        <v>1900</v>
      </c>
      <c r="G214" s="153"/>
      <c r="H214" s="149"/>
      <c r="I214" s="133"/>
      <c r="J214" s="133"/>
      <c r="K214" s="131"/>
      <c r="L214" s="132"/>
      <c r="M214" s="182"/>
    </row>
    <row r="215" spans="1:13" outlineLevel="1" x14ac:dyDescent="0.25">
      <c r="A215" s="131"/>
      <c r="B215" s="1552">
        <v>120</v>
      </c>
      <c r="C215" s="201"/>
      <c r="D215" s="202"/>
      <c r="E215" s="216"/>
      <c r="F215" s="1558">
        <f t="shared" si="7"/>
        <v>1900</v>
      </c>
      <c r="G215" s="153"/>
      <c r="H215" s="149"/>
      <c r="I215" s="133"/>
      <c r="J215" s="133"/>
      <c r="K215" s="131"/>
      <c r="L215" s="132"/>
      <c r="M215" s="182"/>
    </row>
    <row r="216" spans="1:13" outlineLevel="1" x14ac:dyDescent="0.25">
      <c r="A216" s="131"/>
      <c r="B216" s="1552">
        <v>121</v>
      </c>
      <c r="C216" s="201"/>
      <c r="D216" s="202"/>
      <c r="E216" s="216"/>
      <c r="F216" s="1558">
        <f t="shared" si="7"/>
        <v>1900</v>
      </c>
      <c r="G216" s="153"/>
      <c r="H216" s="149"/>
      <c r="I216" s="133"/>
      <c r="J216" s="133"/>
      <c r="K216" s="131"/>
      <c r="L216" s="132"/>
      <c r="M216" s="182"/>
    </row>
    <row r="217" spans="1:13" outlineLevel="1" x14ac:dyDescent="0.25">
      <c r="A217" s="131"/>
      <c r="B217" s="1552">
        <v>122</v>
      </c>
      <c r="C217" s="201"/>
      <c r="D217" s="202"/>
      <c r="E217" s="216"/>
      <c r="F217" s="1558">
        <f t="shared" si="7"/>
        <v>1900</v>
      </c>
      <c r="G217" s="153"/>
      <c r="H217" s="149"/>
      <c r="I217" s="133"/>
      <c r="J217" s="133"/>
      <c r="K217" s="131"/>
      <c r="L217" s="132"/>
      <c r="M217" s="182"/>
    </row>
    <row r="218" spans="1:13" outlineLevel="1" x14ac:dyDescent="0.25">
      <c r="A218" s="131"/>
      <c r="B218" s="1552">
        <v>123</v>
      </c>
      <c r="C218" s="201"/>
      <c r="D218" s="202"/>
      <c r="E218" s="216"/>
      <c r="F218" s="1558">
        <f t="shared" si="7"/>
        <v>1900</v>
      </c>
      <c r="G218" s="153"/>
      <c r="H218" s="149"/>
      <c r="I218" s="133"/>
      <c r="J218" s="133"/>
      <c r="K218" s="131"/>
      <c r="L218" s="132"/>
      <c r="M218" s="182"/>
    </row>
    <row r="219" spans="1:13" outlineLevel="1" x14ac:dyDescent="0.25">
      <c r="A219" s="131"/>
      <c r="B219" s="1552">
        <v>124</v>
      </c>
      <c r="C219" s="201"/>
      <c r="D219" s="202"/>
      <c r="E219" s="216"/>
      <c r="F219" s="1558">
        <f t="shared" si="7"/>
        <v>1900</v>
      </c>
      <c r="G219" s="153"/>
      <c r="H219" s="149"/>
      <c r="I219" s="133"/>
      <c r="J219" s="133"/>
      <c r="K219" s="131"/>
      <c r="L219" s="132"/>
      <c r="M219" s="182"/>
    </row>
    <row r="220" spans="1:13" outlineLevel="1" x14ac:dyDescent="0.25">
      <c r="A220" s="131"/>
      <c r="B220" s="1552">
        <v>125</v>
      </c>
      <c r="C220" s="201"/>
      <c r="D220" s="202"/>
      <c r="E220" s="216"/>
      <c r="F220" s="1558">
        <f t="shared" si="7"/>
        <v>1900</v>
      </c>
      <c r="G220" s="153"/>
      <c r="H220" s="149"/>
      <c r="I220" s="133"/>
      <c r="J220" s="133"/>
      <c r="K220" s="131"/>
      <c r="L220" s="132"/>
      <c r="M220" s="182"/>
    </row>
    <row r="221" spans="1:13" outlineLevel="1" x14ac:dyDescent="0.25">
      <c r="A221" s="131"/>
      <c r="B221" s="1552">
        <v>126</v>
      </c>
      <c r="C221" s="201"/>
      <c r="D221" s="202"/>
      <c r="E221" s="216"/>
      <c r="F221" s="1558">
        <f t="shared" si="7"/>
        <v>1900</v>
      </c>
      <c r="G221" s="153"/>
      <c r="H221" s="149"/>
      <c r="I221" s="133"/>
      <c r="J221" s="133"/>
      <c r="K221" s="131"/>
      <c r="L221" s="132"/>
      <c r="M221" s="182"/>
    </row>
    <row r="222" spans="1:13" outlineLevel="1" x14ac:dyDescent="0.25">
      <c r="A222" s="131"/>
      <c r="B222" s="1552">
        <v>127</v>
      </c>
      <c r="C222" s="201"/>
      <c r="D222" s="202"/>
      <c r="E222" s="216"/>
      <c r="F222" s="1558">
        <f t="shared" si="7"/>
        <v>1900</v>
      </c>
      <c r="G222" s="153"/>
      <c r="H222" s="149"/>
      <c r="I222" s="133"/>
      <c r="J222" s="133"/>
      <c r="K222" s="131"/>
      <c r="L222" s="132"/>
      <c r="M222" s="182"/>
    </row>
    <row r="223" spans="1:13" outlineLevel="1" x14ac:dyDescent="0.25">
      <c r="A223" s="131"/>
      <c r="B223" s="1552">
        <v>128</v>
      </c>
      <c r="C223" s="201"/>
      <c r="D223" s="202"/>
      <c r="E223" s="216"/>
      <c r="F223" s="1558">
        <f t="shared" si="7"/>
        <v>1900</v>
      </c>
      <c r="G223" s="153"/>
      <c r="H223" s="149"/>
      <c r="I223" s="133"/>
      <c r="J223" s="133"/>
      <c r="K223" s="131"/>
      <c r="L223" s="132"/>
      <c r="M223" s="182"/>
    </row>
    <row r="224" spans="1:13" outlineLevel="1" x14ac:dyDescent="0.25">
      <c r="A224" s="131"/>
      <c r="B224" s="1552">
        <v>129</v>
      </c>
      <c r="C224" s="201"/>
      <c r="D224" s="202"/>
      <c r="E224" s="216"/>
      <c r="F224" s="1558">
        <f t="shared" si="7"/>
        <v>1900</v>
      </c>
      <c r="G224" s="153"/>
      <c r="H224" s="149"/>
      <c r="I224" s="133"/>
      <c r="J224" s="133"/>
      <c r="K224" s="131"/>
      <c r="L224" s="132"/>
      <c r="M224" s="182"/>
    </row>
    <row r="225" spans="1:13" outlineLevel="1" x14ac:dyDescent="0.25">
      <c r="A225" s="131"/>
      <c r="B225" s="1552">
        <v>130</v>
      </c>
      <c r="C225" s="201"/>
      <c r="D225" s="202"/>
      <c r="E225" s="216"/>
      <c r="F225" s="1558">
        <f t="shared" si="7"/>
        <v>1900</v>
      </c>
      <c r="G225" s="153"/>
      <c r="H225" s="149"/>
      <c r="I225" s="133"/>
      <c r="J225" s="133"/>
      <c r="K225" s="131"/>
      <c r="L225" s="132"/>
      <c r="M225" s="182"/>
    </row>
    <row r="226" spans="1:13" outlineLevel="1" x14ac:dyDescent="0.25">
      <c r="A226" s="131"/>
      <c r="B226" s="1552">
        <v>131</v>
      </c>
      <c r="C226" s="201"/>
      <c r="D226" s="202"/>
      <c r="E226" s="216"/>
      <c r="F226" s="1558">
        <f t="shared" si="7"/>
        <v>1900</v>
      </c>
      <c r="G226" s="153"/>
      <c r="H226" s="149"/>
      <c r="I226" s="133"/>
      <c r="J226" s="133"/>
      <c r="K226" s="131"/>
      <c r="L226" s="132"/>
      <c r="M226" s="182"/>
    </row>
    <row r="227" spans="1:13" outlineLevel="1" x14ac:dyDescent="0.25">
      <c r="A227" s="131"/>
      <c r="B227" s="1552">
        <v>132</v>
      </c>
      <c r="C227" s="201"/>
      <c r="D227" s="202"/>
      <c r="E227" s="216"/>
      <c r="F227" s="1558">
        <f t="shared" si="7"/>
        <v>1900</v>
      </c>
      <c r="G227" s="153"/>
      <c r="H227" s="149"/>
      <c r="I227" s="133"/>
      <c r="J227" s="133"/>
      <c r="K227" s="131"/>
      <c r="L227" s="132"/>
      <c r="M227" s="182"/>
    </row>
    <row r="228" spans="1:13" outlineLevel="1" x14ac:dyDescent="0.25">
      <c r="A228" s="131"/>
      <c r="B228" s="1552">
        <v>133</v>
      </c>
      <c r="C228" s="201"/>
      <c r="D228" s="202"/>
      <c r="E228" s="216"/>
      <c r="F228" s="1558">
        <f t="shared" si="7"/>
        <v>1900</v>
      </c>
      <c r="G228" s="153"/>
      <c r="H228" s="149"/>
      <c r="I228" s="133"/>
      <c r="J228" s="133"/>
      <c r="K228" s="131"/>
      <c r="L228" s="132"/>
      <c r="M228" s="182"/>
    </row>
    <row r="229" spans="1:13" outlineLevel="1" x14ac:dyDescent="0.25">
      <c r="A229" s="131"/>
      <c r="B229" s="1552">
        <v>134</v>
      </c>
      <c r="C229" s="201"/>
      <c r="D229" s="202"/>
      <c r="E229" s="216"/>
      <c r="F229" s="1558">
        <f t="shared" si="7"/>
        <v>1900</v>
      </c>
      <c r="G229" s="153"/>
      <c r="H229" s="149"/>
      <c r="I229" s="133"/>
      <c r="J229" s="133"/>
      <c r="K229" s="131"/>
      <c r="L229" s="132"/>
      <c r="M229" s="182"/>
    </row>
    <row r="230" spans="1:13" outlineLevel="1" x14ac:dyDescent="0.25">
      <c r="A230" s="131"/>
      <c r="B230" s="1552">
        <v>135</v>
      </c>
      <c r="C230" s="201"/>
      <c r="D230" s="202"/>
      <c r="E230" s="216"/>
      <c r="F230" s="1558">
        <f t="shared" si="7"/>
        <v>1900</v>
      </c>
      <c r="G230" s="153"/>
      <c r="H230" s="149"/>
      <c r="I230" s="133"/>
      <c r="J230" s="133"/>
      <c r="K230" s="131"/>
      <c r="L230" s="132"/>
      <c r="M230" s="182"/>
    </row>
    <row r="231" spans="1:13" outlineLevel="1" x14ac:dyDescent="0.25">
      <c r="A231" s="131"/>
      <c r="B231" s="1552">
        <v>136</v>
      </c>
      <c r="C231" s="201"/>
      <c r="D231" s="202"/>
      <c r="E231" s="216"/>
      <c r="F231" s="1558">
        <f t="shared" si="7"/>
        <v>1900</v>
      </c>
      <c r="G231" s="153"/>
      <c r="H231" s="149"/>
      <c r="I231" s="133"/>
      <c r="J231" s="133"/>
      <c r="K231" s="131"/>
      <c r="L231" s="132"/>
      <c r="M231" s="182"/>
    </row>
    <row r="232" spans="1:13" outlineLevel="1" x14ac:dyDescent="0.25">
      <c r="A232" s="131"/>
      <c r="B232" s="1552">
        <v>137</v>
      </c>
      <c r="C232" s="201"/>
      <c r="D232" s="202"/>
      <c r="E232" s="216"/>
      <c r="F232" s="1558">
        <f t="shared" si="7"/>
        <v>1900</v>
      </c>
      <c r="G232" s="153"/>
      <c r="H232" s="149"/>
      <c r="I232" s="133"/>
      <c r="J232" s="133"/>
      <c r="K232" s="131"/>
      <c r="L232" s="132"/>
      <c r="M232" s="182"/>
    </row>
    <row r="233" spans="1:13" outlineLevel="1" x14ac:dyDescent="0.25">
      <c r="A233" s="131"/>
      <c r="B233" s="1552">
        <v>138</v>
      </c>
      <c r="C233" s="201"/>
      <c r="D233" s="202"/>
      <c r="E233" s="216"/>
      <c r="F233" s="1558">
        <f t="shared" si="7"/>
        <v>1900</v>
      </c>
      <c r="G233" s="153"/>
      <c r="H233" s="149"/>
      <c r="I233" s="133"/>
      <c r="J233" s="133"/>
      <c r="K233" s="131"/>
      <c r="L233" s="132"/>
      <c r="M233" s="182"/>
    </row>
    <row r="234" spans="1:13" outlineLevel="1" x14ac:dyDescent="0.25">
      <c r="A234" s="131"/>
      <c r="B234" s="1552">
        <v>139</v>
      </c>
      <c r="C234" s="201"/>
      <c r="D234" s="202"/>
      <c r="E234" s="216"/>
      <c r="F234" s="1558">
        <f t="shared" si="7"/>
        <v>1900</v>
      </c>
      <c r="G234" s="153"/>
      <c r="H234" s="149"/>
      <c r="I234" s="133"/>
      <c r="J234" s="133"/>
      <c r="K234" s="131"/>
      <c r="L234" s="132"/>
      <c r="M234" s="182"/>
    </row>
    <row r="235" spans="1:13" outlineLevel="1" x14ac:dyDescent="0.25">
      <c r="A235" s="131"/>
      <c r="B235" s="1552">
        <v>140</v>
      </c>
      <c r="C235" s="201"/>
      <c r="D235" s="202"/>
      <c r="E235" s="216"/>
      <c r="F235" s="1558">
        <f t="shared" si="7"/>
        <v>1900</v>
      </c>
      <c r="G235" s="153"/>
      <c r="H235" s="149"/>
      <c r="I235" s="133"/>
      <c r="J235" s="133"/>
      <c r="K235" s="131"/>
      <c r="L235" s="132"/>
      <c r="M235" s="182"/>
    </row>
    <row r="236" spans="1:13" outlineLevel="1" x14ac:dyDescent="0.25">
      <c r="A236" s="131"/>
      <c r="B236" s="1552">
        <v>141</v>
      </c>
      <c r="C236" s="201"/>
      <c r="D236" s="202"/>
      <c r="E236" s="216"/>
      <c r="F236" s="1558">
        <f t="shared" si="7"/>
        <v>1900</v>
      </c>
      <c r="G236" s="153"/>
      <c r="H236" s="149"/>
      <c r="I236" s="133"/>
      <c r="J236" s="133"/>
      <c r="K236" s="131"/>
      <c r="L236" s="132"/>
      <c r="M236" s="182"/>
    </row>
    <row r="237" spans="1:13" outlineLevel="1" x14ac:dyDescent="0.25">
      <c r="A237" s="131"/>
      <c r="B237" s="1552">
        <v>142</v>
      </c>
      <c r="C237" s="201"/>
      <c r="D237" s="202"/>
      <c r="E237" s="216"/>
      <c r="F237" s="1558">
        <f t="shared" si="7"/>
        <v>1900</v>
      </c>
      <c r="G237" s="153"/>
      <c r="H237" s="149"/>
      <c r="I237" s="133"/>
      <c r="J237" s="133"/>
      <c r="K237" s="131"/>
      <c r="L237" s="132"/>
      <c r="M237" s="182"/>
    </row>
    <row r="238" spans="1:13" outlineLevel="1" x14ac:dyDescent="0.25">
      <c r="A238" s="131"/>
      <c r="B238" s="1552">
        <v>143</v>
      </c>
      <c r="C238" s="201"/>
      <c r="D238" s="202"/>
      <c r="E238" s="216"/>
      <c r="F238" s="1558">
        <f t="shared" si="7"/>
        <v>1900</v>
      </c>
      <c r="G238" s="153"/>
      <c r="H238" s="149"/>
      <c r="I238" s="133"/>
      <c r="J238" s="133"/>
      <c r="K238" s="131"/>
      <c r="L238" s="132"/>
      <c r="M238" s="182"/>
    </row>
    <row r="239" spans="1:13" outlineLevel="1" x14ac:dyDescent="0.25">
      <c r="A239" s="131"/>
      <c r="B239" s="1552">
        <v>144</v>
      </c>
      <c r="C239" s="201"/>
      <c r="D239" s="202"/>
      <c r="E239" s="216"/>
      <c r="F239" s="1558">
        <f t="shared" si="7"/>
        <v>1900</v>
      </c>
      <c r="G239" s="153"/>
      <c r="H239" s="149"/>
      <c r="I239" s="133"/>
      <c r="J239" s="133"/>
      <c r="K239" s="131"/>
      <c r="L239" s="132"/>
      <c r="M239" s="182"/>
    </row>
    <row r="240" spans="1:13" outlineLevel="1" x14ac:dyDescent="0.25">
      <c r="A240" s="131"/>
      <c r="B240" s="1552">
        <v>145</v>
      </c>
      <c r="C240" s="201"/>
      <c r="D240" s="202"/>
      <c r="E240" s="216"/>
      <c r="F240" s="1558">
        <f t="shared" si="7"/>
        <v>1900</v>
      </c>
      <c r="G240" s="153"/>
      <c r="H240" s="149"/>
      <c r="I240" s="133"/>
      <c r="J240" s="133"/>
      <c r="K240" s="131"/>
      <c r="L240" s="132"/>
      <c r="M240" s="182"/>
    </row>
    <row r="241" spans="1:13" outlineLevel="1" x14ac:dyDescent="0.25">
      <c r="A241" s="131"/>
      <c r="B241" s="1552">
        <v>146</v>
      </c>
      <c r="C241" s="201"/>
      <c r="D241" s="202"/>
      <c r="E241" s="216"/>
      <c r="F241" s="1558">
        <f t="shared" si="7"/>
        <v>1900</v>
      </c>
      <c r="G241" s="153"/>
      <c r="H241" s="149"/>
      <c r="I241" s="133"/>
      <c r="J241" s="133"/>
      <c r="K241" s="131"/>
      <c r="L241" s="132"/>
      <c r="M241" s="182"/>
    </row>
    <row r="242" spans="1:13" outlineLevel="1" x14ac:dyDescent="0.25">
      <c r="A242" s="131"/>
      <c r="B242" s="1552">
        <v>147</v>
      </c>
      <c r="C242" s="201"/>
      <c r="D242" s="202"/>
      <c r="E242" s="216"/>
      <c r="F242" s="1558">
        <f t="shared" si="7"/>
        <v>1900</v>
      </c>
      <c r="G242" s="153"/>
      <c r="H242" s="149"/>
      <c r="I242" s="133"/>
      <c r="J242" s="133"/>
      <c r="K242" s="131"/>
      <c r="L242" s="132"/>
      <c r="M242" s="182"/>
    </row>
    <row r="243" spans="1:13" outlineLevel="1" x14ac:dyDescent="0.25">
      <c r="A243" s="131"/>
      <c r="B243" s="1552">
        <v>148</v>
      </c>
      <c r="C243" s="201"/>
      <c r="D243" s="202"/>
      <c r="E243" s="216"/>
      <c r="F243" s="1558">
        <f t="shared" si="7"/>
        <v>1900</v>
      </c>
      <c r="G243" s="153"/>
      <c r="H243" s="149"/>
      <c r="I243" s="133"/>
      <c r="J243" s="133"/>
      <c r="K243" s="131"/>
      <c r="L243" s="132"/>
      <c r="M243" s="182"/>
    </row>
    <row r="244" spans="1:13" outlineLevel="1" x14ac:dyDescent="0.25">
      <c r="A244" s="131"/>
      <c r="B244" s="1552">
        <v>149</v>
      </c>
      <c r="C244" s="201"/>
      <c r="D244" s="202"/>
      <c r="E244" s="216"/>
      <c r="F244" s="1558">
        <f t="shared" si="7"/>
        <v>1900</v>
      </c>
      <c r="G244" s="153"/>
      <c r="H244" s="149"/>
      <c r="I244" s="133"/>
      <c r="J244" s="133"/>
      <c r="K244" s="131"/>
      <c r="L244" s="132"/>
      <c r="M244" s="182"/>
    </row>
    <row r="245" spans="1:13" outlineLevel="1" x14ac:dyDescent="0.25">
      <c r="A245" s="131"/>
      <c r="B245" s="1552">
        <v>150</v>
      </c>
      <c r="C245" s="201"/>
      <c r="D245" s="202"/>
      <c r="E245" s="216"/>
      <c r="F245" s="1558">
        <f t="shared" si="7"/>
        <v>1900</v>
      </c>
      <c r="G245" s="153"/>
      <c r="H245" s="149"/>
      <c r="I245" s="133"/>
      <c r="J245" s="133"/>
      <c r="K245" s="131"/>
      <c r="L245" s="132"/>
      <c r="M245" s="182"/>
    </row>
    <row r="246" spans="1:13" outlineLevel="1" x14ac:dyDescent="0.25">
      <c r="A246" s="131"/>
      <c r="B246" s="1552">
        <v>151</v>
      </c>
      <c r="C246" s="201"/>
      <c r="D246" s="202"/>
      <c r="E246" s="216"/>
      <c r="F246" s="1558">
        <f t="shared" si="7"/>
        <v>1900</v>
      </c>
      <c r="G246" s="153"/>
      <c r="H246" s="149"/>
      <c r="I246" s="133"/>
      <c r="J246" s="133"/>
      <c r="K246" s="131"/>
      <c r="L246" s="132"/>
      <c r="M246" s="182"/>
    </row>
    <row r="247" spans="1:13" outlineLevel="1" x14ac:dyDescent="0.25">
      <c r="A247" s="131"/>
      <c r="B247" s="1552">
        <v>152</v>
      </c>
      <c r="C247" s="201"/>
      <c r="D247" s="202"/>
      <c r="E247" s="216"/>
      <c r="F247" s="1558">
        <f t="shared" si="7"/>
        <v>1900</v>
      </c>
      <c r="G247" s="153"/>
      <c r="H247" s="149"/>
      <c r="I247" s="133"/>
      <c r="J247" s="133"/>
      <c r="K247" s="131"/>
      <c r="L247" s="132"/>
      <c r="M247" s="182"/>
    </row>
    <row r="248" spans="1:13" outlineLevel="1" x14ac:dyDescent="0.25">
      <c r="A248" s="131"/>
      <c r="B248" s="1552">
        <v>153</v>
      </c>
      <c r="C248" s="201"/>
      <c r="D248" s="202"/>
      <c r="E248" s="216"/>
      <c r="F248" s="1558">
        <f t="shared" si="7"/>
        <v>1900</v>
      </c>
      <c r="G248" s="153"/>
      <c r="H248" s="149"/>
      <c r="I248" s="133"/>
      <c r="J248" s="133"/>
      <c r="K248" s="131"/>
      <c r="L248" s="132"/>
      <c r="M248" s="182"/>
    </row>
    <row r="249" spans="1:13" outlineLevel="1" x14ac:dyDescent="0.25">
      <c r="A249" s="131"/>
      <c r="B249" s="1552">
        <v>154</v>
      </c>
      <c r="C249" s="201"/>
      <c r="D249" s="202"/>
      <c r="E249" s="216"/>
      <c r="F249" s="1558">
        <f t="shared" si="7"/>
        <v>1900</v>
      </c>
      <c r="G249" s="153"/>
      <c r="H249" s="149"/>
      <c r="I249" s="133"/>
      <c r="J249" s="133"/>
      <c r="K249" s="131"/>
      <c r="L249" s="132"/>
      <c r="M249" s="182"/>
    </row>
    <row r="250" spans="1:13" outlineLevel="1" x14ac:dyDescent="0.25">
      <c r="A250" s="131"/>
      <c r="B250" s="1552">
        <v>155</v>
      </c>
      <c r="C250" s="201"/>
      <c r="D250" s="202"/>
      <c r="E250" s="216"/>
      <c r="F250" s="1558">
        <f t="shared" si="7"/>
        <v>1900</v>
      </c>
      <c r="G250" s="153"/>
      <c r="H250" s="149"/>
      <c r="I250" s="133"/>
      <c r="J250" s="133"/>
      <c r="K250" s="131"/>
      <c r="L250" s="132"/>
      <c r="M250" s="182"/>
    </row>
    <row r="251" spans="1:13" outlineLevel="1" x14ac:dyDescent="0.25">
      <c r="A251" s="131"/>
      <c r="B251" s="1552">
        <v>156</v>
      </c>
      <c r="C251" s="201"/>
      <c r="D251" s="202"/>
      <c r="E251" s="216"/>
      <c r="F251" s="1558">
        <f t="shared" si="7"/>
        <v>1900</v>
      </c>
      <c r="G251" s="153"/>
      <c r="H251" s="149"/>
      <c r="I251" s="133"/>
      <c r="J251" s="133"/>
      <c r="K251" s="131"/>
      <c r="L251" s="132"/>
      <c r="M251" s="182"/>
    </row>
    <row r="252" spans="1:13" outlineLevel="1" x14ac:dyDescent="0.25">
      <c r="A252" s="131"/>
      <c r="B252" s="1552">
        <v>157</v>
      </c>
      <c r="C252" s="201"/>
      <c r="D252" s="202"/>
      <c r="E252" s="216"/>
      <c r="F252" s="1558">
        <f t="shared" si="7"/>
        <v>1900</v>
      </c>
      <c r="G252" s="153"/>
      <c r="H252" s="149"/>
      <c r="I252" s="133"/>
      <c r="J252" s="133"/>
      <c r="K252" s="131"/>
      <c r="L252" s="132"/>
      <c r="M252" s="182"/>
    </row>
    <row r="253" spans="1:13" outlineLevel="1" x14ac:dyDescent="0.25">
      <c r="A253" s="131"/>
      <c r="B253" s="1552">
        <v>158</v>
      </c>
      <c r="C253" s="201"/>
      <c r="D253" s="202"/>
      <c r="E253" s="216"/>
      <c r="F253" s="1558">
        <f t="shared" si="7"/>
        <v>1900</v>
      </c>
      <c r="G253" s="153"/>
      <c r="H253" s="149"/>
      <c r="I253" s="133"/>
      <c r="J253" s="133"/>
      <c r="K253" s="131"/>
      <c r="L253" s="132"/>
      <c r="M253" s="182"/>
    </row>
    <row r="254" spans="1:13" outlineLevel="1" x14ac:dyDescent="0.25">
      <c r="A254" s="131"/>
      <c r="B254" s="1552">
        <v>159</v>
      </c>
      <c r="C254" s="201"/>
      <c r="D254" s="202"/>
      <c r="E254" s="216"/>
      <c r="F254" s="1558">
        <f t="shared" si="7"/>
        <v>1900</v>
      </c>
      <c r="G254" s="153"/>
      <c r="H254" s="149"/>
      <c r="I254" s="133"/>
      <c r="J254" s="133"/>
      <c r="K254" s="131"/>
      <c r="L254" s="132"/>
      <c r="M254" s="182"/>
    </row>
    <row r="255" spans="1:13" outlineLevel="1" x14ac:dyDescent="0.25">
      <c r="A255" s="131"/>
      <c r="B255" s="1552">
        <v>160</v>
      </c>
      <c r="C255" s="201"/>
      <c r="D255" s="202"/>
      <c r="E255" s="216"/>
      <c r="F255" s="1558">
        <f t="shared" si="7"/>
        <v>1900</v>
      </c>
      <c r="G255" s="153"/>
      <c r="H255" s="149"/>
      <c r="I255" s="133"/>
      <c r="J255" s="133"/>
      <c r="K255" s="131"/>
      <c r="L255" s="132"/>
      <c r="M255" s="182"/>
    </row>
    <row r="256" spans="1:13" outlineLevel="1" x14ac:dyDescent="0.25">
      <c r="A256" s="131"/>
      <c r="B256" s="1552">
        <v>161</v>
      </c>
      <c r="C256" s="201"/>
      <c r="D256" s="202"/>
      <c r="E256" s="216"/>
      <c r="F256" s="1558">
        <f t="shared" si="7"/>
        <v>1900</v>
      </c>
      <c r="G256" s="153"/>
      <c r="H256" s="149"/>
      <c r="I256" s="133"/>
      <c r="J256" s="133"/>
      <c r="K256" s="131"/>
      <c r="L256" s="132"/>
      <c r="M256" s="182"/>
    </row>
    <row r="257" spans="1:13" outlineLevel="1" x14ac:dyDescent="0.25">
      <c r="A257" s="131"/>
      <c r="B257" s="1552">
        <v>162</v>
      </c>
      <c r="C257" s="201"/>
      <c r="D257" s="202"/>
      <c r="E257" s="216"/>
      <c r="F257" s="1558">
        <f t="shared" si="7"/>
        <v>1900</v>
      </c>
      <c r="G257" s="153"/>
      <c r="H257" s="149"/>
      <c r="I257" s="133"/>
      <c r="J257" s="133"/>
      <c r="K257" s="131"/>
      <c r="L257" s="132"/>
      <c r="M257" s="182"/>
    </row>
    <row r="258" spans="1:13" outlineLevel="1" x14ac:dyDescent="0.25">
      <c r="A258" s="131"/>
      <c r="B258" s="1552">
        <v>163</v>
      </c>
      <c r="C258" s="201"/>
      <c r="D258" s="202"/>
      <c r="E258" s="216"/>
      <c r="F258" s="1558">
        <f t="shared" si="7"/>
        <v>1900</v>
      </c>
      <c r="G258" s="153"/>
      <c r="H258" s="149"/>
      <c r="I258" s="133"/>
      <c r="J258" s="133"/>
      <c r="K258" s="131"/>
      <c r="L258" s="132"/>
      <c r="M258" s="182"/>
    </row>
    <row r="259" spans="1:13" x14ac:dyDescent="0.25">
      <c r="A259" s="149"/>
      <c r="B259" s="158"/>
      <c r="C259" s="159"/>
      <c r="D259" s="160"/>
      <c r="E259" s="214">
        <f>SUM(E96:E258)</f>
        <v>53765.25</v>
      </c>
      <c r="F259" s="161"/>
      <c r="G259" s="161"/>
      <c r="H259" s="149"/>
      <c r="I259" s="149"/>
      <c r="J259" s="149"/>
      <c r="K259" s="149"/>
      <c r="L259" s="149"/>
      <c r="M259" s="182"/>
    </row>
    <row r="260" spans="1:13" x14ac:dyDescent="0.25">
      <c r="A260" s="149"/>
      <c r="B260" s="158"/>
      <c r="C260" s="159"/>
      <c r="D260" s="160"/>
      <c r="E260" s="164"/>
      <c r="F260" s="161"/>
      <c r="G260" s="161"/>
      <c r="H260" s="149"/>
      <c r="I260" s="149"/>
      <c r="J260" s="149"/>
      <c r="K260" s="149"/>
      <c r="L260" s="149"/>
      <c r="M260" s="182"/>
    </row>
    <row r="261" spans="1:13" x14ac:dyDescent="0.25">
      <c r="A261" s="162"/>
      <c r="B261" s="199" t="s">
        <v>138</v>
      </c>
      <c r="C261" s="163" t="s">
        <v>160</v>
      </c>
      <c r="D261" s="199" t="s">
        <v>140</v>
      </c>
      <c r="E261" s="199" t="s">
        <v>141</v>
      </c>
      <c r="F261" s="199" t="s">
        <v>159</v>
      </c>
      <c r="G261" s="132"/>
      <c r="H261" s="149"/>
      <c r="I261" s="149"/>
      <c r="J261" s="149"/>
      <c r="K261" s="132"/>
      <c r="L261" s="132"/>
      <c r="M261" s="182"/>
    </row>
    <row r="262" spans="1:13" outlineLevel="1" x14ac:dyDescent="0.25">
      <c r="A262" s="131"/>
      <c r="B262" s="1551">
        <v>1</v>
      </c>
      <c r="C262" s="200"/>
      <c r="D262" s="188"/>
      <c r="E262" s="215"/>
      <c r="F262" s="1557">
        <f>YEAR(D262)</f>
        <v>1900</v>
      </c>
      <c r="G262" s="153"/>
      <c r="H262" s="149"/>
      <c r="I262" s="133"/>
      <c r="J262" s="133"/>
      <c r="K262" s="131"/>
      <c r="L262" s="132"/>
      <c r="M262" s="182"/>
    </row>
    <row r="263" spans="1:13" outlineLevel="1" x14ac:dyDescent="0.25">
      <c r="A263" s="131"/>
      <c r="B263" s="1552">
        <v>2</v>
      </c>
      <c r="C263" s="201"/>
      <c r="D263" s="190"/>
      <c r="E263" s="216"/>
      <c r="F263" s="1558">
        <f t="shared" ref="F263:F282" si="8">YEAR(D263)</f>
        <v>1900</v>
      </c>
      <c r="G263" s="153"/>
      <c r="H263" s="149"/>
      <c r="I263" s="133"/>
      <c r="J263" s="133"/>
      <c r="K263" s="131"/>
      <c r="L263" s="132"/>
      <c r="M263" s="182"/>
    </row>
    <row r="264" spans="1:13" outlineLevel="1" x14ac:dyDescent="0.25">
      <c r="A264" s="131"/>
      <c r="B264" s="1552">
        <v>3</v>
      </c>
      <c r="C264" s="201"/>
      <c r="D264" s="190"/>
      <c r="E264" s="216"/>
      <c r="F264" s="1558">
        <f t="shared" si="8"/>
        <v>1900</v>
      </c>
      <c r="G264" s="153"/>
      <c r="H264" s="149"/>
      <c r="I264" s="133"/>
      <c r="J264" s="133"/>
      <c r="K264" s="131"/>
      <c r="L264" s="132"/>
      <c r="M264" s="182"/>
    </row>
    <row r="265" spans="1:13" outlineLevel="1" x14ac:dyDescent="0.25">
      <c r="A265" s="131"/>
      <c r="B265" s="1552">
        <v>4</v>
      </c>
      <c r="C265" s="201"/>
      <c r="D265" s="190"/>
      <c r="E265" s="216"/>
      <c r="F265" s="1558">
        <f t="shared" si="8"/>
        <v>1900</v>
      </c>
      <c r="G265" s="153"/>
      <c r="H265" s="149"/>
      <c r="I265" s="133"/>
      <c r="J265" s="133"/>
      <c r="K265" s="131"/>
      <c r="L265" s="132"/>
      <c r="M265" s="182"/>
    </row>
    <row r="266" spans="1:13" outlineLevel="1" x14ac:dyDescent="0.25">
      <c r="A266" s="131"/>
      <c r="B266" s="1552">
        <v>5</v>
      </c>
      <c r="C266" s="201"/>
      <c r="D266" s="190"/>
      <c r="E266" s="216"/>
      <c r="F266" s="1558">
        <f t="shared" si="8"/>
        <v>1900</v>
      </c>
      <c r="G266" s="153"/>
      <c r="H266" s="149"/>
      <c r="I266" s="133"/>
      <c r="J266" s="133"/>
      <c r="K266" s="131"/>
      <c r="L266" s="132"/>
      <c r="M266" s="182"/>
    </row>
    <row r="267" spans="1:13" outlineLevel="1" x14ac:dyDescent="0.25">
      <c r="A267" s="131"/>
      <c r="B267" s="1552">
        <v>6</v>
      </c>
      <c r="C267" s="201"/>
      <c r="D267" s="190"/>
      <c r="E267" s="216"/>
      <c r="F267" s="1558">
        <f t="shared" si="8"/>
        <v>1900</v>
      </c>
      <c r="G267" s="153"/>
      <c r="H267" s="149"/>
      <c r="I267" s="133"/>
      <c r="J267" s="133"/>
      <c r="K267" s="131"/>
      <c r="L267" s="132"/>
      <c r="M267" s="182"/>
    </row>
    <row r="268" spans="1:13" outlineLevel="1" x14ac:dyDescent="0.25">
      <c r="A268" s="131"/>
      <c r="B268" s="1552">
        <v>7</v>
      </c>
      <c r="C268" s="201"/>
      <c r="D268" s="190"/>
      <c r="E268" s="216"/>
      <c r="F268" s="1558">
        <f t="shared" si="8"/>
        <v>1900</v>
      </c>
      <c r="G268" s="153"/>
      <c r="H268" s="149"/>
      <c r="I268" s="133"/>
      <c r="J268" s="133"/>
      <c r="K268" s="131"/>
      <c r="L268" s="132"/>
      <c r="M268" s="182"/>
    </row>
    <row r="269" spans="1:13" outlineLevel="1" x14ac:dyDescent="0.25">
      <c r="A269" s="131"/>
      <c r="B269" s="1552">
        <v>8</v>
      </c>
      <c r="C269" s="201"/>
      <c r="D269" s="190"/>
      <c r="E269" s="216"/>
      <c r="F269" s="1558">
        <f t="shared" si="8"/>
        <v>1900</v>
      </c>
      <c r="G269" s="153"/>
      <c r="H269" s="149"/>
      <c r="I269" s="133"/>
      <c r="J269" s="133"/>
      <c r="K269" s="131"/>
      <c r="L269" s="132"/>
      <c r="M269" s="182"/>
    </row>
    <row r="270" spans="1:13" outlineLevel="1" x14ac:dyDescent="0.25">
      <c r="A270" s="131"/>
      <c r="B270" s="1552">
        <v>9</v>
      </c>
      <c r="C270" s="201"/>
      <c r="D270" s="190"/>
      <c r="E270" s="216"/>
      <c r="F270" s="1558">
        <f t="shared" si="8"/>
        <v>1900</v>
      </c>
      <c r="G270" s="153"/>
      <c r="H270" s="149"/>
      <c r="I270" s="133"/>
      <c r="J270" s="133"/>
      <c r="K270" s="131"/>
      <c r="L270" s="132"/>
      <c r="M270" s="182"/>
    </row>
    <row r="271" spans="1:13" outlineLevel="1" x14ac:dyDescent="0.25">
      <c r="A271" s="131"/>
      <c r="B271" s="1552">
        <v>10</v>
      </c>
      <c r="C271" s="201"/>
      <c r="D271" s="190"/>
      <c r="E271" s="216"/>
      <c r="F271" s="1558">
        <f t="shared" si="8"/>
        <v>1900</v>
      </c>
      <c r="G271" s="153"/>
      <c r="H271" s="149"/>
      <c r="I271" s="133"/>
      <c r="J271" s="133"/>
      <c r="K271" s="131"/>
      <c r="L271" s="132"/>
      <c r="M271" s="182"/>
    </row>
    <row r="272" spans="1:13" outlineLevel="1" x14ac:dyDescent="0.25">
      <c r="A272" s="131"/>
      <c r="B272" s="1552">
        <v>11</v>
      </c>
      <c r="C272" s="201"/>
      <c r="D272" s="190"/>
      <c r="E272" s="216"/>
      <c r="F272" s="1558">
        <f t="shared" si="8"/>
        <v>1900</v>
      </c>
      <c r="G272" s="153"/>
      <c r="H272" s="149"/>
      <c r="I272" s="133"/>
      <c r="J272" s="133"/>
      <c r="K272" s="131"/>
      <c r="L272" s="132"/>
      <c r="M272" s="182"/>
    </row>
    <row r="273" spans="1:13" outlineLevel="1" x14ac:dyDescent="0.25">
      <c r="A273" s="131"/>
      <c r="B273" s="1552">
        <v>12</v>
      </c>
      <c r="C273" s="201"/>
      <c r="D273" s="190"/>
      <c r="E273" s="216"/>
      <c r="F273" s="1558">
        <f t="shared" si="8"/>
        <v>1900</v>
      </c>
      <c r="G273" s="153"/>
      <c r="H273" s="149"/>
      <c r="I273" s="133"/>
      <c r="J273" s="133"/>
      <c r="K273" s="131"/>
      <c r="L273" s="132"/>
      <c r="M273" s="182"/>
    </row>
    <row r="274" spans="1:13" hidden="1" outlineLevel="1" x14ac:dyDescent="0.25">
      <c r="A274" s="131"/>
      <c r="B274" s="1552">
        <v>13</v>
      </c>
      <c r="C274" s="201"/>
      <c r="D274" s="190"/>
      <c r="E274" s="216"/>
      <c r="F274" s="1558">
        <f t="shared" si="8"/>
        <v>1900</v>
      </c>
      <c r="G274" s="153"/>
      <c r="H274" s="149"/>
      <c r="I274" s="133"/>
      <c r="J274" s="133"/>
      <c r="K274" s="131"/>
      <c r="L274" s="132"/>
      <c r="M274" s="182"/>
    </row>
    <row r="275" spans="1:13" hidden="1" outlineLevel="1" x14ac:dyDescent="0.25">
      <c r="A275" s="131"/>
      <c r="B275" s="1552">
        <v>14</v>
      </c>
      <c r="C275" s="201"/>
      <c r="D275" s="190"/>
      <c r="E275" s="216"/>
      <c r="F275" s="1558">
        <f t="shared" si="8"/>
        <v>1900</v>
      </c>
      <c r="G275" s="153"/>
      <c r="H275" s="149"/>
      <c r="I275" s="133"/>
      <c r="J275" s="133"/>
      <c r="K275" s="131"/>
      <c r="L275" s="132"/>
      <c r="M275" s="182"/>
    </row>
    <row r="276" spans="1:13" hidden="1" outlineLevel="1" x14ac:dyDescent="0.25">
      <c r="A276" s="131"/>
      <c r="B276" s="1552">
        <v>15</v>
      </c>
      <c r="C276" s="201"/>
      <c r="D276" s="190"/>
      <c r="E276" s="216"/>
      <c r="F276" s="1558">
        <f t="shared" si="8"/>
        <v>1900</v>
      </c>
      <c r="G276" s="153"/>
      <c r="H276" s="149"/>
      <c r="I276" s="133"/>
      <c r="J276" s="133"/>
      <c r="K276" s="131"/>
      <c r="L276" s="132"/>
      <c r="M276" s="182"/>
    </row>
    <row r="277" spans="1:13" hidden="1" outlineLevel="1" x14ac:dyDescent="0.25">
      <c r="A277" s="131"/>
      <c r="B277" s="1552">
        <v>16</v>
      </c>
      <c r="C277" s="201"/>
      <c r="D277" s="190"/>
      <c r="E277" s="216"/>
      <c r="F277" s="1558">
        <f t="shared" si="8"/>
        <v>1900</v>
      </c>
      <c r="G277" s="153"/>
      <c r="H277" s="149"/>
      <c r="I277" s="133"/>
      <c r="J277" s="133"/>
      <c r="K277" s="131"/>
      <c r="L277" s="132"/>
      <c r="M277" s="182"/>
    </row>
    <row r="278" spans="1:13" hidden="1" outlineLevel="1" x14ac:dyDescent="0.25">
      <c r="A278" s="131"/>
      <c r="B278" s="1552">
        <v>17</v>
      </c>
      <c r="C278" s="201"/>
      <c r="D278" s="190"/>
      <c r="E278" s="216"/>
      <c r="F278" s="1558">
        <f t="shared" si="8"/>
        <v>1900</v>
      </c>
      <c r="G278" s="153"/>
      <c r="H278" s="149"/>
      <c r="I278" s="133"/>
      <c r="J278" s="133"/>
      <c r="K278" s="131"/>
      <c r="L278" s="132"/>
      <c r="M278" s="182"/>
    </row>
    <row r="279" spans="1:13" hidden="1" outlineLevel="1" x14ac:dyDescent="0.25">
      <c r="A279" s="131"/>
      <c r="B279" s="1552">
        <v>18</v>
      </c>
      <c r="C279" s="201"/>
      <c r="D279" s="190"/>
      <c r="E279" s="216"/>
      <c r="F279" s="1558">
        <f t="shared" si="8"/>
        <v>1900</v>
      </c>
      <c r="G279" s="153"/>
      <c r="H279" s="149"/>
      <c r="I279" s="133"/>
      <c r="J279" s="133"/>
      <c r="K279" s="131"/>
      <c r="L279" s="132"/>
      <c r="M279" s="182"/>
    </row>
    <row r="280" spans="1:13" hidden="1" outlineLevel="1" x14ac:dyDescent="0.25">
      <c r="A280" s="131"/>
      <c r="B280" s="1552">
        <v>19</v>
      </c>
      <c r="C280" s="201"/>
      <c r="D280" s="190"/>
      <c r="E280" s="216"/>
      <c r="F280" s="1558">
        <f t="shared" si="8"/>
        <v>1900</v>
      </c>
      <c r="G280" s="153"/>
      <c r="H280" s="149"/>
      <c r="I280" s="133"/>
      <c r="J280" s="133"/>
      <c r="K280" s="131"/>
      <c r="L280" s="132"/>
      <c r="M280" s="182"/>
    </row>
    <row r="281" spans="1:13" hidden="1" outlineLevel="1" x14ac:dyDescent="0.25">
      <c r="A281" s="131"/>
      <c r="B281" s="1552">
        <v>20</v>
      </c>
      <c r="C281" s="201"/>
      <c r="D281" s="190"/>
      <c r="E281" s="216"/>
      <c r="F281" s="1558">
        <f t="shared" si="8"/>
        <v>1900</v>
      </c>
      <c r="G281" s="153"/>
      <c r="H281" s="149"/>
      <c r="I281" s="133"/>
      <c r="J281" s="133"/>
      <c r="K281" s="131"/>
      <c r="L281" s="132"/>
      <c r="M281" s="182"/>
    </row>
    <row r="282" spans="1:13" hidden="1" outlineLevel="1" x14ac:dyDescent="0.25">
      <c r="A282" s="131"/>
      <c r="B282" s="1553">
        <v>21</v>
      </c>
      <c r="C282" s="203"/>
      <c r="D282" s="192"/>
      <c r="E282" s="217"/>
      <c r="F282" s="1559">
        <f t="shared" si="8"/>
        <v>1900</v>
      </c>
      <c r="G282" s="153"/>
      <c r="H282" s="149"/>
      <c r="I282" s="133"/>
      <c r="J282" s="133"/>
      <c r="K282" s="131"/>
      <c r="L282" s="132"/>
      <c r="M282" s="182"/>
    </row>
    <row r="283" spans="1:13" collapsed="1" x14ac:dyDescent="0.25">
      <c r="A283" s="131"/>
      <c r="B283" s="158"/>
      <c r="C283" s="159"/>
      <c r="D283" s="160"/>
      <c r="E283" s="214">
        <f>SUM(E262:E282)</f>
        <v>0</v>
      </c>
      <c r="F283" s="161"/>
      <c r="G283" s="161"/>
      <c r="H283" s="149"/>
      <c r="I283" s="133"/>
      <c r="J283" s="133"/>
      <c r="K283" s="131"/>
      <c r="L283" s="132"/>
      <c r="M283" s="182"/>
    </row>
    <row r="284" spans="1:13" x14ac:dyDescent="0.25">
      <c r="A284" s="131"/>
      <c r="B284" s="158"/>
      <c r="C284" s="159"/>
      <c r="D284" s="160"/>
      <c r="E284" s="164"/>
      <c r="F284" s="161"/>
      <c r="G284" s="161"/>
      <c r="H284" s="131"/>
      <c r="I284" s="133"/>
      <c r="J284" s="133"/>
      <c r="K284" s="131"/>
      <c r="L284" s="132"/>
      <c r="M284" s="182"/>
    </row>
    <row r="285" spans="1:13" x14ac:dyDescent="0.25">
      <c r="A285" s="131"/>
      <c r="B285" s="1927" t="s">
        <v>1437</v>
      </c>
      <c r="C285" s="1927"/>
      <c r="D285" s="1927"/>
      <c r="E285" s="1928">
        <f>E283+E259+E93+E80+E61+E23</f>
        <v>93765.25</v>
      </c>
      <c r="F285" s="1928"/>
      <c r="G285" s="161"/>
      <c r="H285" s="131"/>
      <c r="I285" s="133"/>
      <c r="J285" s="133"/>
      <c r="K285" s="131"/>
      <c r="L285" s="132"/>
      <c r="M285" s="182"/>
    </row>
    <row r="286" spans="1:13" x14ac:dyDescent="0.25">
      <c r="A286" s="131"/>
      <c r="B286" s="132"/>
      <c r="C286" s="132"/>
      <c r="D286" s="165"/>
      <c r="E286" s="132"/>
      <c r="F286" s="132"/>
      <c r="G286" s="132"/>
      <c r="H286" s="166"/>
      <c r="I286" s="166"/>
      <c r="J286" s="133"/>
      <c r="K286" s="131"/>
      <c r="L286" s="132"/>
      <c r="M286" s="182"/>
    </row>
    <row r="287" spans="1:13" x14ac:dyDescent="0.25">
      <c r="A287" s="131"/>
      <c r="B287" s="182"/>
      <c r="C287" s="182"/>
      <c r="D287" s="182"/>
      <c r="E287" s="182"/>
      <c r="F287" s="182"/>
      <c r="G287" s="182"/>
      <c r="H287" s="166"/>
      <c r="I287" s="166"/>
      <c r="J287" s="170"/>
      <c r="K287" s="131"/>
      <c r="L287" s="132"/>
      <c r="M287" s="182"/>
    </row>
    <row r="288" spans="1:13" x14ac:dyDescent="0.25">
      <c r="A288" s="131"/>
      <c r="B288" s="131"/>
      <c r="C288" s="132"/>
      <c r="D288" s="167"/>
      <c r="E288" s="168" t="s">
        <v>1432</v>
      </c>
      <c r="F288" s="168" t="s">
        <v>1433</v>
      </c>
      <c r="G288" s="168" t="s">
        <v>1434</v>
      </c>
      <c r="H288" s="169" t="s">
        <v>1440</v>
      </c>
      <c r="I288" s="169" t="s">
        <v>1431</v>
      </c>
      <c r="J288" s="170"/>
      <c r="K288" s="131"/>
      <c r="L288" s="132"/>
      <c r="M288" s="182"/>
    </row>
    <row r="289" spans="1:13" x14ac:dyDescent="0.25">
      <c r="A289" s="131"/>
      <c r="B289" s="1923" t="s">
        <v>148</v>
      </c>
      <c r="C289" s="1924"/>
      <c r="D289" s="171">
        <f>Pressupostos!C11</f>
        <v>2020</v>
      </c>
      <c r="E289" s="218">
        <f>SUMIF(F7:F22,D289,E7:E22)</f>
        <v>0</v>
      </c>
      <c r="F289" s="1810">
        <f>E289</f>
        <v>0</v>
      </c>
      <c r="G289" s="218">
        <f>E289-F289</f>
        <v>0</v>
      </c>
      <c r="H289" s="219">
        <f>F289*Pressupostos!$C$8</f>
        <v>0</v>
      </c>
      <c r="I289" s="219">
        <f>G289*Pressupostos!$C$9</f>
        <v>0</v>
      </c>
      <c r="J289" s="170"/>
      <c r="K289" s="131"/>
      <c r="L289" s="132"/>
      <c r="M289" s="182"/>
    </row>
    <row r="290" spans="1:13" x14ac:dyDescent="0.25">
      <c r="A290" s="131"/>
      <c r="B290" s="1923" t="s">
        <v>148</v>
      </c>
      <c r="C290" s="1924"/>
      <c r="D290" s="171">
        <f>D289+1</f>
        <v>2021</v>
      </c>
      <c r="E290" s="218">
        <f>SUMIF(F7:F22,D290,E7:E22)</f>
        <v>0</v>
      </c>
      <c r="F290" s="1810">
        <f>E290-E21-E22-E23-E58-E59</f>
        <v>0</v>
      </c>
      <c r="G290" s="218">
        <f>E290-F290</f>
        <v>0</v>
      </c>
      <c r="H290" s="219">
        <f>F290*Pressupostos!$C$8</f>
        <v>0</v>
      </c>
      <c r="I290" s="219">
        <f>G290*Pressupostos!$C$9</f>
        <v>0</v>
      </c>
      <c r="J290" s="170"/>
      <c r="K290" s="131"/>
      <c r="L290" s="132"/>
      <c r="M290" s="182"/>
    </row>
    <row r="291" spans="1:13" x14ac:dyDescent="0.25">
      <c r="A291" s="131"/>
      <c r="B291" s="1923" t="s">
        <v>148</v>
      </c>
      <c r="C291" s="1924"/>
      <c r="D291" s="171">
        <f>D290+1</f>
        <v>2022</v>
      </c>
      <c r="E291" s="218">
        <f>SUMIF(F7:F22,D291,E7:E22)</f>
        <v>0</v>
      </c>
      <c r="F291" s="1810">
        <f t="shared" ref="F291:F292" si="9">E291</f>
        <v>0</v>
      </c>
      <c r="G291" s="218">
        <f t="shared" ref="G291:G292" si="10">E291-F291</f>
        <v>0</v>
      </c>
      <c r="H291" s="219">
        <f>F291*Pressupostos!$C$8</f>
        <v>0</v>
      </c>
      <c r="I291" s="219">
        <f>G291*Pressupostos!$C$9</f>
        <v>0</v>
      </c>
      <c r="J291" s="170"/>
      <c r="K291" s="131"/>
      <c r="L291" s="132"/>
      <c r="M291" s="182"/>
    </row>
    <row r="292" spans="1:13" ht="15.75" thickBot="1" x14ac:dyDescent="0.3">
      <c r="A292" s="131"/>
      <c r="B292" s="1923" t="s">
        <v>148</v>
      </c>
      <c r="C292" s="1924"/>
      <c r="D292" s="206">
        <f>D291+1</f>
        <v>2023</v>
      </c>
      <c r="E292" s="220">
        <f>SUMIF(F7:F22,D292,E7:E22)</f>
        <v>0</v>
      </c>
      <c r="F292" s="1810">
        <f t="shared" si="9"/>
        <v>0</v>
      </c>
      <c r="G292" s="218">
        <f t="shared" si="10"/>
        <v>0</v>
      </c>
      <c r="H292" s="221">
        <f>F292*Pressupostos!$C$8</f>
        <v>0</v>
      </c>
      <c r="I292" s="219">
        <f>G292*Pressupostos!$C$9</f>
        <v>0</v>
      </c>
      <c r="J292" s="170"/>
      <c r="K292" s="131"/>
      <c r="L292" s="132"/>
      <c r="M292" s="182"/>
    </row>
    <row r="293" spans="1:13" x14ac:dyDescent="0.25">
      <c r="A293" s="131"/>
      <c r="B293" s="131"/>
      <c r="C293" s="172"/>
      <c r="D293" s="207" t="s">
        <v>149</v>
      </c>
      <c r="E293" s="222">
        <f>SUM(E289:E292)</f>
        <v>0</v>
      </c>
      <c r="F293" s="222">
        <f>SUM(F289:F292)</f>
        <v>0</v>
      </c>
      <c r="G293" s="222">
        <f>SUM(G289:G292)</f>
        <v>0</v>
      </c>
      <c r="H293" s="222">
        <f>H289+H291+H292</f>
        <v>0</v>
      </c>
      <c r="I293" s="222">
        <f>SUM(I289:I292)</f>
        <v>0</v>
      </c>
      <c r="J293" s="170"/>
      <c r="K293" s="131"/>
      <c r="L293" s="132"/>
      <c r="M293" s="182"/>
    </row>
    <row r="294" spans="1:13" s="1667" customFormat="1" x14ac:dyDescent="0.25">
      <c r="A294" s="149"/>
      <c r="B294" s="149"/>
      <c r="C294" s="1813"/>
      <c r="D294" s="173"/>
      <c r="E294" s="174"/>
      <c r="F294" s="174"/>
      <c r="G294" s="174"/>
      <c r="H294" s="1814"/>
      <c r="I294" s="1814"/>
      <c r="J294" s="1815"/>
      <c r="K294" s="149"/>
      <c r="L294" s="149"/>
    </row>
    <row r="295" spans="1:13" x14ac:dyDescent="0.25">
      <c r="A295" s="131"/>
      <c r="B295" s="131"/>
      <c r="C295" s="132"/>
      <c r="D295" s="167"/>
      <c r="E295" s="1272" t="s">
        <v>1432</v>
      </c>
      <c r="F295" s="1272" t="s">
        <v>1433</v>
      </c>
      <c r="G295" s="1272" t="s">
        <v>1434</v>
      </c>
      <c r="H295" s="169" t="s">
        <v>1440</v>
      </c>
      <c r="I295" s="169" t="s">
        <v>1431</v>
      </c>
      <c r="J295" s="170"/>
      <c r="K295" s="131"/>
      <c r="L295" s="132"/>
      <c r="M295" s="182"/>
    </row>
    <row r="296" spans="1:13" x14ac:dyDescent="0.25">
      <c r="A296" s="131"/>
      <c r="B296" s="1925" t="s">
        <v>150</v>
      </c>
      <c r="C296" s="1925"/>
      <c r="D296" s="171">
        <f>D289</f>
        <v>2020</v>
      </c>
      <c r="E296" s="218">
        <f>SUMIF(F26:F60,D296,E26:E60)+SUMIF(F64:F79,D296,E64:E79)</f>
        <v>0</v>
      </c>
      <c r="F296" s="1810">
        <f>E296</f>
        <v>0</v>
      </c>
      <c r="G296" s="218">
        <f>E296-F296</f>
        <v>0</v>
      </c>
      <c r="H296" s="221">
        <f>F296*Pressupostos!$C$8</f>
        <v>0</v>
      </c>
      <c r="I296" s="219">
        <f>G296*Pressupostos!$C$9</f>
        <v>0</v>
      </c>
      <c r="J296" s="170"/>
      <c r="K296" s="131"/>
      <c r="L296" s="132"/>
      <c r="M296" s="182"/>
    </row>
    <row r="297" spans="1:13" x14ac:dyDescent="0.25">
      <c r="A297" s="131"/>
      <c r="B297" s="1925" t="s">
        <v>150</v>
      </c>
      <c r="C297" s="1925"/>
      <c r="D297" s="171">
        <f>D290</f>
        <v>2021</v>
      </c>
      <c r="E297" s="218">
        <f>SUMIF(F26:F60,D297,E26:E60)+SUMIF(F64:F79,D297,E64:E79)</f>
        <v>40000</v>
      </c>
      <c r="F297" s="1810">
        <f>E297-E28-E29-E30-E65-E66</f>
        <v>40000</v>
      </c>
      <c r="G297" s="218">
        <f t="shared" ref="G297:G299" si="11">E297-F297</f>
        <v>0</v>
      </c>
      <c r="H297" s="221">
        <f>F297*Pressupostos!$C$8</f>
        <v>18000</v>
      </c>
      <c r="I297" s="219">
        <f>G297*Pressupostos!$C$9</f>
        <v>0</v>
      </c>
      <c r="J297" s="170"/>
      <c r="K297" s="131"/>
      <c r="L297" s="132"/>
      <c r="M297" s="182"/>
    </row>
    <row r="298" spans="1:13" x14ac:dyDescent="0.25">
      <c r="A298" s="131"/>
      <c r="B298" s="1925" t="s">
        <v>150</v>
      </c>
      <c r="C298" s="1925"/>
      <c r="D298" s="171">
        <f>D291</f>
        <v>2022</v>
      </c>
      <c r="E298" s="218">
        <f>SUMIF(F26:F60,D298,E26:E60)+SUMIF(F64:F79,D298,E64:E79)</f>
        <v>0</v>
      </c>
      <c r="F298" s="1810">
        <f t="shared" ref="F298:F299" si="12">E298</f>
        <v>0</v>
      </c>
      <c r="G298" s="218">
        <f t="shared" si="11"/>
        <v>0</v>
      </c>
      <c r="H298" s="221">
        <f>F298*Pressupostos!$C$8</f>
        <v>0</v>
      </c>
      <c r="I298" s="219">
        <f>G298*Pressupostos!$C$9</f>
        <v>0</v>
      </c>
      <c r="J298" s="170"/>
      <c r="K298" s="131"/>
      <c r="L298" s="132"/>
      <c r="M298" s="182"/>
    </row>
    <row r="299" spans="1:13" ht="15.75" thickBot="1" x14ac:dyDescent="0.3">
      <c r="A299" s="131"/>
      <c r="B299" s="1925" t="s">
        <v>150</v>
      </c>
      <c r="C299" s="1925"/>
      <c r="D299" s="206">
        <f>D292</f>
        <v>2023</v>
      </c>
      <c r="E299" s="220">
        <f>SUMIF(F26:F60,D299,E26:E60)+SUMIF(F64:F79,D299,E64:E79)</f>
        <v>0</v>
      </c>
      <c r="F299" s="1810">
        <f t="shared" si="12"/>
        <v>0</v>
      </c>
      <c r="G299" s="218">
        <f t="shared" si="11"/>
        <v>0</v>
      </c>
      <c r="H299" s="221">
        <f>F299*Pressupostos!$C$8</f>
        <v>0</v>
      </c>
      <c r="I299" s="219">
        <f>G299*Pressupostos!$C$9</f>
        <v>0</v>
      </c>
      <c r="J299" s="170"/>
      <c r="K299" s="131"/>
      <c r="L299" s="132"/>
      <c r="M299" s="182"/>
    </row>
    <row r="300" spans="1:13" x14ac:dyDescent="0.25">
      <c r="A300" s="131"/>
      <c r="B300" s="131"/>
      <c r="C300" s="132"/>
      <c r="D300" s="207" t="s">
        <v>149</v>
      </c>
      <c r="E300" s="222">
        <f>SUM(E296:E299)</f>
        <v>40000</v>
      </c>
      <c r="F300" s="222">
        <f>SUM(F296:F299)</f>
        <v>40000</v>
      </c>
      <c r="G300" s="222">
        <f>SUM(G296:G299)</f>
        <v>0</v>
      </c>
      <c r="H300" s="222">
        <f>SUM(H296:H299)</f>
        <v>18000</v>
      </c>
      <c r="I300" s="222">
        <f>SUM(I296:I299)</f>
        <v>0</v>
      </c>
      <c r="J300" s="170"/>
      <c r="K300" s="131"/>
      <c r="L300" s="132"/>
      <c r="M300" s="182"/>
    </row>
    <row r="301" spans="1:13" x14ac:dyDescent="0.25">
      <c r="A301" s="131"/>
      <c r="B301" s="131"/>
      <c r="C301" s="132"/>
      <c r="D301" s="173"/>
      <c r="E301" s="174"/>
      <c r="F301" s="174"/>
      <c r="G301" s="174"/>
      <c r="H301" s="175"/>
      <c r="I301" s="131"/>
      <c r="J301" s="170"/>
      <c r="K301" s="131"/>
      <c r="L301" s="132"/>
      <c r="M301" s="182"/>
    </row>
    <row r="302" spans="1:13" x14ac:dyDescent="0.25">
      <c r="A302" s="131"/>
      <c r="B302" s="131"/>
      <c r="C302" s="132"/>
      <c r="D302" s="167"/>
      <c r="E302" s="1272" t="s">
        <v>1432</v>
      </c>
      <c r="F302" s="1272" t="s">
        <v>1433</v>
      </c>
      <c r="G302" s="1272" t="s">
        <v>1434</v>
      </c>
      <c r="H302" s="169" t="s">
        <v>1440</v>
      </c>
      <c r="I302" s="169" t="s">
        <v>1431</v>
      </c>
      <c r="J302" s="170"/>
      <c r="K302" s="131"/>
      <c r="L302" s="132"/>
      <c r="M302" s="182"/>
    </row>
    <row r="303" spans="1:13" x14ac:dyDescent="0.25">
      <c r="A303" s="131"/>
      <c r="B303" s="1925" t="s">
        <v>158</v>
      </c>
      <c r="C303" s="1925"/>
      <c r="D303" s="171">
        <f>D296</f>
        <v>2020</v>
      </c>
      <c r="E303" s="218">
        <f>SUMIF(F83:F92,D303,E83:E92)</f>
        <v>0</v>
      </c>
      <c r="F303" s="1810">
        <f t="shared" ref="F303:F306" si="13">E303</f>
        <v>0</v>
      </c>
      <c r="G303" s="218">
        <f t="shared" ref="G303:G306" si="14">E303-F303</f>
        <v>0</v>
      </c>
      <c r="H303" s="221">
        <f>F303*Pressupostos!$C$8</f>
        <v>0</v>
      </c>
      <c r="I303" s="219">
        <f>G303*Pressupostos!$C$9</f>
        <v>0</v>
      </c>
      <c r="J303" s="170"/>
      <c r="K303" s="131"/>
      <c r="L303" s="132"/>
      <c r="M303" s="182"/>
    </row>
    <row r="304" spans="1:13" x14ac:dyDescent="0.25">
      <c r="A304" s="131"/>
      <c r="B304" s="1925" t="s">
        <v>158</v>
      </c>
      <c r="C304" s="1925"/>
      <c r="D304" s="171">
        <f t="shared" ref="D304:D306" si="15">D297</f>
        <v>2021</v>
      </c>
      <c r="E304" s="218">
        <f>SUMIF(F83:F92,D304,E83:E92)</f>
        <v>0</v>
      </c>
      <c r="F304" s="1810">
        <f t="shared" si="13"/>
        <v>0</v>
      </c>
      <c r="G304" s="218">
        <f t="shared" si="14"/>
        <v>0</v>
      </c>
      <c r="H304" s="221">
        <f>F304*Pressupostos!$C$8</f>
        <v>0</v>
      </c>
      <c r="I304" s="219">
        <f>G304*Pressupostos!$C$9</f>
        <v>0</v>
      </c>
      <c r="J304" s="170"/>
      <c r="K304" s="131"/>
      <c r="L304" s="132"/>
      <c r="M304" s="182"/>
    </row>
    <row r="305" spans="1:13" x14ac:dyDescent="0.25">
      <c r="A305" s="131"/>
      <c r="B305" s="1925" t="s">
        <v>158</v>
      </c>
      <c r="C305" s="1925"/>
      <c r="D305" s="171">
        <f t="shared" si="15"/>
        <v>2022</v>
      </c>
      <c r="E305" s="218">
        <f>SUMIF(F83:F92,D305,E83:E92)</f>
        <v>0</v>
      </c>
      <c r="F305" s="1810">
        <f t="shared" si="13"/>
        <v>0</v>
      </c>
      <c r="G305" s="218">
        <f t="shared" si="14"/>
        <v>0</v>
      </c>
      <c r="H305" s="221">
        <f>F305*Pressupostos!$C$8</f>
        <v>0</v>
      </c>
      <c r="I305" s="219">
        <f>G305*Pressupostos!$C$9</f>
        <v>0</v>
      </c>
      <c r="J305" s="170"/>
      <c r="K305" s="131"/>
      <c r="L305" s="132"/>
      <c r="M305" s="182"/>
    </row>
    <row r="306" spans="1:13" ht="15.75" thickBot="1" x14ac:dyDescent="0.3">
      <c r="A306" s="131"/>
      <c r="B306" s="1925" t="s">
        <v>158</v>
      </c>
      <c r="C306" s="1925"/>
      <c r="D306" s="206">
        <f t="shared" si="15"/>
        <v>2023</v>
      </c>
      <c r="E306" s="220">
        <f>SUMIF(F83:F92,D306,E83:E92)</f>
        <v>0</v>
      </c>
      <c r="F306" s="1810">
        <f t="shared" si="13"/>
        <v>0</v>
      </c>
      <c r="G306" s="218">
        <f t="shared" si="14"/>
        <v>0</v>
      </c>
      <c r="H306" s="221">
        <f>F306*Pressupostos!$C$8</f>
        <v>0</v>
      </c>
      <c r="I306" s="219">
        <f>G306*Pressupostos!$C$9</f>
        <v>0</v>
      </c>
      <c r="J306" s="170"/>
      <c r="K306" s="131"/>
      <c r="L306" s="132"/>
      <c r="M306" s="182"/>
    </row>
    <row r="307" spans="1:13" x14ac:dyDescent="0.25">
      <c r="A307" s="131"/>
      <c r="B307" s="131"/>
      <c r="C307" s="132"/>
      <c r="D307" s="207" t="s">
        <v>149</v>
      </c>
      <c r="E307" s="222">
        <f>SUM(E303:E306)</f>
        <v>0</v>
      </c>
      <c r="F307" s="222">
        <f>SUM(F303:F306)</f>
        <v>0</v>
      </c>
      <c r="G307" s="222">
        <f>SUM(G303:G306)</f>
        <v>0</v>
      </c>
      <c r="H307" s="222">
        <f>SUM(H303:H306)</f>
        <v>0</v>
      </c>
      <c r="I307" s="222">
        <f>SUM(I303:I306)</f>
        <v>0</v>
      </c>
      <c r="J307" s="170"/>
      <c r="K307" s="131"/>
      <c r="L307" s="132"/>
      <c r="M307" s="182"/>
    </row>
    <row r="308" spans="1:13" x14ac:dyDescent="0.25">
      <c r="A308" s="131"/>
      <c r="B308" s="131"/>
      <c r="C308" s="149"/>
      <c r="D308" s="173"/>
      <c r="E308" s="174"/>
      <c r="F308" s="174"/>
      <c r="G308" s="174"/>
      <c r="H308" s="175"/>
      <c r="I308" s="174"/>
      <c r="J308" s="170"/>
      <c r="K308" s="131"/>
      <c r="L308" s="132"/>
      <c r="M308" s="182"/>
    </row>
    <row r="309" spans="1:13" x14ac:dyDescent="0.25">
      <c r="A309" s="131"/>
      <c r="B309" s="131"/>
      <c r="C309" s="131"/>
      <c r="D309" s="176"/>
      <c r="E309" s="1272" t="s">
        <v>1432</v>
      </c>
      <c r="F309" s="1272" t="s">
        <v>1433</v>
      </c>
      <c r="G309" s="1272" t="s">
        <v>1434</v>
      </c>
      <c r="H309" s="169" t="s">
        <v>1430</v>
      </c>
      <c r="I309" s="169" t="s">
        <v>1431</v>
      </c>
      <c r="J309" s="170"/>
      <c r="K309" s="131"/>
      <c r="L309" s="132"/>
      <c r="M309" s="182"/>
    </row>
    <row r="310" spans="1:13" x14ac:dyDescent="0.25">
      <c r="A310" s="131"/>
      <c r="B310" s="1925" t="s">
        <v>151</v>
      </c>
      <c r="C310" s="1925"/>
      <c r="D310" s="171">
        <f>D289</f>
        <v>2020</v>
      </c>
      <c r="E310" s="218">
        <f>SUMIF(F96:F258,D310,E96:E258)</f>
        <v>20625.25</v>
      </c>
      <c r="F310" s="1810">
        <f t="shared" ref="F310:F313" si="16">E310</f>
        <v>20625.25</v>
      </c>
      <c r="G310" s="218">
        <f t="shared" ref="G310:G313" si="17">E310-F310</f>
        <v>0</v>
      </c>
      <c r="H310" s="221">
        <f>F310*Pressupostos!$C$8</f>
        <v>9281.3625000000011</v>
      </c>
      <c r="I310" s="219">
        <f>G310*Pressupostos!$C$9</f>
        <v>0</v>
      </c>
      <c r="J310" s="170"/>
      <c r="K310" s="131"/>
      <c r="L310" s="132"/>
      <c r="M310" s="182"/>
    </row>
    <row r="311" spans="1:13" x14ac:dyDescent="0.25">
      <c r="A311" s="131"/>
      <c r="B311" s="1925" t="s">
        <v>151</v>
      </c>
      <c r="C311" s="1925"/>
      <c r="D311" s="171">
        <f>D290</f>
        <v>2021</v>
      </c>
      <c r="E311" s="218">
        <f>SUMIF(F96:F258,D311,E96:E258)</f>
        <v>18340</v>
      </c>
      <c r="F311" s="1810">
        <f t="shared" si="16"/>
        <v>18340</v>
      </c>
      <c r="G311" s="218">
        <f t="shared" si="17"/>
        <v>0</v>
      </c>
      <c r="H311" s="221">
        <f>F311*Pressupostos!$C$8</f>
        <v>8253</v>
      </c>
      <c r="I311" s="219">
        <f>G311*Pressupostos!$C$9</f>
        <v>0</v>
      </c>
      <c r="J311" s="170"/>
      <c r="K311" s="131"/>
      <c r="L311" s="132"/>
      <c r="M311" s="182"/>
    </row>
    <row r="312" spans="1:13" x14ac:dyDescent="0.25">
      <c r="A312" s="131"/>
      <c r="B312" s="1925" t="s">
        <v>151</v>
      </c>
      <c r="C312" s="1925"/>
      <c r="D312" s="171">
        <f>D291</f>
        <v>2022</v>
      </c>
      <c r="E312" s="218">
        <f>SUMIF(F96:F258,D312,E96:E258)</f>
        <v>14800</v>
      </c>
      <c r="F312" s="1810">
        <f t="shared" si="16"/>
        <v>14800</v>
      </c>
      <c r="G312" s="218">
        <f t="shared" si="17"/>
        <v>0</v>
      </c>
      <c r="H312" s="221">
        <f>F312*Pressupostos!$C$8</f>
        <v>6660</v>
      </c>
      <c r="I312" s="219">
        <f>G312*Pressupostos!$C$9</f>
        <v>0</v>
      </c>
      <c r="J312" s="170"/>
      <c r="K312" s="131"/>
      <c r="L312" s="132"/>
      <c r="M312" s="182"/>
    </row>
    <row r="313" spans="1:13" ht="15.75" thickBot="1" x14ac:dyDescent="0.3">
      <c r="A313" s="131"/>
      <c r="B313" s="1925" t="s">
        <v>151</v>
      </c>
      <c r="C313" s="1925"/>
      <c r="D313" s="206">
        <f>D292</f>
        <v>2023</v>
      </c>
      <c r="E313" s="220">
        <f>SUMIF(F96:F258,D313,E96:E258)</f>
        <v>0</v>
      </c>
      <c r="F313" s="1810">
        <f t="shared" si="16"/>
        <v>0</v>
      </c>
      <c r="G313" s="218">
        <f t="shared" si="17"/>
        <v>0</v>
      </c>
      <c r="H313" s="221">
        <f>F313*Pressupostos!$C$8</f>
        <v>0</v>
      </c>
      <c r="I313" s="219">
        <f>G313*Pressupostos!$C$9</f>
        <v>0</v>
      </c>
      <c r="J313" s="170"/>
      <c r="K313" s="131"/>
      <c r="L313" s="132"/>
      <c r="M313" s="182"/>
    </row>
    <row r="314" spans="1:13" x14ac:dyDescent="0.25">
      <c r="A314" s="131"/>
      <c r="B314" s="131"/>
      <c r="C314" s="132"/>
      <c r="D314" s="207" t="s">
        <v>149</v>
      </c>
      <c r="E314" s="222">
        <f>SUM(E310:E313)</f>
        <v>53765.25</v>
      </c>
      <c r="F314" s="222">
        <f>SUM(F310:F313)</f>
        <v>53765.25</v>
      </c>
      <c r="G314" s="222">
        <f>SUM(G310:G313)</f>
        <v>0</v>
      </c>
      <c r="H314" s="222">
        <f>SUM(H310:H313)</f>
        <v>24194.362500000003</v>
      </c>
      <c r="I314" s="222">
        <f>SUM(I310:I313)</f>
        <v>0</v>
      </c>
      <c r="J314" s="170"/>
      <c r="K314" s="131"/>
      <c r="L314" s="132"/>
      <c r="M314" s="182"/>
    </row>
    <row r="315" spans="1:13" x14ac:dyDescent="0.25">
      <c r="A315" s="131"/>
      <c r="B315" s="131"/>
      <c r="C315" s="132"/>
      <c r="D315" s="167"/>
      <c r="E315" s="168"/>
      <c r="F315" s="168"/>
      <c r="G315" s="168"/>
      <c r="I315" s="165"/>
      <c r="J315" s="170"/>
      <c r="K315" s="131"/>
      <c r="L315" s="132"/>
      <c r="M315" s="182"/>
    </row>
    <row r="316" spans="1:13" x14ac:dyDescent="0.25">
      <c r="A316" s="131"/>
      <c r="B316" s="131"/>
      <c r="C316" s="132"/>
      <c r="D316" s="167"/>
      <c r="E316" s="1272" t="s">
        <v>1432</v>
      </c>
      <c r="F316" s="1272" t="s">
        <v>1433</v>
      </c>
      <c r="G316" s="1272" t="s">
        <v>1434</v>
      </c>
      <c r="H316" s="169" t="s">
        <v>1430</v>
      </c>
      <c r="I316" s="169" t="s">
        <v>1431</v>
      </c>
      <c r="J316" s="170"/>
      <c r="K316" s="131"/>
      <c r="L316" s="132"/>
      <c r="M316" s="182"/>
    </row>
    <row r="317" spans="1:13" x14ac:dyDescent="0.25">
      <c r="A317" s="131"/>
      <c r="B317" s="1925" t="s">
        <v>152</v>
      </c>
      <c r="C317" s="1925"/>
      <c r="D317" s="171">
        <f>D289</f>
        <v>2020</v>
      </c>
      <c r="E317" s="218">
        <f>SUMIF(F262:F282,D317,E262:E282)</f>
        <v>0</v>
      </c>
      <c r="F317" s="1810">
        <f t="shared" ref="F317:F320" si="18">E317</f>
        <v>0</v>
      </c>
      <c r="G317" s="218">
        <f t="shared" ref="G317:G320" si="19">E317-F317</f>
        <v>0</v>
      </c>
      <c r="H317" s="221">
        <f>F317*Pressupostos!$C$8</f>
        <v>0</v>
      </c>
      <c r="I317" s="219">
        <f>G317*Pressupostos!$C$9</f>
        <v>0</v>
      </c>
      <c r="J317" s="170"/>
      <c r="K317" s="131"/>
      <c r="L317" s="132"/>
      <c r="M317" s="182"/>
    </row>
    <row r="318" spans="1:13" x14ac:dyDescent="0.25">
      <c r="A318" s="131"/>
      <c r="B318" s="1925" t="s">
        <v>152</v>
      </c>
      <c r="C318" s="1925"/>
      <c r="D318" s="171">
        <f>D290</f>
        <v>2021</v>
      </c>
      <c r="E318" s="218">
        <f>SUMIF(F262:F282,D318,E262:E282)</f>
        <v>0</v>
      </c>
      <c r="F318" s="1810">
        <f t="shared" si="18"/>
        <v>0</v>
      </c>
      <c r="G318" s="218">
        <f t="shared" si="19"/>
        <v>0</v>
      </c>
      <c r="H318" s="221">
        <f>F318*Pressupostos!$C$8</f>
        <v>0</v>
      </c>
      <c r="I318" s="219">
        <f>G318*Pressupostos!$C$9</f>
        <v>0</v>
      </c>
      <c r="J318" s="170"/>
      <c r="K318" s="131"/>
      <c r="L318" s="132"/>
      <c r="M318" s="182"/>
    </row>
    <row r="319" spans="1:13" x14ac:dyDescent="0.25">
      <c r="A319" s="131"/>
      <c r="B319" s="1925" t="s">
        <v>152</v>
      </c>
      <c r="C319" s="1925"/>
      <c r="D319" s="171">
        <f>D291</f>
        <v>2022</v>
      </c>
      <c r="E319" s="218">
        <f>SUMIF(F262:F282,D319,E262:E282)</f>
        <v>0</v>
      </c>
      <c r="F319" s="1810">
        <f t="shared" si="18"/>
        <v>0</v>
      </c>
      <c r="G319" s="218">
        <f t="shared" si="19"/>
        <v>0</v>
      </c>
      <c r="H319" s="221">
        <f>F319*Pressupostos!$C$8</f>
        <v>0</v>
      </c>
      <c r="I319" s="219">
        <f>G319*Pressupostos!$C$9</f>
        <v>0</v>
      </c>
      <c r="J319" s="170"/>
      <c r="K319" s="131"/>
      <c r="L319" s="132"/>
      <c r="M319" s="182"/>
    </row>
    <row r="320" spans="1:13" ht="15.75" thickBot="1" x14ac:dyDescent="0.3">
      <c r="A320" s="131"/>
      <c r="B320" s="1925" t="s">
        <v>152</v>
      </c>
      <c r="C320" s="1925"/>
      <c r="D320" s="206">
        <f>D292</f>
        <v>2023</v>
      </c>
      <c r="E320" s="220">
        <f>SUMIF(F262:F282,D320,E262:E282)</f>
        <v>0</v>
      </c>
      <c r="F320" s="1810">
        <f t="shared" si="18"/>
        <v>0</v>
      </c>
      <c r="G320" s="218">
        <f t="shared" si="19"/>
        <v>0</v>
      </c>
      <c r="H320" s="221">
        <f>F320*Pressupostos!$C$8</f>
        <v>0</v>
      </c>
      <c r="I320" s="219">
        <f>G320*Pressupostos!$C$9</f>
        <v>0</v>
      </c>
      <c r="J320" s="170"/>
      <c r="K320" s="131"/>
      <c r="L320" s="132"/>
      <c r="M320" s="182"/>
    </row>
    <row r="321" spans="1:13" x14ac:dyDescent="0.25">
      <c r="A321" s="131"/>
      <c r="B321" s="131"/>
      <c r="C321" s="172"/>
      <c r="D321" s="207" t="s">
        <v>149</v>
      </c>
      <c r="E321" s="222">
        <f>SUM(E317:E320)</f>
        <v>0</v>
      </c>
      <c r="F321" s="222">
        <f>SUM(F317:F320)</f>
        <v>0</v>
      </c>
      <c r="G321" s="222">
        <f>SUM(G317:G320)</f>
        <v>0</v>
      </c>
      <c r="H321" s="222">
        <f>H317+H319+H320</f>
        <v>0</v>
      </c>
      <c r="I321" s="222">
        <f>I317+I319+I320</f>
        <v>0</v>
      </c>
      <c r="J321" s="170"/>
      <c r="K321" s="131"/>
      <c r="L321" s="132"/>
      <c r="M321" s="182"/>
    </row>
    <row r="322" spans="1:13" s="182" customFormat="1" x14ac:dyDescent="0.25">
      <c r="A322" s="132"/>
      <c r="B322" s="132"/>
      <c r="C322" s="172"/>
      <c r="D322" s="173"/>
      <c r="E322" s="1816"/>
      <c r="F322" s="1816"/>
      <c r="G322" s="1816"/>
      <c r="H322" s="1816"/>
      <c r="I322" s="1816"/>
      <c r="J322" s="1812"/>
      <c r="K322" s="132"/>
      <c r="L322" s="132"/>
    </row>
    <row r="323" spans="1:13" s="182" customFormat="1" x14ac:dyDescent="0.25">
      <c r="A323" s="132"/>
      <c r="B323" s="132"/>
      <c r="C323" s="172"/>
      <c r="D323" s="1929" t="s">
        <v>1445</v>
      </c>
      <c r="E323" s="1929"/>
      <c r="F323" s="1929"/>
      <c r="G323" s="1929"/>
      <c r="H323" s="1929"/>
      <c r="I323" s="1929"/>
      <c r="J323" s="1929"/>
      <c r="K323" s="132"/>
      <c r="L323" s="132"/>
    </row>
    <row r="324" spans="1:13" x14ac:dyDescent="0.25">
      <c r="A324" s="132"/>
      <c r="B324" s="162"/>
      <c r="C324" s="172"/>
      <c r="D324" s="990" t="s">
        <v>1441</v>
      </c>
      <c r="E324" s="991" t="s">
        <v>1439</v>
      </c>
      <c r="F324" s="992" t="s">
        <v>65</v>
      </c>
      <c r="G324" s="992" t="s">
        <v>154</v>
      </c>
      <c r="H324" s="991" t="s">
        <v>155</v>
      </c>
      <c r="I324" s="991" t="s">
        <v>156</v>
      </c>
      <c r="J324" s="993" t="s">
        <v>157</v>
      </c>
      <c r="K324" s="132"/>
      <c r="L324" s="132"/>
      <c r="M324" s="182"/>
    </row>
    <row r="325" spans="1:13" x14ac:dyDescent="0.25">
      <c r="A325" s="132"/>
      <c r="B325" s="1920">
        <f>D289</f>
        <v>2020</v>
      </c>
      <c r="C325" s="1920"/>
      <c r="D325" s="1817">
        <f>SUMIF(D289:D321,D348,F289:F321)</f>
        <v>20625.25</v>
      </c>
      <c r="E325" s="1817">
        <f>H289+H296+H303+H310+H317</f>
        <v>9281.3625000000011</v>
      </c>
      <c r="F325" s="1214"/>
      <c r="G325" s="1215">
        <f>0.1*D325</f>
        <v>2062.5250000000001</v>
      </c>
      <c r="H325" s="1214">
        <f>0.2*D325</f>
        <v>4125.05</v>
      </c>
      <c r="I325" s="1818">
        <f>D325-E325-F325-G325-H325</f>
        <v>5156.3124999999991</v>
      </c>
      <c r="J325" s="1818">
        <f>SUM(E325:I325)</f>
        <v>20625.25</v>
      </c>
      <c r="K325" s="1818">
        <f>D325</f>
        <v>20625.25</v>
      </c>
      <c r="L325" s="132"/>
      <c r="M325" s="182"/>
    </row>
    <row r="326" spans="1:13" x14ac:dyDescent="0.25">
      <c r="A326" s="132"/>
      <c r="B326" s="1920">
        <f t="shared" ref="B326:B328" si="20">D290</f>
        <v>2021</v>
      </c>
      <c r="C326" s="1920"/>
      <c r="D326" s="1817">
        <f t="shared" ref="D326:D328" si="21">SUMIF(D290:D322,D349,F290:F322)</f>
        <v>58340</v>
      </c>
      <c r="E326" s="1817">
        <f t="shared" ref="E326:E327" si="22">H290+H297+H304+H311+H318</f>
        <v>26253</v>
      </c>
      <c r="F326" s="1214"/>
      <c r="G326" s="1215">
        <f t="shared" ref="G326:G328" si="23">0.1*D326</f>
        <v>5834</v>
      </c>
      <c r="H326" s="1214">
        <f t="shared" ref="H326:H328" si="24">0.2*D326</f>
        <v>11668</v>
      </c>
      <c r="I326" s="1818">
        <f t="shared" ref="I326:I328" si="25">D326-E326-F326-G326-H326</f>
        <v>14585</v>
      </c>
      <c r="J326" s="1818">
        <f t="shared" ref="J326:J328" si="26">SUM(E326:I326)</f>
        <v>58340</v>
      </c>
      <c r="K326" s="1818">
        <f>D326</f>
        <v>58340</v>
      </c>
      <c r="L326" s="132"/>
      <c r="M326" s="182"/>
    </row>
    <row r="327" spans="1:13" x14ac:dyDescent="0.25">
      <c r="A327" s="132"/>
      <c r="B327" s="1920">
        <f t="shared" si="20"/>
        <v>2022</v>
      </c>
      <c r="C327" s="1920"/>
      <c r="D327" s="1817">
        <f t="shared" si="21"/>
        <v>14800</v>
      </c>
      <c r="E327" s="1817">
        <f t="shared" si="22"/>
        <v>6660</v>
      </c>
      <c r="F327" s="1214"/>
      <c r="G327" s="1215">
        <f t="shared" si="23"/>
        <v>1480</v>
      </c>
      <c r="H327" s="1214">
        <f t="shared" si="24"/>
        <v>2960</v>
      </c>
      <c r="I327" s="1818">
        <f t="shared" si="25"/>
        <v>3700</v>
      </c>
      <c r="J327" s="1818">
        <f t="shared" si="26"/>
        <v>14800</v>
      </c>
      <c r="K327" s="1818">
        <f>D327</f>
        <v>14800</v>
      </c>
      <c r="L327" s="132"/>
      <c r="M327" s="182"/>
    </row>
    <row r="328" spans="1:13" x14ac:dyDescent="0.25">
      <c r="A328" s="132"/>
      <c r="B328" s="1920">
        <f t="shared" si="20"/>
        <v>2023</v>
      </c>
      <c r="C328" s="1920"/>
      <c r="D328" s="1817">
        <f t="shared" si="21"/>
        <v>0</v>
      </c>
      <c r="E328" s="1817">
        <f>H292+H299+H306+H313+H320</f>
        <v>0</v>
      </c>
      <c r="F328" s="1214"/>
      <c r="G328" s="1215">
        <f t="shared" si="23"/>
        <v>0</v>
      </c>
      <c r="H328" s="1214">
        <f t="shared" si="24"/>
        <v>0</v>
      </c>
      <c r="I328" s="1818">
        <f t="shared" si="25"/>
        <v>0</v>
      </c>
      <c r="J328" s="1818">
        <f t="shared" si="26"/>
        <v>0</v>
      </c>
      <c r="K328" s="1818">
        <f>D328</f>
        <v>0</v>
      </c>
      <c r="L328" s="132"/>
      <c r="M328" s="182"/>
    </row>
    <row r="329" spans="1:13" x14ac:dyDescent="0.25">
      <c r="A329" s="132"/>
      <c r="B329" s="131"/>
      <c r="C329" s="177" t="s">
        <v>149</v>
      </c>
      <c r="D329" s="223">
        <f>SUM(D325:D328)</f>
        <v>93765.25</v>
      </c>
      <c r="E329" s="223">
        <f t="shared" ref="E329:I329" si="27">SUM(E325:E328)</f>
        <v>42194.362500000003</v>
      </c>
      <c r="F329" s="223">
        <f t="shared" si="27"/>
        <v>0</v>
      </c>
      <c r="G329" s="223">
        <f t="shared" si="27"/>
        <v>9376.5249999999996</v>
      </c>
      <c r="H329" s="223">
        <f t="shared" si="27"/>
        <v>18753.05</v>
      </c>
      <c r="I329" s="223">
        <f t="shared" si="27"/>
        <v>23441.3125</v>
      </c>
      <c r="J329" s="223">
        <f>SUM(J325:J328)</f>
        <v>93765.25</v>
      </c>
      <c r="K329" s="223">
        <f>SUM(K325:K328)</f>
        <v>93765.25</v>
      </c>
      <c r="L329" s="132"/>
      <c r="M329" s="182"/>
    </row>
    <row r="330" spans="1:13" x14ac:dyDescent="0.25">
      <c r="A330" s="132"/>
      <c r="B330" s="131"/>
      <c r="C330" s="132"/>
      <c r="D330" s="1929" t="s">
        <v>1446</v>
      </c>
      <c r="E330" s="1929"/>
      <c r="F330" s="1929"/>
      <c r="G330" s="1929"/>
      <c r="H330" s="1929"/>
      <c r="I330" s="1929"/>
      <c r="J330" s="1929"/>
      <c r="K330" s="131"/>
      <c r="L330" s="132"/>
      <c r="M330" s="182"/>
    </row>
    <row r="331" spans="1:13" x14ac:dyDescent="0.25">
      <c r="A331" s="132"/>
      <c r="B331" s="162"/>
      <c r="C331" s="172"/>
      <c r="D331" s="990" t="s">
        <v>153</v>
      </c>
      <c r="E331" s="1811" t="s">
        <v>1438</v>
      </c>
      <c r="F331" s="992" t="s">
        <v>65</v>
      </c>
      <c r="G331" s="992" t="s">
        <v>154</v>
      </c>
      <c r="H331" s="991" t="s">
        <v>155</v>
      </c>
      <c r="I331" s="991" t="s">
        <v>156</v>
      </c>
      <c r="J331" s="993" t="s">
        <v>157</v>
      </c>
      <c r="K331" s="132"/>
      <c r="L331" s="132"/>
      <c r="M331" s="182"/>
    </row>
    <row r="332" spans="1:13" x14ac:dyDescent="0.25">
      <c r="A332" s="132"/>
      <c r="B332" s="1920">
        <f>B325</f>
        <v>2020</v>
      </c>
      <c r="C332" s="1920"/>
      <c r="D332" s="1817">
        <f>SUMIF(D289:D321,D348,G289:G321)</f>
        <v>0</v>
      </c>
      <c r="E332" s="1817">
        <f>I289+I296+I303+I310+I317</f>
        <v>0</v>
      </c>
      <c r="F332" s="1214"/>
      <c r="G332" s="1215">
        <f>D332*0.1</f>
        <v>0</v>
      </c>
      <c r="H332" s="1214">
        <f>D332*0.2</f>
        <v>0</v>
      </c>
      <c r="I332" s="1818">
        <f>D332-E332-F332-G332-H332</f>
        <v>0</v>
      </c>
      <c r="J332" s="1818">
        <f>SUM(E332:I332)</f>
        <v>0</v>
      </c>
      <c r="K332" s="1818">
        <f>D332</f>
        <v>0</v>
      </c>
      <c r="L332" s="132"/>
      <c r="M332" s="182"/>
    </row>
    <row r="333" spans="1:13" x14ac:dyDescent="0.25">
      <c r="A333" s="132"/>
      <c r="B333" s="1920">
        <f t="shared" ref="B333:B335" si="28">B326</f>
        <v>2021</v>
      </c>
      <c r="C333" s="1920"/>
      <c r="D333" s="1817">
        <f t="shared" ref="D333:D335" si="29">SUMIF(D290:D322,D349,G290:G322)</f>
        <v>0</v>
      </c>
      <c r="E333" s="1817">
        <f t="shared" ref="E333:E335" si="30">I290+I297+I304+I311+I318</f>
        <v>0</v>
      </c>
      <c r="F333" s="1214"/>
      <c r="G333" s="1215">
        <f t="shared" ref="G333:G335" si="31">D333*0.1</f>
        <v>0</v>
      </c>
      <c r="H333" s="1214">
        <f t="shared" ref="H333:H335" si="32">D333*0.2</f>
        <v>0</v>
      </c>
      <c r="I333" s="1818">
        <f t="shared" ref="I333:I335" si="33">D333-E333-F333-G333-H333</f>
        <v>0</v>
      </c>
      <c r="J333" s="1818">
        <f>SUM(E333:I333)</f>
        <v>0</v>
      </c>
      <c r="K333" s="1818">
        <f>D333</f>
        <v>0</v>
      </c>
      <c r="L333" s="132"/>
      <c r="M333" s="182"/>
    </row>
    <row r="334" spans="1:13" x14ac:dyDescent="0.25">
      <c r="A334" s="132"/>
      <c r="B334" s="1920">
        <f t="shared" si="28"/>
        <v>2022</v>
      </c>
      <c r="C334" s="1920"/>
      <c r="D334" s="1817">
        <f t="shared" si="29"/>
        <v>0</v>
      </c>
      <c r="E334" s="1817">
        <f t="shared" si="30"/>
        <v>0</v>
      </c>
      <c r="F334" s="1214"/>
      <c r="G334" s="1215">
        <f t="shared" si="31"/>
        <v>0</v>
      </c>
      <c r="H334" s="1214">
        <f t="shared" si="32"/>
        <v>0</v>
      </c>
      <c r="I334" s="1818">
        <f t="shared" si="33"/>
        <v>0</v>
      </c>
      <c r="J334" s="1818">
        <f>SUM(E334:I334)</f>
        <v>0</v>
      </c>
      <c r="K334" s="1818">
        <f>D334</f>
        <v>0</v>
      </c>
      <c r="L334" s="132"/>
      <c r="M334" s="182"/>
    </row>
    <row r="335" spans="1:13" x14ac:dyDescent="0.25">
      <c r="A335" s="132"/>
      <c r="B335" s="1920">
        <f t="shared" si="28"/>
        <v>2023</v>
      </c>
      <c r="C335" s="1920"/>
      <c r="D335" s="1817">
        <f t="shared" si="29"/>
        <v>0</v>
      </c>
      <c r="E335" s="1817">
        <f t="shared" si="30"/>
        <v>0</v>
      </c>
      <c r="F335" s="1214"/>
      <c r="G335" s="1215">
        <f t="shared" si="31"/>
        <v>0</v>
      </c>
      <c r="H335" s="1214">
        <f t="shared" si="32"/>
        <v>0</v>
      </c>
      <c r="I335" s="1818">
        <f t="shared" si="33"/>
        <v>0</v>
      </c>
      <c r="J335" s="1818">
        <f>SUM(E335:I335)</f>
        <v>0</v>
      </c>
      <c r="K335" s="1818">
        <f>D335</f>
        <v>0</v>
      </c>
      <c r="L335" s="132"/>
      <c r="M335" s="182"/>
    </row>
    <row r="336" spans="1:13" x14ac:dyDescent="0.25">
      <c r="A336" s="132"/>
      <c r="B336" s="131"/>
      <c r="C336" s="177" t="s">
        <v>149</v>
      </c>
      <c r="D336" s="223">
        <f>SUM(D332:D335)</f>
        <v>0</v>
      </c>
      <c r="E336" s="223">
        <f t="shared" ref="E336:I336" si="34">SUM(E332:E335)</f>
        <v>0</v>
      </c>
      <c r="F336" s="223">
        <f t="shared" si="34"/>
        <v>0</v>
      </c>
      <c r="G336" s="223">
        <f t="shared" si="34"/>
        <v>0</v>
      </c>
      <c r="H336" s="223">
        <f t="shared" si="34"/>
        <v>0</v>
      </c>
      <c r="I336" s="223">
        <f t="shared" si="34"/>
        <v>0</v>
      </c>
      <c r="J336" s="223">
        <f>SUM(J332:J335)</f>
        <v>0</v>
      </c>
      <c r="K336" s="223">
        <f>SUM(K332:K335)</f>
        <v>0</v>
      </c>
      <c r="L336" s="132"/>
      <c r="M336" s="182"/>
    </row>
    <row r="337" spans="1:13" x14ac:dyDescent="0.25">
      <c r="A337" s="132"/>
      <c r="B337" s="131"/>
      <c r="C337" s="132"/>
      <c r="D337" s="131"/>
      <c r="E337" s="131"/>
      <c r="F337" s="132"/>
      <c r="G337" s="132"/>
      <c r="H337" s="131"/>
      <c r="I337" s="133"/>
      <c r="J337" s="133"/>
      <c r="K337" s="131"/>
      <c r="L337" s="132"/>
      <c r="M337" s="182"/>
    </row>
    <row r="338" spans="1:13" x14ac:dyDescent="0.25">
      <c r="A338" s="132"/>
      <c r="B338" s="131"/>
      <c r="C338" s="172"/>
      <c r="D338" s="1929" t="s">
        <v>1447</v>
      </c>
      <c r="E338" s="1929"/>
      <c r="F338" s="1929"/>
      <c r="G338" s="1929"/>
      <c r="H338" s="1929"/>
      <c r="I338" s="1929"/>
      <c r="J338" s="1929"/>
      <c r="K338" s="131"/>
      <c r="L338" s="132"/>
      <c r="M338" s="182"/>
    </row>
    <row r="339" spans="1:13" x14ac:dyDescent="0.25">
      <c r="A339" s="132"/>
      <c r="B339" s="162"/>
      <c r="C339" s="172"/>
      <c r="D339" s="1819" t="s">
        <v>153</v>
      </c>
      <c r="E339" s="1820" t="s">
        <v>1442</v>
      </c>
      <c r="F339" s="1821" t="s">
        <v>65</v>
      </c>
      <c r="G339" s="1821" t="s">
        <v>154</v>
      </c>
      <c r="H339" s="1822" t="s">
        <v>155</v>
      </c>
      <c r="I339" s="1822" t="s">
        <v>156</v>
      </c>
      <c r="J339" s="1823" t="s">
        <v>157</v>
      </c>
      <c r="K339" s="132"/>
      <c r="L339" s="132"/>
      <c r="M339" s="182"/>
    </row>
    <row r="340" spans="1:13" x14ac:dyDescent="0.25">
      <c r="A340" s="132"/>
      <c r="B340" s="1922">
        <f>B325</f>
        <v>2020</v>
      </c>
      <c r="C340" s="1922"/>
      <c r="D340" s="1824">
        <f>D325+D332</f>
        <v>20625.25</v>
      </c>
      <c r="E340" s="1825">
        <f>E325+E332</f>
        <v>9281.3625000000011</v>
      </c>
      <c r="F340" s="1214">
        <f>F325+F332</f>
        <v>0</v>
      </c>
      <c r="G340" s="1214">
        <f t="shared" ref="G340:H340" si="35">G325+G332</f>
        <v>2062.5250000000001</v>
      </c>
      <c r="H340" s="1214">
        <f t="shared" si="35"/>
        <v>4125.05</v>
      </c>
      <c r="I340" s="1826">
        <f>D340-E340-F340-G340-H340</f>
        <v>5156.3124999999991</v>
      </c>
      <c r="J340" s="1826">
        <f>SUM(E340:I340)</f>
        <v>20625.25</v>
      </c>
      <c r="K340" s="1826">
        <f>D340</f>
        <v>20625.25</v>
      </c>
      <c r="L340" s="132"/>
      <c r="M340" s="182"/>
    </row>
    <row r="341" spans="1:13" x14ac:dyDescent="0.25">
      <c r="A341" s="132"/>
      <c r="B341" s="1922">
        <f t="shared" ref="B341:B343" si="36">B326</f>
        <v>2021</v>
      </c>
      <c r="C341" s="1922"/>
      <c r="D341" s="1824">
        <f t="shared" ref="D341:F343" si="37">D326+D333</f>
        <v>58340</v>
      </c>
      <c r="E341" s="1825">
        <f t="shared" si="37"/>
        <v>26253</v>
      </c>
      <c r="F341" s="1214">
        <f t="shared" si="37"/>
        <v>0</v>
      </c>
      <c r="G341" s="1214">
        <f t="shared" ref="G341:H341" si="38">G326+G333</f>
        <v>5834</v>
      </c>
      <c r="H341" s="1214">
        <f t="shared" si="38"/>
        <v>11668</v>
      </c>
      <c r="I341" s="1826">
        <f t="shared" ref="I341:I343" si="39">D341-E341-F341-G341-H341</f>
        <v>14585</v>
      </c>
      <c r="J341" s="1826">
        <f t="shared" ref="J341:J343" si="40">SUM(E341:I341)</f>
        <v>58340</v>
      </c>
      <c r="K341" s="1826">
        <f>D341</f>
        <v>58340</v>
      </c>
      <c r="L341" s="132"/>
      <c r="M341" s="182"/>
    </row>
    <row r="342" spans="1:13" x14ac:dyDescent="0.25">
      <c r="A342" s="132"/>
      <c r="B342" s="1922">
        <f t="shared" si="36"/>
        <v>2022</v>
      </c>
      <c r="C342" s="1922"/>
      <c r="D342" s="1824">
        <f t="shared" si="37"/>
        <v>14800</v>
      </c>
      <c r="E342" s="1825">
        <f t="shared" si="37"/>
        <v>6660</v>
      </c>
      <c r="F342" s="1214">
        <f t="shared" si="37"/>
        <v>0</v>
      </c>
      <c r="G342" s="1214">
        <f t="shared" ref="G342:H342" si="41">G327+G334</f>
        <v>1480</v>
      </c>
      <c r="H342" s="1214">
        <f t="shared" si="41"/>
        <v>2960</v>
      </c>
      <c r="I342" s="1826">
        <f t="shared" si="39"/>
        <v>3700</v>
      </c>
      <c r="J342" s="1826">
        <f t="shared" si="40"/>
        <v>14800</v>
      </c>
      <c r="K342" s="1826">
        <f>D342</f>
        <v>14800</v>
      </c>
      <c r="L342" s="132"/>
      <c r="M342" s="182"/>
    </row>
    <row r="343" spans="1:13" x14ac:dyDescent="0.25">
      <c r="A343" s="132"/>
      <c r="B343" s="1922">
        <f t="shared" si="36"/>
        <v>2023</v>
      </c>
      <c r="C343" s="1922"/>
      <c r="D343" s="1824">
        <f t="shared" si="37"/>
        <v>0</v>
      </c>
      <c r="E343" s="1825">
        <f t="shared" si="37"/>
        <v>0</v>
      </c>
      <c r="F343" s="1214">
        <f t="shared" si="37"/>
        <v>0</v>
      </c>
      <c r="G343" s="1214">
        <f t="shared" ref="G343:H343" si="42">G328+G335</f>
        <v>0</v>
      </c>
      <c r="H343" s="1214">
        <f t="shared" si="42"/>
        <v>0</v>
      </c>
      <c r="I343" s="1826">
        <f t="shared" si="39"/>
        <v>0</v>
      </c>
      <c r="J343" s="1826">
        <f t="shared" si="40"/>
        <v>0</v>
      </c>
      <c r="K343" s="1826">
        <f>D343</f>
        <v>0</v>
      </c>
      <c r="L343" s="132"/>
      <c r="M343" s="182"/>
    </row>
    <row r="344" spans="1:13" x14ac:dyDescent="0.25">
      <c r="A344" s="132"/>
      <c r="B344" s="131"/>
      <c r="C344" s="177" t="s">
        <v>149</v>
      </c>
      <c r="D344" s="223">
        <f>SUM(D340:D343)</f>
        <v>93765.25</v>
      </c>
      <c r="E344" s="223">
        <f t="shared" ref="E344:H344" si="43">SUM(E340:E343)</f>
        <v>42194.362500000003</v>
      </c>
      <c r="F344" s="223">
        <f t="shared" si="43"/>
        <v>0</v>
      </c>
      <c r="G344" s="223">
        <f t="shared" si="43"/>
        <v>9376.5249999999996</v>
      </c>
      <c r="H344" s="223">
        <f t="shared" si="43"/>
        <v>18753.05</v>
      </c>
      <c r="I344" s="223">
        <f t="shared" ref="I344" si="44">SUM(I340:I343)</f>
        <v>23441.3125</v>
      </c>
      <c r="J344" s="223">
        <f>SUM(J340:J343)</f>
        <v>93765.25</v>
      </c>
      <c r="K344" s="223">
        <f>SUM(K340:K343)</f>
        <v>93765.25</v>
      </c>
      <c r="L344" s="132"/>
      <c r="M344" s="182"/>
    </row>
    <row r="345" spans="1:13" x14ac:dyDescent="0.25">
      <c r="A345" s="132"/>
      <c r="B345" s="131"/>
      <c r="C345" s="132"/>
      <c r="D345" s="131"/>
      <c r="E345" s="131"/>
      <c r="F345" s="132"/>
      <c r="G345" s="132"/>
      <c r="H345" s="131"/>
      <c r="I345" s="133"/>
      <c r="J345" s="133"/>
      <c r="K345" s="131"/>
      <c r="L345" s="132"/>
      <c r="M345" s="182"/>
    </row>
    <row r="346" spans="1:13" x14ac:dyDescent="0.25">
      <c r="A346" s="132"/>
      <c r="B346" s="131"/>
      <c r="C346" s="132"/>
      <c r="D346" s="1213">
        <f>D347-1</f>
        <v>2018</v>
      </c>
      <c r="E346" s="1663">
        <f>DR!E34</f>
        <v>0</v>
      </c>
      <c r="F346" s="182"/>
      <c r="G346" s="182"/>
      <c r="H346" s="182"/>
      <c r="I346" s="182"/>
      <c r="J346" s="149"/>
      <c r="K346" s="1662" t="s">
        <v>693</v>
      </c>
      <c r="L346" s="1213">
        <f>Pressupostos!C12</f>
        <v>2020</v>
      </c>
      <c r="M346" s="182"/>
    </row>
    <row r="347" spans="1:13" x14ac:dyDescent="0.25">
      <c r="A347" s="132"/>
      <c r="B347" s="131"/>
      <c r="C347" s="132"/>
      <c r="D347" s="1213">
        <f>D348-1</f>
        <v>2019</v>
      </c>
      <c r="E347" s="1663">
        <f>DR!F34</f>
        <v>47101.820000000022</v>
      </c>
      <c r="F347" s="182"/>
      <c r="G347" s="1662" t="s">
        <v>698</v>
      </c>
      <c r="H347" s="1662" t="s">
        <v>699</v>
      </c>
      <c r="I347" s="1662" t="s">
        <v>1204</v>
      </c>
      <c r="J347" s="1662" t="s">
        <v>697</v>
      </c>
      <c r="K347" s="1662" t="s">
        <v>694</v>
      </c>
      <c r="L347" s="1663">
        <f>SUMIF(Faturas!D346:D351,Pressupostos!C12-1,Faturas!E346:E351)</f>
        <v>47101.820000000022</v>
      </c>
      <c r="M347" s="182"/>
    </row>
    <row r="348" spans="1:13" x14ac:dyDescent="0.25">
      <c r="A348" s="131"/>
      <c r="B348" s="131"/>
      <c r="C348" s="132"/>
      <c r="D348" s="1213">
        <f>D289</f>
        <v>2020</v>
      </c>
      <c r="E348" s="1663">
        <f>'DR Empresa'!C33</f>
        <v>33210.189573746895</v>
      </c>
      <c r="F348" s="1673">
        <f>B340</f>
        <v>2020</v>
      </c>
      <c r="G348" s="1663">
        <f>E347</f>
        <v>47101.820000000022</v>
      </c>
      <c r="H348" s="1663">
        <f>SUMIF(D346:D351,Pressupostos!C10,Faturas!E346:E351)</f>
        <v>0</v>
      </c>
      <c r="I348" s="1663">
        <f>MIN(G348:H348)</f>
        <v>0</v>
      </c>
      <c r="J348" s="1663">
        <f>IF(I348&lt;0,0,I348)</f>
        <v>0</v>
      </c>
      <c r="K348" s="1662" t="s">
        <v>696</v>
      </c>
      <c r="L348" s="1213">
        <f>Pressupostos!C10</f>
        <v>2018</v>
      </c>
      <c r="M348" s="182"/>
    </row>
    <row r="349" spans="1:13" ht="15.75" thickBot="1" x14ac:dyDescent="0.3">
      <c r="A349" s="131"/>
      <c r="B349" s="131"/>
      <c r="C349" s="132"/>
      <c r="D349" s="1213">
        <f>D290</f>
        <v>2021</v>
      </c>
      <c r="E349" s="1663">
        <f>'DR Empresa'!D33</f>
        <v>67890.469237606289</v>
      </c>
      <c r="F349" s="1673">
        <f>B341</f>
        <v>2021</v>
      </c>
      <c r="G349" s="1663">
        <f>E348</f>
        <v>33210.189573746895</v>
      </c>
      <c r="H349" s="1663">
        <f>H348</f>
        <v>0</v>
      </c>
      <c r="I349" s="1663">
        <f>MIN(G349:H349)</f>
        <v>0</v>
      </c>
      <c r="J349" s="1663">
        <f t="shared" ref="J349:J351" si="45">IF(I349&lt;0,0,I349)</f>
        <v>0</v>
      </c>
      <c r="K349" s="1669" t="s">
        <v>695</v>
      </c>
      <c r="L349" s="1670">
        <f>SUMIF(D346:D351,L348,E346:E351)</f>
        <v>0</v>
      </c>
      <c r="M349" s="182"/>
    </row>
    <row r="350" spans="1:13" ht="15.75" thickTop="1" x14ac:dyDescent="0.25">
      <c r="A350" s="131"/>
      <c r="B350" s="131"/>
      <c r="C350" s="132"/>
      <c r="D350" s="1213">
        <f>D291</f>
        <v>2022</v>
      </c>
      <c r="E350" s="1663">
        <f>'DR Empresa'!E33</f>
        <v>62798.104202385053</v>
      </c>
      <c r="F350" s="1673">
        <f>D350</f>
        <v>2022</v>
      </c>
      <c r="G350" s="1663">
        <f>E349</f>
        <v>67890.469237606289</v>
      </c>
      <c r="H350" s="1663">
        <f>H349</f>
        <v>0</v>
      </c>
      <c r="I350" s="1663">
        <f>MIN(G350:H350)</f>
        <v>0</v>
      </c>
      <c r="J350" s="1663">
        <f t="shared" si="45"/>
        <v>0</v>
      </c>
      <c r="K350" s="1671" t="s">
        <v>555</v>
      </c>
      <c r="L350" s="1672">
        <f>MIN(L347,L349)</f>
        <v>0</v>
      </c>
      <c r="M350" s="182"/>
    </row>
    <row r="351" spans="1:13" x14ac:dyDescent="0.25">
      <c r="A351" s="131"/>
      <c r="B351" s="131"/>
      <c r="C351" s="132"/>
      <c r="D351" s="1213">
        <f>D292</f>
        <v>2023</v>
      </c>
      <c r="E351" s="1663">
        <f>'DR Empresa'!F33</f>
        <v>74259.53835695787</v>
      </c>
      <c r="F351" s="1673">
        <f>D351</f>
        <v>2023</v>
      </c>
      <c r="G351" s="1663">
        <f>E350</f>
        <v>62798.104202385053</v>
      </c>
      <c r="H351" s="1663">
        <f>H350</f>
        <v>0</v>
      </c>
      <c r="I351" s="1663">
        <f>MIN(G351:H351)</f>
        <v>0</v>
      </c>
      <c r="J351" s="1663">
        <f t="shared" si="45"/>
        <v>0</v>
      </c>
      <c r="K351" s="1664" t="s">
        <v>697</v>
      </c>
      <c r="L351" s="1663">
        <f>IF(L350&lt;0,0,L350)</f>
        <v>0</v>
      </c>
      <c r="M351" s="182"/>
    </row>
    <row r="352" spans="1:13" x14ac:dyDescent="0.25">
      <c r="A352" s="131"/>
      <c r="B352" s="131"/>
      <c r="C352" s="132"/>
      <c r="D352" s="1932" t="s">
        <v>65</v>
      </c>
      <c r="E352" s="1933"/>
      <c r="F352" s="182"/>
      <c r="G352" s="182"/>
      <c r="H352" s="182"/>
      <c r="I352" s="182"/>
      <c r="J352" s="182"/>
      <c r="K352" s="1930">
        <f>L351</f>
        <v>0</v>
      </c>
      <c r="L352" s="1931"/>
      <c r="M352" s="182"/>
    </row>
    <row r="353" spans="1:13" x14ac:dyDescent="0.25">
      <c r="A353" s="131"/>
      <c r="B353" s="131"/>
      <c r="C353" s="132"/>
      <c r="D353" s="131"/>
      <c r="E353" s="182"/>
      <c r="F353" s="182"/>
      <c r="G353" s="182"/>
      <c r="H353" s="182"/>
      <c r="I353" s="182"/>
      <c r="J353" s="182"/>
      <c r="K353" s="132"/>
      <c r="L353" s="132"/>
      <c r="M353" s="182"/>
    </row>
    <row r="354" spans="1:13" x14ac:dyDescent="0.25">
      <c r="A354" s="131"/>
      <c r="B354" s="131"/>
      <c r="C354" s="132"/>
      <c r="D354" s="131"/>
      <c r="E354" s="182"/>
      <c r="F354" s="182"/>
      <c r="G354" s="182"/>
      <c r="H354" s="182"/>
      <c r="I354" s="182"/>
      <c r="J354" s="182"/>
      <c r="K354" s="132"/>
      <c r="L354" s="132"/>
      <c r="M354" s="182"/>
    </row>
    <row r="355" spans="1:13" x14ac:dyDescent="0.25">
      <c r="A355" s="131"/>
      <c r="B355" s="131"/>
      <c r="C355" s="132"/>
      <c r="D355" s="131"/>
      <c r="E355" s="132"/>
      <c r="F355" s="132"/>
      <c r="G355" s="182"/>
      <c r="H355" s="182"/>
      <c r="I355" s="149"/>
      <c r="J355" s="149"/>
      <c r="K355" s="132"/>
      <c r="L355" s="132"/>
      <c r="M355" s="182"/>
    </row>
    <row r="356" spans="1:13" s="182" customFormat="1" x14ac:dyDescent="0.25">
      <c r="D356" s="1667"/>
      <c r="E356" s="1807"/>
      <c r="F356" s="1667"/>
      <c r="I356" s="149"/>
      <c r="J356" s="149"/>
    </row>
    <row r="357" spans="1:13" s="182" customFormat="1" x14ac:dyDescent="0.25">
      <c r="D357" s="1667"/>
      <c r="E357" s="1668"/>
      <c r="F357" s="1667"/>
      <c r="I357" s="1668"/>
      <c r="J357" s="149"/>
    </row>
    <row r="358" spans="1:13" s="182" customFormat="1" x14ac:dyDescent="0.25">
      <c r="D358" s="1667"/>
      <c r="E358" s="1668"/>
      <c r="F358" s="1667"/>
      <c r="I358" s="1668"/>
      <c r="J358" s="149"/>
    </row>
    <row r="359" spans="1:13" s="182" customFormat="1" x14ac:dyDescent="0.25">
      <c r="D359" s="1667"/>
      <c r="E359" s="1668"/>
      <c r="F359" s="1667"/>
      <c r="I359" s="1667"/>
      <c r="J359" s="149"/>
    </row>
    <row r="360" spans="1:13" s="182" customFormat="1" x14ac:dyDescent="0.25">
      <c r="D360" s="1667"/>
      <c r="E360" s="1667"/>
      <c r="F360" s="1667"/>
      <c r="I360" s="1667"/>
      <c r="J360" s="149"/>
    </row>
    <row r="361" spans="1:13" s="182" customFormat="1" x14ac:dyDescent="0.25">
      <c r="D361" s="1667"/>
      <c r="E361" s="1807"/>
      <c r="F361" s="1667"/>
      <c r="I361" s="149"/>
      <c r="J361" s="149"/>
    </row>
    <row r="362" spans="1:13" s="182" customFormat="1" x14ac:dyDescent="0.25">
      <c r="D362" s="149"/>
      <c r="E362" s="1668"/>
      <c r="F362" s="1667"/>
      <c r="I362" s="149"/>
      <c r="J362" s="149"/>
    </row>
    <row r="363" spans="1:13" s="182" customFormat="1" x14ac:dyDescent="0.25">
      <c r="D363" s="149"/>
      <c r="E363" s="1668"/>
      <c r="F363" s="1667"/>
      <c r="I363" s="149"/>
      <c r="J363" s="149"/>
    </row>
    <row r="364" spans="1:13" s="182" customFormat="1" x14ac:dyDescent="0.25">
      <c r="D364" s="149"/>
      <c r="E364" s="1668"/>
      <c r="F364" s="1667"/>
    </row>
    <row r="365" spans="1:13" s="182" customFormat="1" x14ac:dyDescent="0.25">
      <c r="D365" s="149"/>
      <c r="E365" s="149"/>
      <c r="F365" s="1667"/>
    </row>
    <row r="366" spans="1:13" s="182" customFormat="1" x14ac:dyDescent="0.25">
      <c r="D366" s="1921"/>
      <c r="E366" s="1921"/>
      <c r="F366" s="1667"/>
    </row>
    <row r="367" spans="1:13" s="182" customFormat="1" x14ac:dyDescent="0.25">
      <c r="D367" s="149"/>
      <c r="E367" s="1668"/>
      <c r="F367" s="1667"/>
    </row>
    <row r="368" spans="1:13" s="182" customFormat="1" x14ac:dyDescent="0.25">
      <c r="D368" s="149"/>
      <c r="E368" s="1668"/>
      <c r="F368" s="1667"/>
    </row>
    <row r="369" spans="4:6" s="182" customFormat="1" x14ac:dyDescent="0.25">
      <c r="D369" s="149"/>
      <c r="E369" s="1668"/>
      <c r="F369" s="1667"/>
    </row>
    <row r="370" spans="4:6" s="182" customFormat="1" x14ac:dyDescent="0.25">
      <c r="D370" s="149"/>
      <c r="E370" s="1808"/>
      <c r="F370" s="1667"/>
    </row>
    <row r="371" spans="4:6" s="182" customFormat="1" x14ac:dyDescent="0.25">
      <c r="D371" s="1921"/>
      <c r="E371" s="1921"/>
      <c r="F371" s="1667"/>
    </row>
    <row r="372" spans="4:6" s="182" customFormat="1" x14ac:dyDescent="0.25">
      <c r="D372" s="149"/>
      <c r="E372" s="1668"/>
      <c r="F372" s="1667"/>
    </row>
    <row r="373" spans="4:6" s="182" customFormat="1" x14ac:dyDescent="0.25">
      <c r="D373" s="149"/>
      <c r="E373" s="1668"/>
      <c r="F373" s="1667"/>
    </row>
    <row r="374" spans="4:6" s="182" customFormat="1" x14ac:dyDescent="0.25">
      <c r="D374" s="149"/>
      <c r="E374" s="1668"/>
      <c r="F374" s="1667"/>
    </row>
    <row r="375" spans="4:6" x14ac:dyDescent="0.25">
      <c r="D375" s="1674"/>
      <c r="E375" s="1674"/>
      <c r="F375" s="1674"/>
    </row>
  </sheetData>
  <autoFilter ref="B95:F259"/>
  <mergeCells count="42">
    <mergeCell ref="B325:C325"/>
    <mergeCell ref="B326:C326"/>
    <mergeCell ref="B312:C312"/>
    <mergeCell ref="B303:C303"/>
    <mergeCell ref="B304:C304"/>
    <mergeCell ref="B305:C305"/>
    <mergeCell ref="B306:C306"/>
    <mergeCell ref="B310:C310"/>
    <mergeCell ref="B311:C311"/>
    <mergeCell ref="B313:C313"/>
    <mergeCell ref="B317:C317"/>
    <mergeCell ref="B318:C318"/>
    <mergeCell ref="B319:C319"/>
    <mergeCell ref="B320:C320"/>
    <mergeCell ref="D323:J323"/>
    <mergeCell ref="D330:J330"/>
    <mergeCell ref="D338:J338"/>
    <mergeCell ref="K352:L352"/>
    <mergeCell ref="D352:E352"/>
    <mergeCell ref="B290:C290"/>
    <mergeCell ref="B2:F2"/>
    <mergeCell ref="B285:D285"/>
    <mergeCell ref="E285:F285"/>
    <mergeCell ref="B289:C289"/>
    <mergeCell ref="B291:C291"/>
    <mergeCell ref="B296:C296"/>
    <mergeCell ref="B297:C297"/>
    <mergeCell ref="B298:C298"/>
    <mergeCell ref="B299:C299"/>
    <mergeCell ref="B292:C292"/>
    <mergeCell ref="B327:C327"/>
    <mergeCell ref="B328:C328"/>
    <mergeCell ref="B332:C332"/>
    <mergeCell ref="B333:C333"/>
    <mergeCell ref="B334:C334"/>
    <mergeCell ref="B335:C335"/>
    <mergeCell ref="D366:E366"/>
    <mergeCell ref="D371:E371"/>
    <mergeCell ref="B342:C342"/>
    <mergeCell ref="B343:C343"/>
    <mergeCell ref="B340:C340"/>
    <mergeCell ref="B341:C341"/>
  </mergeCells>
  <dataValidations count="1">
    <dataValidation type="list" allowBlank="1" showInputMessage="1" showErrorMessage="1" sqref="I28:I60 G26:G60">
      <formula1>"Sim,Não"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9">
    <tabColor theme="9"/>
  </sheetPr>
  <dimension ref="A1:Z103"/>
  <sheetViews>
    <sheetView workbookViewId="0">
      <pane xSplit="1" ySplit="4" topLeftCell="B14" activePane="bottomRight" state="frozen"/>
      <selection activeCell="F21" sqref="F21"/>
      <selection pane="topRight" activeCell="F21" sqref="F21"/>
      <selection pane="bottomLeft" activeCell="F21" sqref="F21"/>
      <selection pane="bottomRight" activeCell="F11" sqref="F11"/>
    </sheetView>
  </sheetViews>
  <sheetFormatPr defaultColWidth="9.140625" defaultRowHeight="11.25" outlineLevelRow="1" x14ac:dyDescent="0.2"/>
  <cols>
    <col min="1" max="1" width="2.85546875" style="637" bestFit="1" customWidth="1"/>
    <col min="2" max="2" width="26.5703125" style="637" bestFit="1" customWidth="1"/>
    <col min="3" max="3" width="9.85546875" style="637" bestFit="1" customWidth="1"/>
    <col min="4" max="4" width="13.85546875" style="637" bestFit="1" customWidth="1"/>
    <col min="5" max="5" width="5.140625" style="637" bestFit="1" customWidth="1"/>
    <col min="6" max="6" width="9.42578125" style="637" bestFit="1" customWidth="1"/>
    <col min="7" max="7" width="5.140625" style="637" bestFit="1" customWidth="1"/>
    <col min="8" max="8" width="9.42578125" style="637" bestFit="1" customWidth="1"/>
    <col min="9" max="9" width="5.140625" style="637" bestFit="1" customWidth="1"/>
    <col min="10" max="10" width="9.42578125" style="637" bestFit="1" customWidth="1"/>
    <col min="11" max="11" width="5.140625" style="637" bestFit="1" customWidth="1"/>
    <col min="12" max="12" width="9.42578125" style="637" bestFit="1" customWidth="1"/>
    <col min="13" max="13" width="5.140625" style="637" bestFit="1" customWidth="1"/>
    <col min="14" max="14" width="9.42578125" style="637" customWidth="1"/>
    <col min="15" max="15" width="5.140625" style="637" bestFit="1" customWidth="1"/>
    <col min="16" max="16" width="9.42578125" style="637" bestFit="1" customWidth="1"/>
    <col min="17" max="17" width="5.140625" style="637" bestFit="1" customWidth="1"/>
    <col min="18" max="18" width="9.140625" style="637" customWidth="1"/>
    <col min="19" max="19" width="5.140625" style="637" bestFit="1" customWidth="1"/>
    <col min="20" max="20" width="9.42578125" style="637" bestFit="1" customWidth="1"/>
    <col min="21" max="21" width="5.140625" style="637" bestFit="1" customWidth="1"/>
    <col min="22" max="22" width="8.5703125" style="637" bestFit="1" customWidth="1"/>
    <col min="23" max="23" width="5.140625" style="637" bestFit="1" customWidth="1"/>
    <col min="24" max="24" width="8.5703125" style="637" bestFit="1" customWidth="1"/>
    <col min="25" max="26" width="9.140625" style="746"/>
    <col min="27" max="16384" width="9.140625" style="637"/>
  </cols>
  <sheetData>
    <row r="1" spans="1:25" ht="12" x14ac:dyDescent="0.2">
      <c r="A1" s="636"/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2"/>
      <c r="X1" s="582"/>
      <c r="Y1" s="745"/>
    </row>
    <row r="2" spans="1:25" ht="12" x14ac:dyDescent="0.2">
      <c r="A2" s="636"/>
      <c r="B2" s="638" t="s">
        <v>290</v>
      </c>
      <c r="C2" s="639"/>
      <c r="D2" s="640" t="s">
        <v>70</v>
      </c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Y2" s="745"/>
    </row>
    <row r="3" spans="1:25" ht="22.5" x14ac:dyDescent="0.2">
      <c r="A3" s="636"/>
      <c r="B3" s="642" t="s">
        <v>162</v>
      </c>
      <c r="C3" s="643" t="s">
        <v>291</v>
      </c>
      <c r="D3" s="700" t="s">
        <v>292</v>
      </c>
      <c r="E3" s="1943">
        <f>Pressupostos!C11</f>
        <v>2020</v>
      </c>
      <c r="F3" s="1939"/>
      <c r="G3" s="1938">
        <f>E3+1</f>
        <v>2021</v>
      </c>
      <c r="H3" s="1939"/>
      <c r="I3" s="1938">
        <f>G3+1</f>
        <v>2022</v>
      </c>
      <c r="J3" s="1939"/>
      <c r="K3" s="1938">
        <f>I3+1</f>
        <v>2023</v>
      </c>
      <c r="L3" s="1939"/>
      <c r="M3" s="1938">
        <f>K3+1</f>
        <v>2024</v>
      </c>
      <c r="N3" s="1939"/>
      <c r="O3" s="1938">
        <f>M3+1</f>
        <v>2025</v>
      </c>
      <c r="P3" s="1939"/>
      <c r="Q3" s="1938">
        <f>O3+1</f>
        <v>2026</v>
      </c>
      <c r="R3" s="1939"/>
      <c r="S3" s="1938">
        <f>Q3+1</f>
        <v>2027</v>
      </c>
      <c r="T3" s="1939"/>
      <c r="U3" s="1938">
        <f>S3+1</f>
        <v>2028</v>
      </c>
      <c r="V3" s="1939"/>
      <c r="W3" s="1938">
        <f>U3+1</f>
        <v>2029</v>
      </c>
      <c r="X3" s="1939"/>
      <c r="Y3" s="745"/>
    </row>
    <row r="4" spans="1:25" x14ac:dyDescent="0.2">
      <c r="A4" s="636"/>
      <c r="B4" s="644"/>
      <c r="C4" s="645"/>
      <c r="D4" s="701"/>
      <c r="E4" s="695" t="s">
        <v>293</v>
      </c>
      <c r="F4" s="505" t="s">
        <v>294</v>
      </c>
      <c r="G4" s="505" t="s">
        <v>293</v>
      </c>
      <c r="H4" s="505" t="s">
        <v>294</v>
      </c>
      <c r="I4" s="505" t="s">
        <v>293</v>
      </c>
      <c r="J4" s="505" t="s">
        <v>294</v>
      </c>
      <c r="K4" s="505" t="s">
        <v>293</v>
      </c>
      <c r="L4" s="505" t="s">
        <v>294</v>
      </c>
      <c r="M4" s="505" t="s">
        <v>293</v>
      </c>
      <c r="N4" s="505" t="s">
        <v>294</v>
      </c>
      <c r="O4" s="505" t="s">
        <v>293</v>
      </c>
      <c r="P4" s="505" t="s">
        <v>294</v>
      </c>
      <c r="Q4" s="505" t="s">
        <v>293</v>
      </c>
      <c r="R4" s="505" t="s">
        <v>294</v>
      </c>
      <c r="S4" s="505" t="s">
        <v>293</v>
      </c>
      <c r="T4" s="505" t="s">
        <v>294</v>
      </c>
      <c r="U4" s="505" t="s">
        <v>293</v>
      </c>
      <c r="V4" s="505" t="s">
        <v>294</v>
      </c>
      <c r="W4" s="505" t="s">
        <v>293</v>
      </c>
      <c r="X4" s="744" t="s">
        <v>294</v>
      </c>
      <c r="Y4" s="745"/>
    </row>
    <row r="5" spans="1:25" ht="12" x14ac:dyDescent="0.2">
      <c r="A5" s="636"/>
      <c r="B5" s="646" t="s">
        <v>142</v>
      </c>
      <c r="C5" s="743"/>
      <c r="D5" s="664"/>
      <c r="E5" s="664"/>
      <c r="F5" s="664"/>
      <c r="G5" s="664"/>
      <c r="H5" s="664"/>
      <c r="I5" s="664"/>
      <c r="J5" s="664"/>
      <c r="K5" s="664"/>
      <c r="L5" s="664"/>
      <c r="M5" s="664"/>
      <c r="N5" s="664"/>
      <c r="O5" s="664"/>
      <c r="P5" s="664"/>
      <c r="Q5" s="664"/>
      <c r="R5" s="664"/>
      <c r="S5" s="664"/>
      <c r="T5" s="664"/>
      <c r="U5" s="664"/>
      <c r="V5" s="664"/>
      <c r="W5" s="664"/>
      <c r="X5" s="664"/>
      <c r="Y5" s="745"/>
    </row>
    <row r="6" spans="1:25" ht="12" outlineLevel="1" x14ac:dyDescent="0.2">
      <c r="A6" s="636">
        <v>1</v>
      </c>
      <c r="B6" s="665" t="str">
        <f>IF(Faturas!C7=0,"",Faturas!C7)</f>
        <v/>
      </c>
      <c r="C6" s="690" t="s">
        <v>145</v>
      </c>
      <c r="D6" s="735" t="str">
        <f>IF(Faturas!E7=0,"",Faturas!E7)</f>
        <v/>
      </c>
      <c r="E6" s="736"/>
      <c r="F6" s="722" t="str">
        <f>IF(Faturas!F7=$E$3,Faturas!E7,"0")</f>
        <v>0</v>
      </c>
      <c r="G6" s="722"/>
      <c r="H6" s="722" t="str">
        <f>IF(Faturas!F7=$G$3,Faturas!E7,"0")</f>
        <v>0</v>
      </c>
      <c r="I6" s="722"/>
      <c r="J6" s="722" t="str">
        <f>IF(Faturas!F7=$I$3,Faturas!E7,"0")</f>
        <v>0</v>
      </c>
      <c r="K6" s="722"/>
      <c r="L6" s="722" t="str">
        <f>IF(Faturas!F7=$K$3,Faturas!E7,"0")</f>
        <v>0</v>
      </c>
      <c r="M6" s="678"/>
      <c r="N6" s="678"/>
      <c r="O6" s="678"/>
      <c r="P6" s="678"/>
      <c r="Q6" s="678"/>
      <c r="R6" s="678"/>
      <c r="S6" s="678"/>
      <c r="T6" s="678"/>
      <c r="U6" s="678"/>
      <c r="V6" s="678"/>
      <c r="W6" s="678"/>
      <c r="X6" s="678"/>
      <c r="Y6" s="745"/>
    </row>
    <row r="7" spans="1:25" ht="12" outlineLevel="1" x14ac:dyDescent="0.2">
      <c r="A7" s="636">
        <v>2</v>
      </c>
      <c r="B7" s="666" t="str">
        <f>IF(Faturas!C8=0,"",Faturas!C8)</f>
        <v/>
      </c>
      <c r="C7" s="691" t="s">
        <v>145</v>
      </c>
      <c r="D7" s="737" t="str">
        <f>IF(Faturas!E8=0,"",Faturas!E8)</f>
        <v/>
      </c>
      <c r="E7" s="738"/>
      <c r="F7" s="723" t="str">
        <f>IF(Faturas!F8=$E$3,Faturas!E8,"0")</f>
        <v>0</v>
      </c>
      <c r="G7" s="723"/>
      <c r="H7" s="723" t="str">
        <f>IF(Faturas!F8=$G$3,Faturas!E8,"0")</f>
        <v>0</v>
      </c>
      <c r="I7" s="723"/>
      <c r="J7" s="723" t="str">
        <f>IF(Faturas!F8=$I$3,Faturas!E8,"0")</f>
        <v>0</v>
      </c>
      <c r="K7" s="723"/>
      <c r="L7" s="723" t="str">
        <f>IF(Faturas!F8=$K$3,Faturas!E8,"0")</f>
        <v>0</v>
      </c>
      <c r="M7" s="679"/>
      <c r="N7" s="679"/>
      <c r="O7" s="679"/>
      <c r="P7" s="679"/>
      <c r="Q7" s="679"/>
      <c r="R7" s="679"/>
      <c r="S7" s="679"/>
      <c r="T7" s="679"/>
      <c r="U7" s="679"/>
      <c r="V7" s="679"/>
      <c r="W7" s="679"/>
      <c r="X7" s="679"/>
      <c r="Y7" s="745"/>
    </row>
    <row r="8" spans="1:25" ht="12" outlineLevel="1" x14ac:dyDescent="0.2">
      <c r="A8" s="636">
        <v>3</v>
      </c>
      <c r="B8" s="666" t="str">
        <f>IF(Faturas!C9=0,"",Faturas!C9)</f>
        <v/>
      </c>
      <c r="C8" s="691" t="s">
        <v>145</v>
      </c>
      <c r="D8" s="737" t="str">
        <f>IF(Faturas!E9=0,"",Faturas!E9)</f>
        <v/>
      </c>
      <c r="E8" s="738"/>
      <c r="F8" s="723" t="str">
        <f>IF(Faturas!F9=$E$3,Faturas!E9,"0")</f>
        <v>0</v>
      </c>
      <c r="G8" s="723"/>
      <c r="H8" s="723" t="str">
        <f>IF(Faturas!F9=$G$3,Faturas!E9,"0")</f>
        <v>0</v>
      </c>
      <c r="I8" s="723"/>
      <c r="J8" s="723" t="str">
        <f>IF(Faturas!F9=$I$3,Faturas!E9,"0")</f>
        <v>0</v>
      </c>
      <c r="K8" s="723"/>
      <c r="L8" s="723" t="str">
        <f>IF(Faturas!F9=$K$3,Faturas!E9,"0")</f>
        <v>0</v>
      </c>
      <c r="M8" s="679"/>
      <c r="N8" s="679"/>
      <c r="O8" s="679"/>
      <c r="P8" s="679"/>
      <c r="Q8" s="679"/>
      <c r="R8" s="679"/>
      <c r="S8" s="679"/>
      <c r="T8" s="679"/>
      <c r="U8" s="679"/>
      <c r="V8" s="679"/>
      <c r="W8" s="679"/>
      <c r="X8" s="679"/>
      <c r="Y8" s="745"/>
    </row>
    <row r="9" spans="1:25" ht="12" outlineLevel="1" x14ac:dyDescent="0.2">
      <c r="A9" s="636">
        <v>4</v>
      </c>
      <c r="B9" s="666" t="str">
        <f>IF(Faturas!C10=0,"",Faturas!C10)</f>
        <v/>
      </c>
      <c r="C9" s="691" t="s">
        <v>145</v>
      </c>
      <c r="D9" s="737" t="str">
        <f>IF(Faturas!E10=0,"",Faturas!E10)</f>
        <v/>
      </c>
      <c r="E9" s="738"/>
      <c r="F9" s="723" t="str">
        <f>IF(Faturas!F10=$E$3,Faturas!E10,"0")</f>
        <v>0</v>
      </c>
      <c r="G9" s="723"/>
      <c r="H9" s="723" t="str">
        <f>IF(Faturas!F10=$G$3,Faturas!E10,"0")</f>
        <v>0</v>
      </c>
      <c r="I9" s="723"/>
      <c r="J9" s="723" t="str">
        <f>IF(Faturas!F10=$I$3,Faturas!E10,"0")</f>
        <v>0</v>
      </c>
      <c r="K9" s="723"/>
      <c r="L9" s="723" t="str">
        <f>IF(Faturas!F10=$K$3,Faturas!E10,"0")</f>
        <v>0</v>
      </c>
      <c r="M9" s="679"/>
      <c r="N9" s="679"/>
      <c r="O9" s="679"/>
      <c r="P9" s="679"/>
      <c r="Q9" s="679"/>
      <c r="R9" s="679"/>
      <c r="S9" s="679"/>
      <c r="T9" s="679"/>
      <c r="U9" s="679"/>
      <c r="V9" s="679"/>
      <c r="W9" s="679"/>
      <c r="X9" s="679"/>
      <c r="Y9" s="745"/>
    </row>
    <row r="10" spans="1:25" ht="12" outlineLevel="1" x14ac:dyDescent="0.2">
      <c r="A10" s="636">
        <v>5</v>
      </c>
      <c r="B10" s="666" t="str">
        <f>IF(Faturas!C11=0,"",Faturas!C11)</f>
        <v/>
      </c>
      <c r="C10" s="691" t="s">
        <v>145</v>
      </c>
      <c r="D10" s="737" t="str">
        <f>IF(Faturas!E11=0,"",Faturas!E11)</f>
        <v/>
      </c>
      <c r="E10" s="738"/>
      <c r="F10" s="723" t="str">
        <f>IF(Faturas!F11=$E$3,Faturas!E11,"0")</f>
        <v>0</v>
      </c>
      <c r="G10" s="723"/>
      <c r="H10" s="723" t="str">
        <f>IF(Faturas!F11=$G$3,Faturas!E11,"0")</f>
        <v>0</v>
      </c>
      <c r="I10" s="723"/>
      <c r="J10" s="723" t="str">
        <f>IF(Faturas!F11=$I$3,Faturas!E11,"0")</f>
        <v>0</v>
      </c>
      <c r="K10" s="723"/>
      <c r="L10" s="723" t="str">
        <f>IF(Faturas!F11=$K$3,Faturas!E11,"0")</f>
        <v>0</v>
      </c>
      <c r="M10" s="679"/>
      <c r="N10" s="679"/>
      <c r="O10" s="679"/>
      <c r="P10" s="679"/>
      <c r="Q10" s="679"/>
      <c r="R10" s="679"/>
      <c r="S10" s="679"/>
      <c r="T10" s="679"/>
      <c r="U10" s="679"/>
      <c r="V10" s="679"/>
      <c r="W10" s="679"/>
      <c r="X10" s="679"/>
      <c r="Y10" s="745"/>
    </row>
    <row r="11" spans="1:25" ht="12" outlineLevel="1" x14ac:dyDescent="0.2">
      <c r="A11" s="636">
        <v>6</v>
      </c>
      <c r="B11" s="666" t="str">
        <f>IF(Faturas!C12=0,"",Faturas!C12)</f>
        <v/>
      </c>
      <c r="C11" s="691" t="s">
        <v>145</v>
      </c>
      <c r="D11" s="737" t="str">
        <f>IF(Faturas!E12=0,"",Faturas!E12)</f>
        <v/>
      </c>
      <c r="E11" s="738"/>
      <c r="F11" s="723" t="str">
        <f>IF(Faturas!F12=$E$3,Faturas!E12,"0")</f>
        <v>0</v>
      </c>
      <c r="G11" s="723"/>
      <c r="H11" s="723" t="str">
        <f>IF(Faturas!F12=$G$3,Faturas!E12,"0")</f>
        <v>0</v>
      </c>
      <c r="I11" s="723"/>
      <c r="J11" s="723" t="str">
        <f>IF(Faturas!F12=$I$3,Faturas!E12,"0")</f>
        <v>0</v>
      </c>
      <c r="K11" s="723"/>
      <c r="L11" s="723" t="str">
        <f>IF(Faturas!F12=$K$3,Faturas!E12,"0")</f>
        <v>0</v>
      </c>
      <c r="M11" s="679"/>
      <c r="N11" s="679"/>
      <c r="O11" s="679"/>
      <c r="P11" s="679"/>
      <c r="Q11" s="679"/>
      <c r="R11" s="679"/>
      <c r="S11" s="679"/>
      <c r="T11" s="679"/>
      <c r="U11" s="679"/>
      <c r="V11" s="679"/>
      <c r="W11" s="679"/>
      <c r="X11" s="679"/>
      <c r="Y11" s="745"/>
    </row>
    <row r="12" spans="1:25" ht="12" outlineLevel="1" x14ac:dyDescent="0.2">
      <c r="A12" s="636">
        <v>7</v>
      </c>
      <c r="B12" s="666" t="str">
        <f>IF(Faturas!C13=0,"",Faturas!C13)</f>
        <v/>
      </c>
      <c r="C12" s="691" t="s">
        <v>145</v>
      </c>
      <c r="D12" s="737" t="str">
        <f>IF(Faturas!E13=0,"",Faturas!E13)</f>
        <v/>
      </c>
      <c r="E12" s="738"/>
      <c r="F12" s="723" t="str">
        <f>IF(Faturas!F13=$E$3,Faturas!E13,"0")</f>
        <v>0</v>
      </c>
      <c r="G12" s="723"/>
      <c r="H12" s="723" t="str">
        <f>IF(Faturas!F13=$G$3,Faturas!E13,"0")</f>
        <v>0</v>
      </c>
      <c r="I12" s="723"/>
      <c r="J12" s="723" t="str">
        <f>IF(Faturas!F13=$I$3,Faturas!E13,"0")</f>
        <v>0</v>
      </c>
      <c r="K12" s="723"/>
      <c r="L12" s="723" t="str">
        <f>IF(Faturas!F13=$K$3,Faturas!E13,"0")</f>
        <v>0</v>
      </c>
      <c r="M12" s="679"/>
      <c r="N12" s="679"/>
      <c r="O12" s="679"/>
      <c r="P12" s="679"/>
      <c r="Q12" s="679"/>
      <c r="R12" s="679"/>
      <c r="S12" s="679"/>
      <c r="T12" s="679"/>
      <c r="U12" s="679"/>
      <c r="V12" s="679"/>
      <c r="W12" s="679"/>
      <c r="X12" s="679"/>
      <c r="Y12" s="745"/>
    </row>
    <row r="13" spans="1:25" ht="12" outlineLevel="1" x14ac:dyDescent="0.2">
      <c r="A13" s="636">
        <v>8</v>
      </c>
      <c r="B13" s="666" t="str">
        <f>IF(Faturas!C14=0,"",Faturas!C14)</f>
        <v/>
      </c>
      <c r="C13" s="691" t="s">
        <v>145</v>
      </c>
      <c r="D13" s="737" t="str">
        <f>IF(Faturas!E14=0,"",Faturas!E14)</f>
        <v/>
      </c>
      <c r="E13" s="738"/>
      <c r="F13" s="723" t="str">
        <f>IF(Faturas!F14=$E$3,Faturas!E14,"0")</f>
        <v>0</v>
      </c>
      <c r="G13" s="723"/>
      <c r="H13" s="723" t="str">
        <f>IF(Faturas!F14=$G$3,Faturas!E14,"0")</f>
        <v>0</v>
      </c>
      <c r="I13" s="723"/>
      <c r="J13" s="723" t="str">
        <f>IF(Faturas!F14=$I$3,Faturas!E14,"0")</f>
        <v>0</v>
      </c>
      <c r="K13" s="723"/>
      <c r="L13" s="723" t="str">
        <f>IF(Faturas!F14=$K$3,Faturas!E14,"0")</f>
        <v>0</v>
      </c>
      <c r="M13" s="679"/>
      <c r="N13" s="679"/>
      <c r="O13" s="679"/>
      <c r="P13" s="679"/>
      <c r="Q13" s="679"/>
      <c r="R13" s="679"/>
      <c r="S13" s="679"/>
      <c r="T13" s="679"/>
      <c r="U13" s="679"/>
      <c r="V13" s="679"/>
      <c r="W13" s="679"/>
      <c r="X13" s="679"/>
      <c r="Y13" s="745"/>
    </row>
    <row r="14" spans="1:25" ht="12" outlineLevel="1" x14ac:dyDescent="0.2">
      <c r="A14" s="636">
        <v>9</v>
      </c>
      <c r="B14" s="666" t="str">
        <f>IF(Faturas!C15=0,"",Faturas!C15)</f>
        <v/>
      </c>
      <c r="C14" s="691" t="s">
        <v>145</v>
      </c>
      <c r="D14" s="737" t="str">
        <f>IF(Faturas!E15=0,"",Faturas!E15)</f>
        <v/>
      </c>
      <c r="E14" s="738"/>
      <c r="F14" s="723" t="str">
        <f>IF(Faturas!F15=$E$3,Faturas!E15,"0")</f>
        <v>0</v>
      </c>
      <c r="G14" s="723"/>
      <c r="H14" s="723" t="str">
        <f>IF(Faturas!F15=$G$3,Faturas!E15,"0")</f>
        <v>0</v>
      </c>
      <c r="I14" s="723"/>
      <c r="J14" s="723" t="str">
        <f>IF(Faturas!F15=$I$3,Faturas!E15,"0")</f>
        <v>0</v>
      </c>
      <c r="K14" s="723"/>
      <c r="L14" s="723" t="str">
        <f>IF(Faturas!F15=$K$3,Faturas!E15,"0")</f>
        <v>0</v>
      </c>
      <c r="M14" s="679"/>
      <c r="N14" s="679"/>
      <c r="O14" s="679"/>
      <c r="P14" s="679"/>
      <c r="Q14" s="679"/>
      <c r="R14" s="679"/>
      <c r="S14" s="679"/>
      <c r="T14" s="679"/>
      <c r="U14" s="679"/>
      <c r="V14" s="679"/>
      <c r="W14" s="679"/>
      <c r="X14" s="679"/>
      <c r="Y14" s="745"/>
    </row>
    <row r="15" spans="1:25" ht="12" outlineLevel="1" x14ac:dyDescent="0.2">
      <c r="A15" s="636">
        <v>10</v>
      </c>
      <c r="B15" s="666" t="str">
        <f>IF(Faturas!C16=0,"",Faturas!C16)</f>
        <v/>
      </c>
      <c r="C15" s="691" t="s">
        <v>145</v>
      </c>
      <c r="D15" s="737" t="str">
        <f>IF(Faturas!E16=0,"",Faturas!E16)</f>
        <v/>
      </c>
      <c r="E15" s="738"/>
      <c r="F15" s="723" t="str">
        <f>IF(Faturas!F16=$E$3,Faturas!E16,"0")</f>
        <v>0</v>
      </c>
      <c r="G15" s="723"/>
      <c r="H15" s="723" t="str">
        <f>IF(Faturas!F16=$G$3,Faturas!E16,"0")</f>
        <v>0</v>
      </c>
      <c r="I15" s="723"/>
      <c r="J15" s="723" t="str">
        <f>IF(Faturas!F16=$I$3,Faturas!E16,"0")</f>
        <v>0</v>
      </c>
      <c r="K15" s="723"/>
      <c r="L15" s="723" t="str">
        <f>IF(Faturas!F16=$K$3,Faturas!E16,"0")</f>
        <v>0</v>
      </c>
      <c r="M15" s="679"/>
      <c r="N15" s="679"/>
      <c r="O15" s="679"/>
      <c r="P15" s="679"/>
      <c r="Q15" s="679"/>
      <c r="R15" s="679"/>
      <c r="S15" s="679"/>
      <c r="T15" s="679"/>
      <c r="U15" s="679"/>
      <c r="V15" s="679"/>
      <c r="W15" s="679"/>
      <c r="X15" s="679"/>
      <c r="Y15" s="745"/>
    </row>
    <row r="16" spans="1:25" ht="12" outlineLevel="1" x14ac:dyDescent="0.2">
      <c r="A16" s="636">
        <v>11</v>
      </c>
      <c r="B16" s="666" t="str">
        <f>IF(Faturas!C17=0,"",Faturas!C17)</f>
        <v/>
      </c>
      <c r="C16" s="691" t="s">
        <v>145</v>
      </c>
      <c r="D16" s="737" t="str">
        <f>IF(Faturas!E17=0,"",Faturas!E17)</f>
        <v/>
      </c>
      <c r="E16" s="738"/>
      <c r="F16" s="723" t="str">
        <f>IF(Faturas!F17=$E$3,Faturas!E17,"0")</f>
        <v>0</v>
      </c>
      <c r="G16" s="723"/>
      <c r="H16" s="723" t="str">
        <f>IF(Faturas!F17=$G$3,Faturas!E17,"0")</f>
        <v>0</v>
      </c>
      <c r="I16" s="723"/>
      <c r="J16" s="723" t="str">
        <f>IF(Faturas!F17=$I$3,Faturas!E17,"0")</f>
        <v>0</v>
      </c>
      <c r="K16" s="723"/>
      <c r="L16" s="723" t="str">
        <f>IF(Faturas!F17=$K$3,Faturas!E17,"0")</f>
        <v>0</v>
      </c>
      <c r="M16" s="679"/>
      <c r="N16" s="679"/>
      <c r="O16" s="679"/>
      <c r="P16" s="679"/>
      <c r="Q16" s="679"/>
      <c r="R16" s="679"/>
      <c r="S16" s="679"/>
      <c r="T16" s="679"/>
      <c r="U16" s="679"/>
      <c r="V16" s="679"/>
      <c r="W16" s="679"/>
      <c r="X16" s="679"/>
      <c r="Y16" s="745"/>
    </row>
    <row r="17" spans="1:26" ht="12" outlineLevel="1" x14ac:dyDescent="0.2">
      <c r="A17" s="636">
        <v>12</v>
      </c>
      <c r="B17" s="666" t="str">
        <f>IF(Faturas!C18=0,"",Faturas!C18)</f>
        <v/>
      </c>
      <c r="C17" s="691" t="s">
        <v>145</v>
      </c>
      <c r="D17" s="737" t="str">
        <f>IF(Faturas!E18=0,"",Faturas!E18)</f>
        <v/>
      </c>
      <c r="E17" s="738"/>
      <c r="F17" s="723" t="str">
        <f>IF(Faturas!F18=$E$3,Faturas!E18,"0")</f>
        <v>0</v>
      </c>
      <c r="G17" s="723"/>
      <c r="H17" s="723" t="str">
        <f>IF(Faturas!F18=$G$3,Faturas!E18,"0")</f>
        <v>0</v>
      </c>
      <c r="I17" s="723"/>
      <c r="J17" s="723" t="str">
        <f>IF(Faturas!F18=$I$3,Faturas!E18,"0")</f>
        <v>0</v>
      </c>
      <c r="K17" s="723"/>
      <c r="L17" s="723" t="str">
        <f>IF(Faturas!F18=$K$3,Faturas!E18,"0")</f>
        <v>0</v>
      </c>
      <c r="M17" s="679"/>
      <c r="N17" s="679"/>
      <c r="O17" s="679"/>
      <c r="P17" s="679"/>
      <c r="Q17" s="679"/>
      <c r="R17" s="679"/>
      <c r="S17" s="679"/>
      <c r="T17" s="679"/>
      <c r="U17" s="679"/>
      <c r="V17" s="679"/>
      <c r="W17" s="679"/>
      <c r="X17" s="679"/>
      <c r="Y17" s="745"/>
    </row>
    <row r="18" spans="1:26" ht="12" outlineLevel="1" x14ac:dyDescent="0.2">
      <c r="A18" s="636">
        <v>13</v>
      </c>
      <c r="B18" s="666" t="str">
        <f>IF(Faturas!C19=0,"",Faturas!C19)</f>
        <v/>
      </c>
      <c r="C18" s="691" t="s">
        <v>145</v>
      </c>
      <c r="D18" s="737" t="str">
        <f>IF(Faturas!E19=0,"",Faturas!E19)</f>
        <v/>
      </c>
      <c r="E18" s="738"/>
      <c r="F18" s="723" t="str">
        <f>IF(Faturas!F19=$E$3,Faturas!E19,"0")</f>
        <v>0</v>
      </c>
      <c r="G18" s="723"/>
      <c r="H18" s="723" t="str">
        <f>IF(Faturas!F19=$G$3,Faturas!E19,"0")</f>
        <v>0</v>
      </c>
      <c r="I18" s="723"/>
      <c r="J18" s="723" t="str">
        <f>IF(Faturas!F19=$I$3,Faturas!E19,"0")</f>
        <v>0</v>
      </c>
      <c r="K18" s="723"/>
      <c r="L18" s="723" t="str">
        <f>IF(Faturas!F19=$K$3,Faturas!E19,"0")</f>
        <v>0</v>
      </c>
      <c r="M18" s="679"/>
      <c r="N18" s="679"/>
      <c r="O18" s="679"/>
      <c r="P18" s="679"/>
      <c r="Q18" s="679"/>
      <c r="R18" s="679"/>
      <c r="S18" s="679"/>
      <c r="T18" s="679"/>
      <c r="U18" s="679"/>
      <c r="V18" s="679"/>
      <c r="W18" s="679"/>
      <c r="X18" s="679"/>
      <c r="Y18" s="745"/>
    </row>
    <row r="19" spans="1:26" ht="12" outlineLevel="1" x14ac:dyDescent="0.2">
      <c r="A19" s="636">
        <v>14</v>
      </c>
      <c r="B19" s="666" t="str">
        <f>IF(Faturas!C20=0,"",Faturas!C20)</f>
        <v/>
      </c>
      <c r="C19" s="691" t="s">
        <v>145</v>
      </c>
      <c r="D19" s="737" t="str">
        <f>IF(Faturas!E20=0,"",Faturas!E20)</f>
        <v/>
      </c>
      <c r="E19" s="738"/>
      <c r="F19" s="723" t="str">
        <f>IF(Faturas!F20=$E$3,Faturas!E20,"0")</f>
        <v>0</v>
      </c>
      <c r="G19" s="723"/>
      <c r="H19" s="723" t="str">
        <f>IF(Faturas!F20=$G$3,Faturas!E20,"0")</f>
        <v>0</v>
      </c>
      <c r="I19" s="723"/>
      <c r="J19" s="723" t="str">
        <f>IF(Faturas!F20=$I$3,Faturas!E20,"0")</f>
        <v>0</v>
      </c>
      <c r="K19" s="723"/>
      <c r="L19" s="723" t="str">
        <f>IF(Faturas!F20=$K$3,Faturas!E20,"0")</f>
        <v>0</v>
      </c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745"/>
    </row>
    <row r="20" spans="1:26" ht="12" outlineLevel="1" x14ac:dyDescent="0.2">
      <c r="A20" s="636">
        <v>15</v>
      </c>
      <c r="B20" s="666" t="str">
        <f>IF(Faturas!C21=0,"",Faturas!C21)</f>
        <v/>
      </c>
      <c r="C20" s="691" t="s">
        <v>145</v>
      </c>
      <c r="D20" s="737" t="str">
        <f>IF(Faturas!E21=0,"",Faturas!E21)</f>
        <v/>
      </c>
      <c r="E20" s="738"/>
      <c r="F20" s="723" t="str">
        <f>IF(Faturas!F21=$E$3,Faturas!E21,"0")</f>
        <v>0</v>
      </c>
      <c r="G20" s="723"/>
      <c r="H20" s="723" t="str">
        <f>IF(Faturas!F21=$G$3,Faturas!E21,"0")</f>
        <v>0</v>
      </c>
      <c r="I20" s="723"/>
      <c r="J20" s="723" t="str">
        <f>IF(Faturas!F21=$I$3,Faturas!E21,"0")</f>
        <v>0</v>
      </c>
      <c r="K20" s="723"/>
      <c r="L20" s="723" t="str">
        <f>IF(Faturas!F21=$K$3,Faturas!E21,"0")</f>
        <v>0</v>
      </c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745"/>
    </row>
    <row r="21" spans="1:26" ht="12" outlineLevel="1" x14ac:dyDescent="0.2">
      <c r="A21" s="636">
        <v>16</v>
      </c>
      <c r="B21" s="667" t="str">
        <f>IF(Faturas!C22=0,"",Faturas!C22)</f>
        <v/>
      </c>
      <c r="C21" s="692" t="s">
        <v>145</v>
      </c>
      <c r="D21" s="739" t="str">
        <f>IF(Faturas!E22=0,"",Faturas!E22)</f>
        <v/>
      </c>
      <c r="E21" s="740"/>
      <c r="F21" s="724" t="str">
        <f>IF(Faturas!F22=$E$3,Faturas!E22,"0")</f>
        <v>0</v>
      </c>
      <c r="G21" s="724"/>
      <c r="H21" s="724" t="str">
        <f>IF(Faturas!F22=$G$3,Faturas!E22,"0")</f>
        <v>0</v>
      </c>
      <c r="I21" s="724"/>
      <c r="J21" s="724" t="str">
        <f>IF(Faturas!F22=$I$3,Faturas!E22,"0")</f>
        <v>0</v>
      </c>
      <c r="K21" s="724"/>
      <c r="L21" s="724" t="str">
        <f>IF(Faturas!F22=$K$3,Faturas!E22,"0")</f>
        <v>0</v>
      </c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745"/>
    </row>
    <row r="22" spans="1:26" ht="12" x14ac:dyDescent="0.2">
      <c r="A22" s="636"/>
      <c r="B22" s="1940" t="s">
        <v>313</v>
      </c>
      <c r="C22" s="1941"/>
      <c r="D22" s="702">
        <f t="shared" ref="D22:X22" si="0">SUM(D6:D21)</f>
        <v>0</v>
      </c>
      <c r="E22" s="696">
        <f t="shared" si="0"/>
        <v>0</v>
      </c>
      <c r="F22" s="681">
        <f t="shared" si="0"/>
        <v>0</v>
      </c>
      <c r="G22" s="681">
        <f t="shared" si="0"/>
        <v>0</v>
      </c>
      <c r="H22" s="681">
        <f t="shared" si="0"/>
        <v>0</v>
      </c>
      <c r="I22" s="681">
        <f t="shared" si="0"/>
        <v>0</v>
      </c>
      <c r="J22" s="681">
        <f t="shared" si="0"/>
        <v>0</v>
      </c>
      <c r="K22" s="681">
        <f t="shared" si="0"/>
        <v>0</v>
      </c>
      <c r="L22" s="681">
        <f t="shared" si="0"/>
        <v>0</v>
      </c>
      <c r="M22" s="681">
        <f t="shared" si="0"/>
        <v>0</v>
      </c>
      <c r="N22" s="681">
        <f t="shared" si="0"/>
        <v>0</v>
      </c>
      <c r="O22" s="681">
        <f t="shared" si="0"/>
        <v>0</v>
      </c>
      <c r="P22" s="681">
        <f t="shared" si="0"/>
        <v>0</v>
      </c>
      <c r="Q22" s="681">
        <f t="shared" si="0"/>
        <v>0</v>
      </c>
      <c r="R22" s="681">
        <f t="shared" si="0"/>
        <v>0</v>
      </c>
      <c r="S22" s="681">
        <f t="shared" si="0"/>
        <v>0</v>
      </c>
      <c r="T22" s="681">
        <f t="shared" si="0"/>
        <v>0</v>
      </c>
      <c r="U22" s="681">
        <f t="shared" si="0"/>
        <v>0</v>
      </c>
      <c r="V22" s="681">
        <f t="shared" si="0"/>
        <v>0</v>
      </c>
      <c r="W22" s="681">
        <f t="shared" si="0"/>
        <v>0</v>
      </c>
      <c r="X22" s="681">
        <f t="shared" si="0"/>
        <v>0</v>
      </c>
      <c r="Y22" s="745"/>
    </row>
    <row r="23" spans="1:26" ht="12" x14ac:dyDescent="0.2">
      <c r="A23" s="636"/>
      <c r="B23" s="668" t="s">
        <v>143</v>
      </c>
      <c r="C23" s="669"/>
      <c r="D23" s="688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8"/>
      <c r="W23" s="688"/>
      <c r="X23" s="688"/>
      <c r="Y23" s="745"/>
    </row>
    <row r="24" spans="1:26" s="672" customFormat="1" ht="12" outlineLevel="1" x14ac:dyDescent="0.2">
      <c r="A24" s="670">
        <v>1</v>
      </c>
      <c r="B24" s="671" t="str">
        <f>IF(Faturas!C26=0,"",Faturas!C26)</f>
        <v>Ativos 2020</v>
      </c>
      <c r="C24" s="693" t="s">
        <v>295</v>
      </c>
      <c r="D24" s="725" t="str">
        <f>IF(Faturas!E26=0,"",Faturas!E26)</f>
        <v/>
      </c>
      <c r="E24" s="726"/>
      <c r="F24" s="727">
        <f>IF(Faturas!F26=$E$3,Faturas!E26,"0")</f>
        <v>0</v>
      </c>
      <c r="G24" s="727"/>
      <c r="H24" s="727" t="str">
        <f>IF(Faturas!F26=$G$3,Faturas!E26,"0")</f>
        <v>0</v>
      </c>
      <c r="I24" s="727"/>
      <c r="J24" s="727" t="str">
        <f>IF(Faturas!F26=$I$3,Faturas!E26,"0")</f>
        <v>0</v>
      </c>
      <c r="K24" s="727"/>
      <c r="L24" s="727" t="str">
        <f>IF(Faturas!F26=$K$3,Faturas!E26,"0")</f>
        <v>0</v>
      </c>
      <c r="M24" s="682"/>
      <c r="N24" s="682"/>
      <c r="O24" s="682"/>
      <c r="P24" s="682"/>
      <c r="Q24" s="682"/>
      <c r="R24" s="682"/>
      <c r="S24" s="682"/>
      <c r="T24" s="682"/>
      <c r="U24" s="682"/>
      <c r="V24" s="682"/>
      <c r="W24" s="682"/>
      <c r="X24" s="682"/>
      <c r="Y24" s="745"/>
      <c r="Z24" s="746"/>
    </row>
    <row r="25" spans="1:26" s="675" customFormat="1" ht="12" outlineLevel="1" x14ac:dyDescent="0.2">
      <c r="A25" s="673">
        <v>2</v>
      </c>
      <c r="B25" s="674" t="str">
        <f>IF(Faturas!C27=0,"",Faturas!C27)</f>
        <v>Ativos 2021</v>
      </c>
      <c r="C25" s="694" t="s">
        <v>295</v>
      </c>
      <c r="D25" s="728">
        <f>IF(Faturas!E27=0,"",Faturas!E27)</f>
        <v>40000</v>
      </c>
      <c r="E25" s="729"/>
      <c r="F25" s="730" t="str">
        <f>IF(Faturas!F27=$E$3,Faturas!E27,"0")</f>
        <v>0</v>
      </c>
      <c r="G25" s="730"/>
      <c r="H25" s="730">
        <f>IF(Faturas!F27=$G$3,Faturas!E27,"0")</f>
        <v>40000</v>
      </c>
      <c r="I25" s="731"/>
      <c r="J25" s="730" t="str">
        <f>IF(Faturas!F27=$I$3,Faturas!E27,"0")</f>
        <v>0</v>
      </c>
      <c r="K25" s="731"/>
      <c r="L25" s="730" t="str">
        <f>IF(Faturas!F27=$K$3,Faturas!E27,"0")</f>
        <v>0</v>
      </c>
      <c r="M25" s="689"/>
      <c r="N25" s="689"/>
      <c r="O25" s="689"/>
      <c r="P25" s="689"/>
      <c r="Q25" s="689"/>
      <c r="R25" s="689"/>
      <c r="S25" s="689"/>
      <c r="T25" s="689"/>
      <c r="U25" s="689"/>
      <c r="V25" s="689"/>
      <c r="W25" s="689"/>
      <c r="X25" s="689"/>
      <c r="Y25" s="745"/>
      <c r="Z25" s="746"/>
    </row>
    <row r="26" spans="1:26" s="675" customFormat="1" ht="12" outlineLevel="1" x14ac:dyDescent="0.2">
      <c r="A26" s="673">
        <v>3</v>
      </c>
      <c r="B26" s="674" t="str">
        <f>IF(Faturas!C28=0,"",Faturas!C28)</f>
        <v>Ativos 2022</v>
      </c>
      <c r="C26" s="694" t="s">
        <v>295</v>
      </c>
      <c r="D26" s="728" t="str">
        <f>IF(Faturas!E28=0,"",Faturas!E28)</f>
        <v/>
      </c>
      <c r="E26" s="729"/>
      <c r="F26" s="730" t="str">
        <f>IF(Faturas!F28=$E$3,Faturas!E28,"0")</f>
        <v>0</v>
      </c>
      <c r="G26" s="730"/>
      <c r="H26" s="730" t="str">
        <f>IF(Faturas!F28=$G$3,Faturas!E28,"0")</f>
        <v>0</v>
      </c>
      <c r="I26" s="730"/>
      <c r="J26" s="730">
        <f>IF(Faturas!F28=$I$3,Faturas!E28,"0")</f>
        <v>0</v>
      </c>
      <c r="K26" s="730"/>
      <c r="L26" s="730" t="str">
        <f>IF(Faturas!F28=$K$3,Faturas!E28,"0")</f>
        <v>0</v>
      </c>
      <c r="M26" s="683"/>
      <c r="N26" s="683"/>
      <c r="O26" s="683"/>
      <c r="P26" s="683"/>
      <c r="Q26" s="683"/>
      <c r="R26" s="683"/>
      <c r="S26" s="683"/>
      <c r="T26" s="683"/>
      <c r="U26" s="683"/>
      <c r="V26" s="683"/>
      <c r="W26" s="683"/>
      <c r="X26" s="683"/>
      <c r="Y26" s="745"/>
      <c r="Z26" s="746"/>
    </row>
    <row r="27" spans="1:26" s="675" customFormat="1" ht="12" outlineLevel="1" x14ac:dyDescent="0.2">
      <c r="A27" s="673">
        <v>4</v>
      </c>
      <c r="B27" s="674" t="str">
        <f>IF(Faturas!C29=0,"",Faturas!C29)</f>
        <v/>
      </c>
      <c r="C27" s="694" t="s">
        <v>295</v>
      </c>
      <c r="D27" s="728" t="str">
        <f>IF(Faturas!E29=0,"",Faturas!E29)</f>
        <v/>
      </c>
      <c r="E27" s="729"/>
      <c r="F27" s="730" t="str">
        <f>IF(Faturas!F29=$E$3,Faturas!E29,"0")</f>
        <v>0</v>
      </c>
      <c r="G27" s="730"/>
      <c r="H27" s="730" t="str">
        <f>IF(Faturas!F29=$G$3,Faturas!E29,"0")</f>
        <v>0</v>
      </c>
      <c r="I27" s="730"/>
      <c r="J27" s="730" t="str">
        <f>IF(Faturas!F29=$I$3,Faturas!E29,"0")</f>
        <v>0</v>
      </c>
      <c r="K27" s="730"/>
      <c r="L27" s="730" t="str">
        <f>IF(Faturas!F29=$K$3,Faturas!E29,"0")</f>
        <v>0</v>
      </c>
      <c r="M27" s="683"/>
      <c r="N27" s="683"/>
      <c r="O27" s="683"/>
      <c r="P27" s="683"/>
      <c r="Q27" s="683"/>
      <c r="R27" s="683"/>
      <c r="S27" s="683"/>
      <c r="T27" s="683"/>
      <c r="U27" s="683"/>
      <c r="V27" s="683"/>
      <c r="W27" s="683"/>
      <c r="X27" s="683"/>
      <c r="Y27" s="745"/>
      <c r="Z27" s="746"/>
    </row>
    <row r="28" spans="1:26" s="675" customFormat="1" ht="12" outlineLevel="1" x14ac:dyDescent="0.2">
      <c r="A28" s="673">
        <v>5</v>
      </c>
      <c r="B28" s="674" t="str">
        <f>IF(Faturas!C30=0,"",Faturas!C30)</f>
        <v/>
      </c>
      <c r="C28" s="694" t="s">
        <v>295</v>
      </c>
      <c r="D28" s="728" t="str">
        <f>IF(Faturas!E30=0,"",Faturas!E30)</f>
        <v/>
      </c>
      <c r="E28" s="729"/>
      <c r="F28" s="730" t="str">
        <f>IF(Faturas!F30=$E$3,Faturas!E30,"0")</f>
        <v>0</v>
      </c>
      <c r="G28" s="730"/>
      <c r="H28" s="730" t="str">
        <f>IF(Faturas!F30=$G$3,Faturas!E30,"0")</f>
        <v>0</v>
      </c>
      <c r="I28" s="730"/>
      <c r="J28" s="730" t="str">
        <f>IF(Faturas!F30=$I$3,Faturas!E30,"0")</f>
        <v>0</v>
      </c>
      <c r="K28" s="730"/>
      <c r="L28" s="730" t="str">
        <f>IF(Faturas!F30=$K$3,Faturas!E30,"0")</f>
        <v>0</v>
      </c>
      <c r="M28" s="683"/>
      <c r="N28" s="683"/>
      <c r="O28" s="683"/>
      <c r="P28" s="683"/>
      <c r="Q28" s="683"/>
      <c r="R28" s="683"/>
      <c r="S28" s="683"/>
      <c r="T28" s="683"/>
      <c r="U28" s="683"/>
      <c r="V28" s="683"/>
      <c r="W28" s="683"/>
      <c r="X28" s="683"/>
      <c r="Y28" s="745"/>
      <c r="Z28" s="746"/>
    </row>
    <row r="29" spans="1:26" s="675" customFormat="1" ht="12" outlineLevel="1" x14ac:dyDescent="0.2">
      <c r="A29" s="673">
        <v>6</v>
      </c>
      <c r="B29" s="674" t="str">
        <f>IF(Faturas!C31=0,"",Faturas!C31)</f>
        <v/>
      </c>
      <c r="C29" s="694" t="s">
        <v>295</v>
      </c>
      <c r="D29" s="728" t="str">
        <f>IF(Faturas!E31=0,"",Faturas!E31)</f>
        <v/>
      </c>
      <c r="E29" s="729"/>
      <c r="F29" s="730" t="str">
        <f>IF(Faturas!F31=$E$3,Faturas!E31,"0")</f>
        <v>0</v>
      </c>
      <c r="G29" s="730"/>
      <c r="H29" s="730" t="str">
        <f>IF(Faturas!F31=$G$3,Faturas!E31,"0")</f>
        <v>0</v>
      </c>
      <c r="I29" s="730"/>
      <c r="J29" s="730" t="str">
        <f>IF(Faturas!F31=$I$3,Faturas!E31,"0")</f>
        <v>0</v>
      </c>
      <c r="K29" s="730"/>
      <c r="L29" s="730" t="str">
        <f>IF(Faturas!F31=$K$3,Faturas!E31,"0")</f>
        <v>0</v>
      </c>
      <c r="M29" s="683"/>
      <c r="N29" s="683"/>
      <c r="O29" s="683"/>
      <c r="P29" s="683"/>
      <c r="Q29" s="683"/>
      <c r="R29" s="683"/>
      <c r="S29" s="683"/>
      <c r="T29" s="683"/>
      <c r="U29" s="683"/>
      <c r="V29" s="683"/>
      <c r="W29" s="683"/>
      <c r="X29" s="683"/>
      <c r="Y29" s="745"/>
      <c r="Z29" s="746"/>
    </row>
    <row r="30" spans="1:26" s="675" customFormat="1" ht="12" outlineLevel="1" x14ac:dyDescent="0.2">
      <c r="A30" s="673">
        <v>7</v>
      </c>
      <c r="B30" s="674" t="str">
        <f>IF(Faturas!C32=0,"",Faturas!C32)</f>
        <v/>
      </c>
      <c r="C30" s="694" t="s">
        <v>295</v>
      </c>
      <c r="D30" s="728" t="str">
        <f>IF(Faturas!E32=0,"",Faturas!E32)</f>
        <v/>
      </c>
      <c r="E30" s="729"/>
      <c r="F30" s="730" t="str">
        <f>IF(Faturas!F32=$E$3,Faturas!E32,"0")</f>
        <v>0</v>
      </c>
      <c r="G30" s="730"/>
      <c r="H30" s="730" t="str">
        <f>IF(Faturas!F32=$G$3,Faturas!E32,"0")</f>
        <v>0</v>
      </c>
      <c r="I30" s="730"/>
      <c r="J30" s="730" t="str">
        <f>IF(Faturas!F32=$I$3,Faturas!E32,"0")</f>
        <v>0</v>
      </c>
      <c r="K30" s="730"/>
      <c r="L30" s="730" t="str">
        <f>IF(Faturas!F32=$K$3,Faturas!E32,"0")</f>
        <v>0</v>
      </c>
      <c r="M30" s="683"/>
      <c r="N30" s="683"/>
      <c r="O30" s="683"/>
      <c r="P30" s="683"/>
      <c r="Q30" s="683"/>
      <c r="R30" s="683"/>
      <c r="S30" s="683"/>
      <c r="T30" s="683"/>
      <c r="U30" s="683"/>
      <c r="V30" s="683"/>
      <c r="W30" s="683"/>
      <c r="X30" s="683"/>
      <c r="Y30" s="745"/>
      <c r="Z30" s="746"/>
    </row>
    <row r="31" spans="1:26" s="675" customFormat="1" ht="12" outlineLevel="1" x14ac:dyDescent="0.2">
      <c r="A31" s="673">
        <v>8</v>
      </c>
      <c r="B31" s="674" t="str">
        <f>IF(Faturas!C33=0,"",Faturas!C33)</f>
        <v/>
      </c>
      <c r="C31" s="694" t="s">
        <v>295</v>
      </c>
      <c r="D31" s="728" t="str">
        <f>IF(Faturas!E33=0,"",Faturas!E33)</f>
        <v/>
      </c>
      <c r="E31" s="729"/>
      <c r="F31" s="730" t="str">
        <f>IF(Faturas!F33=$E$3,Faturas!E33,"0")</f>
        <v>0</v>
      </c>
      <c r="G31" s="730"/>
      <c r="H31" s="730" t="str">
        <f>IF(Faturas!F33=$G$3,Faturas!E33,"0")</f>
        <v>0</v>
      </c>
      <c r="I31" s="730"/>
      <c r="J31" s="730" t="str">
        <f>IF(Faturas!F33=$I$3,Faturas!E33,"0")</f>
        <v>0</v>
      </c>
      <c r="K31" s="730"/>
      <c r="L31" s="730" t="str">
        <f>IF(Faturas!F33=$K$3,Faturas!E33,"0")</f>
        <v>0</v>
      </c>
      <c r="M31" s="683"/>
      <c r="N31" s="683"/>
      <c r="O31" s="683"/>
      <c r="P31" s="683"/>
      <c r="Q31" s="683"/>
      <c r="R31" s="683"/>
      <c r="S31" s="683"/>
      <c r="T31" s="683"/>
      <c r="U31" s="683"/>
      <c r="V31" s="683"/>
      <c r="W31" s="683"/>
      <c r="X31" s="683"/>
      <c r="Y31" s="745"/>
      <c r="Z31" s="746"/>
    </row>
    <row r="32" spans="1:26" s="675" customFormat="1" ht="12" outlineLevel="1" x14ac:dyDescent="0.2">
      <c r="A32" s="673">
        <v>9</v>
      </c>
      <c r="B32" s="674" t="str">
        <f>IF(Faturas!C34=0,"",Faturas!C34)</f>
        <v/>
      </c>
      <c r="C32" s="694" t="s">
        <v>295</v>
      </c>
      <c r="D32" s="728" t="str">
        <f>IF(Faturas!E34=0,"",Faturas!E34)</f>
        <v/>
      </c>
      <c r="E32" s="729"/>
      <c r="F32" s="730" t="str">
        <f>IF(Faturas!F34=$E$3,Faturas!E34,"0")</f>
        <v>0</v>
      </c>
      <c r="G32" s="730"/>
      <c r="H32" s="730" t="str">
        <f>IF(Faturas!F34=$G$3,Faturas!E34,"0")</f>
        <v>0</v>
      </c>
      <c r="I32" s="730"/>
      <c r="J32" s="730" t="str">
        <f>IF(Faturas!F34=$I$3,Faturas!E34,"0")</f>
        <v>0</v>
      </c>
      <c r="K32" s="730"/>
      <c r="L32" s="730" t="str">
        <f>IF(Faturas!F34=$K$3,Faturas!E34,"0")</f>
        <v>0</v>
      </c>
      <c r="M32" s="683"/>
      <c r="N32" s="683"/>
      <c r="O32" s="683"/>
      <c r="P32" s="683"/>
      <c r="Q32" s="683"/>
      <c r="R32" s="683"/>
      <c r="S32" s="683"/>
      <c r="T32" s="683"/>
      <c r="U32" s="683"/>
      <c r="V32" s="683"/>
      <c r="W32" s="683"/>
      <c r="X32" s="683"/>
      <c r="Y32" s="745"/>
      <c r="Z32" s="746"/>
    </row>
    <row r="33" spans="1:26" s="675" customFormat="1" ht="12" outlineLevel="1" x14ac:dyDescent="0.2">
      <c r="A33" s="673">
        <v>10</v>
      </c>
      <c r="B33" s="674" t="str">
        <f>IF(Faturas!C35=0,"",Faturas!C35)</f>
        <v/>
      </c>
      <c r="C33" s="694" t="s">
        <v>295</v>
      </c>
      <c r="D33" s="728" t="str">
        <f>IF(Faturas!E35=0,"",Faturas!E35)</f>
        <v/>
      </c>
      <c r="E33" s="729"/>
      <c r="F33" s="730" t="str">
        <f>IF(Faturas!F35=$E$3,Faturas!E35,"0")</f>
        <v>0</v>
      </c>
      <c r="G33" s="730"/>
      <c r="H33" s="730" t="str">
        <f>IF(Faturas!F35=$G$3,Faturas!E35,"0")</f>
        <v>0</v>
      </c>
      <c r="I33" s="730"/>
      <c r="J33" s="730" t="str">
        <f>IF(Faturas!F35=$I$3,Faturas!E35,"0")</f>
        <v>0</v>
      </c>
      <c r="K33" s="730"/>
      <c r="L33" s="730" t="str">
        <f>IF(Faturas!F35=$K$3,Faturas!E35,"0")</f>
        <v>0</v>
      </c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Y33" s="745"/>
      <c r="Z33" s="746"/>
    </row>
    <row r="34" spans="1:26" s="675" customFormat="1" ht="12" outlineLevel="1" x14ac:dyDescent="0.2">
      <c r="A34" s="673">
        <v>11</v>
      </c>
      <c r="B34" s="674" t="str">
        <f>IF(Faturas!C36=0,"",Faturas!C36)</f>
        <v/>
      </c>
      <c r="C34" s="694" t="s">
        <v>295</v>
      </c>
      <c r="D34" s="728" t="str">
        <f>IF(Faturas!E36=0,"",Faturas!E36)</f>
        <v/>
      </c>
      <c r="E34" s="729"/>
      <c r="F34" s="730" t="str">
        <f>IF(Faturas!F36=$E$3,Faturas!E36,"0")</f>
        <v>0</v>
      </c>
      <c r="G34" s="730"/>
      <c r="H34" s="730" t="str">
        <f>IF(Faturas!F36=$G$3,Faturas!E36,"0")</f>
        <v>0</v>
      </c>
      <c r="I34" s="730"/>
      <c r="J34" s="730" t="str">
        <f>IF(Faturas!F36=$I$3,Faturas!E36,"0")</f>
        <v>0</v>
      </c>
      <c r="K34" s="730"/>
      <c r="L34" s="730" t="str">
        <f>IF(Faturas!F36=$K$3,Faturas!E36,"0")</f>
        <v>0</v>
      </c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745"/>
      <c r="Z34" s="746"/>
    </row>
    <row r="35" spans="1:26" s="675" customFormat="1" ht="12" outlineLevel="1" x14ac:dyDescent="0.2">
      <c r="A35" s="673">
        <v>12</v>
      </c>
      <c r="B35" s="674" t="str">
        <f>IF(Faturas!C37=0,"",Faturas!C37)</f>
        <v/>
      </c>
      <c r="C35" s="694" t="s">
        <v>295</v>
      </c>
      <c r="D35" s="728" t="str">
        <f>IF(Faturas!E37=0,"",Faturas!E37)</f>
        <v/>
      </c>
      <c r="E35" s="729"/>
      <c r="F35" s="730" t="str">
        <f>IF(Faturas!F37=$E$3,Faturas!E37,"0")</f>
        <v>0</v>
      </c>
      <c r="G35" s="730"/>
      <c r="H35" s="730" t="str">
        <f>IF(Faturas!F37=$G$3,Faturas!E37,"0")</f>
        <v>0</v>
      </c>
      <c r="I35" s="730"/>
      <c r="J35" s="730" t="str">
        <f>IF(Faturas!F37=$I$3,Faturas!E37,"0")</f>
        <v>0</v>
      </c>
      <c r="K35" s="730"/>
      <c r="L35" s="730" t="str">
        <f>IF(Faturas!F37=$K$3,Faturas!E37,"0")</f>
        <v>0</v>
      </c>
      <c r="M35" s="683"/>
      <c r="N35" s="683"/>
      <c r="O35" s="683"/>
      <c r="P35" s="683"/>
      <c r="Q35" s="683"/>
      <c r="R35" s="683"/>
      <c r="S35" s="683"/>
      <c r="T35" s="683"/>
      <c r="U35" s="683"/>
      <c r="V35" s="683"/>
      <c r="W35" s="683"/>
      <c r="X35" s="683"/>
      <c r="Y35" s="745"/>
      <c r="Z35" s="746"/>
    </row>
    <row r="36" spans="1:26" s="675" customFormat="1" ht="12" outlineLevel="1" x14ac:dyDescent="0.2">
      <c r="A36" s="673">
        <v>13</v>
      </c>
      <c r="B36" s="674" t="str">
        <f>IF(Faturas!C38=0,"",Faturas!C38)</f>
        <v/>
      </c>
      <c r="C36" s="694" t="s">
        <v>295</v>
      </c>
      <c r="D36" s="728" t="str">
        <f>IF(Faturas!E38=0,"",Faturas!E38)</f>
        <v/>
      </c>
      <c r="E36" s="729"/>
      <c r="F36" s="730" t="str">
        <f>IF(Faturas!F38=$E$3,Faturas!E38,"0")</f>
        <v>0</v>
      </c>
      <c r="G36" s="730"/>
      <c r="H36" s="730" t="str">
        <f>IF(Faturas!F38=$G$3,Faturas!E38,"0")</f>
        <v>0</v>
      </c>
      <c r="I36" s="730"/>
      <c r="J36" s="730" t="str">
        <f>IF(Faturas!F38=$I$3,Faturas!E38,"0")</f>
        <v>0</v>
      </c>
      <c r="K36" s="730"/>
      <c r="L36" s="730" t="str">
        <f>IF(Faturas!F38=$K$3,Faturas!E38,"0")</f>
        <v>0</v>
      </c>
      <c r="M36" s="683"/>
      <c r="N36" s="683"/>
      <c r="O36" s="683"/>
      <c r="P36" s="683"/>
      <c r="Q36" s="683"/>
      <c r="R36" s="683"/>
      <c r="S36" s="683"/>
      <c r="T36" s="683"/>
      <c r="U36" s="683"/>
      <c r="V36" s="683"/>
      <c r="W36" s="683"/>
      <c r="X36" s="683"/>
      <c r="Y36" s="745"/>
      <c r="Z36" s="746"/>
    </row>
    <row r="37" spans="1:26" s="675" customFormat="1" ht="12" outlineLevel="1" x14ac:dyDescent="0.2">
      <c r="A37" s="673">
        <v>14</v>
      </c>
      <c r="B37" s="674" t="str">
        <f>IF(Faturas!C39=0,"",Faturas!C39)</f>
        <v/>
      </c>
      <c r="C37" s="694" t="s">
        <v>295</v>
      </c>
      <c r="D37" s="728" t="str">
        <f>IF(Faturas!E39=0,"",Faturas!E39)</f>
        <v/>
      </c>
      <c r="E37" s="729"/>
      <c r="F37" s="730" t="str">
        <f>IF(Faturas!F39=$E$3,Faturas!E39,"0")</f>
        <v>0</v>
      </c>
      <c r="G37" s="730"/>
      <c r="H37" s="730" t="str">
        <f>IF(Faturas!F39=$G$3,Faturas!E39,"0")</f>
        <v>0</v>
      </c>
      <c r="I37" s="730"/>
      <c r="J37" s="730" t="str">
        <f>IF(Faturas!F39=$I$3,Faturas!E39,"0")</f>
        <v>0</v>
      </c>
      <c r="K37" s="730"/>
      <c r="L37" s="730" t="str">
        <f>IF(Faturas!F39=$K$3,Faturas!E39,"0")</f>
        <v>0</v>
      </c>
      <c r="M37" s="683"/>
      <c r="N37" s="683"/>
      <c r="O37" s="683"/>
      <c r="P37" s="683"/>
      <c r="Q37" s="683"/>
      <c r="R37" s="683"/>
      <c r="S37" s="683"/>
      <c r="T37" s="683"/>
      <c r="U37" s="683"/>
      <c r="V37" s="683"/>
      <c r="W37" s="683"/>
      <c r="X37" s="683"/>
      <c r="Y37" s="745"/>
      <c r="Z37" s="746"/>
    </row>
    <row r="38" spans="1:26" s="675" customFormat="1" ht="12" outlineLevel="1" x14ac:dyDescent="0.2">
      <c r="A38" s="673">
        <v>15</v>
      </c>
      <c r="B38" s="674" t="str">
        <f>IF(Faturas!C40=0,"",Faturas!C40)</f>
        <v/>
      </c>
      <c r="C38" s="694" t="s">
        <v>295</v>
      </c>
      <c r="D38" s="728" t="str">
        <f>IF(Faturas!E40=0,"",Faturas!E40)</f>
        <v/>
      </c>
      <c r="E38" s="729"/>
      <c r="F38" s="730" t="str">
        <f>IF(Faturas!F40=$E$3,Faturas!E40,"0")</f>
        <v>0</v>
      </c>
      <c r="G38" s="730"/>
      <c r="H38" s="730" t="str">
        <f>IF(Faturas!F40=$G$3,Faturas!E40,"0")</f>
        <v>0</v>
      </c>
      <c r="I38" s="730"/>
      <c r="J38" s="730" t="str">
        <f>IF(Faturas!F40=$I$3,Faturas!E40,"0")</f>
        <v>0</v>
      </c>
      <c r="K38" s="730"/>
      <c r="L38" s="730" t="str">
        <f>IF(Faturas!F40=$K$3,Faturas!E40,"0")</f>
        <v>0</v>
      </c>
      <c r="M38" s="683"/>
      <c r="N38" s="683"/>
      <c r="O38" s="683"/>
      <c r="P38" s="683"/>
      <c r="Q38" s="683"/>
      <c r="R38" s="683"/>
      <c r="S38" s="683"/>
      <c r="T38" s="683"/>
      <c r="U38" s="683"/>
      <c r="V38" s="683"/>
      <c r="W38" s="683"/>
      <c r="X38" s="683"/>
      <c r="Y38" s="745"/>
      <c r="Z38" s="746"/>
    </row>
    <row r="39" spans="1:26" s="675" customFormat="1" ht="12" outlineLevel="1" x14ac:dyDescent="0.2">
      <c r="A39" s="673">
        <v>16</v>
      </c>
      <c r="B39" s="674" t="str">
        <f>IF(Faturas!C41=0,"",Faturas!C41)</f>
        <v/>
      </c>
      <c r="C39" s="694" t="s">
        <v>295</v>
      </c>
      <c r="D39" s="728" t="str">
        <f>IF(Faturas!E41=0,"",Faturas!E41)</f>
        <v/>
      </c>
      <c r="E39" s="729"/>
      <c r="F39" s="730" t="str">
        <f>IF(Faturas!F41=$E$3,Faturas!E41,"0")</f>
        <v>0</v>
      </c>
      <c r="G39" s="730"/>
      <c r="H39" s="730" t="str">
        <f>IF(Faturas!F41=$G$3,Faturas!E41,"0")</f>
        <v>0</v>
      </c>
      <c r="I39" s="730"/>
      <c r="J39" s="730" t="str">
        <f>IF(Faturas!F41=$I$3,Faturas!E41,"0")</f>
        <v>0</v>
      </c>
      <c r="K39" s="730"/>
      <c r="L39" s="730" t="str">
        <f>IF(Faturas!F41=$K$3,Faturas!E41,"0")</f>
        <v>0</v>
      </c>
      <c r="M39" s="683"/>
      <c r="N39" s="683"/>
      <c r="O39" s="683"/>
      <c r="P39" s="683"/>
      <c r="Q39" s="683"/>
      <c r="R39" s="683"/>
      <c r="S39" s="683"/>
      <c r="T39" s="683"/>
      <c r="U39" s="683"/>
      <c r="V39" s="683"/>
      <c r="W39" s="683"/>
      <c r="X39" s="683"/>
      <c r="Y39" s="745"/>
      <c r="Z39" s="746"/>
    </row>
    <row r="40" spans="1:26" s="675" customFormat="1" ht="12" outlineLevel="1" x14ac:dyDescent="0.2">
      <c r="A40" s="673">
        <v>17</v>
      </c>
      <c r="B40" s="674" t="str">
        <f>IF(Faturas!C42=0,"",Faturas!C42)</f>
        <v/>
      </c>
      <c r="C40" s="694" t="s">
        <v>295</v>
      </c>
      <c r="D40" s="728" t="str">
        <f>IF(Faturas!E42=0,"",Faturas!E42)</f>
        <v/>
      </c>
      <c r="E40" s="729"/>
      <c r="F40" s="730" t="str">
        <f>IF(Faturas!F42=$E$3,Faturas!E42,"0")</f>
        <v>0</v>
      </c>
      <c r="G40" s="730"/>
      <c r="H40" s="730" t="str">
        <f>IF(Faturas!F42=$G$3,Faturas!E42,"0")</f>
        <v>0</v>
      </c>
      <c r="I40" s="730"/>
      <c r="J40" s="730" t="str">
        <f>IF(Faturas!F42=$I$3,Faturas!E42,"0")</f>
        <v>0</v>
      </c>
      <c r="K40" s="730"/>
      <c r="L40" s="730" t="str">
        <f>IF(Faturas!F42=$K$3,Faturas!E42,"0")</f>
        <v>0</v>
      </c>
      <c r="M40" s="683"/>
      <c r="N40" s="683"/>
      <c r="O40" s="683"/>
      <c r="P40" s="683"/>
      <c r="Q40" s="683"/>
      <c r="R40" s="683"/>
      <c r="S40" s="683"/>
      <c r="T40" s="683"/>
      <c r="U40" s="683"/>
      <c r="V40" s="683"/>
      <c r="W40" s="683"/>
      <c r="X40" s="683"/>
      <c r="Y40" s="745"/>
      <c r="Z40" s="746"/>
    </row>
    <row r="41" spans="1:26" s="675" customFormat="1" ht="12" outlineLevel="1" x14ac:dyDescent="0.2">
      <c r="A41" s="673">
        <v>18</v>
      </c>
      <c r="B41" s="674" t="str">
        <f>IF(Faturas!C43=0,"",Faturas!C43)</f>
        <v/>
      </c>
      <c r="C41" s="694" t="s">
        <v>295</v>
      </c>
      <c r="D41" s="728" t="str">
        <f>IF(Faturas!E43=0,"",Faturas!E43)</f>
        <v/>
      </c>
      <c r="E41" s="729"/>
      <c r="F41" s="730" t="str">
        <f>IF(Faturas!F43=$E$3,Faturas!E43,"0")</f>
        <v>0</v>
      </c>
      <c r="G41" s="730"/>
      <c r="H41" s="730" t="str">
        <f>IF(Faturas!F43=$G$3,Faturas!E43,"0")</f>
        <v>0</v>
      </c>
      <c r="I41" s="730"/>
      <c r="J41" s="730" t="str">
        <f>IF(Faturas!F43=$I$3,Faturas!E43,"0")</f>
        <v>0</v>
      </c>
      <c r="K41" s="730"/>
      <c r="L41" s="730" t="str">
        <f>IF(Faturas!F43=$K$3,Faturas!E43,"0")</f>
        <v>0</v>
      </c>
      <c r="M41" s="683"/>
      <c r="N41" s="683"/>
      <c r="O41" s="683"/>
      <c r="P41" s="683"/>
      <c r="Q41" s="683"/>
      <c r="R41" s="683"/>
      <c r="S41" s="683"/>
      <c r="T41" s="683"/>
      <c r="U41" s="683"/>
      <c r="V41" s="683"/>
      <c r="W41" s="683"/>
      <c r="X41" s="683"/>
      <c r="Y41" s="745"/>
      <c r="Z41" s="746"/>
    </row>
    <row r="42" spans="1:26" s="675" customFormat="1" ht="12" outlineLevel="1" x14ac:dyDescent="0.2">
      <c r="A42" s="673">
        <v>19</v>
      </c>
      <c r="B42" s="674" t="str">
        <f>IF(Faturas!C44=0,"",Faturas!C44)</f>
        <v/>
      </c>
      <c r="C42" s="694" t="s">
        <v>295</v>
      </c>
      <c r="D42" s="728" t="str">
        <f>IF(Faturas!E44=0,"",Faturas!E44)</f>
        <v/>
      </c>
      <c r="E42" s="729"/>
      <c r="F42" s="730" t="str">
        <f>IF(Faturas!F44=$E$3,Faturas!E44,"0")</f>
        <v>0</v>
      </c>
      <c r="G42" s="730"/>
      <c r="H42" s="730" t="str">
        <f>IF(Faturas!F44=$G$3,Faturas!E44,"0")</f>
        <v>0</v>
      </c>
      <c r="I42" s="730"/>
      <c r="J42" s="730" t="str">
        <f>IF(Faturas!F44=$I$3,Faturas!E44,"0")</f>
        <v>0</v>
      </c>
      <c r="K42" s="730"/>
      <c r="L42" s="730" t="str">
        <f>IF(Faturas!F44=$K$3,Faturas!E44,"0")</f>
        <v>0</v>
      </c>
      <c r="M42" s="683"/>
      <c r="N42" s="683"/>
      <c r="O42" s="683"/>
      <c r="P42" s="683"/>
      <c r="Q42" s="683"/>
      <c r="R42" s="683"/>
      <c r="S42" s="683"/>
      <c r="T42" s="683"/>
      <c r="U42" s="683"/>
      <c r="V42" s="683"/>
      <c r="W42" s="683"/>
      <c r="X42" s="683"/>
      <c r="Y42" s="745"/>
      <c r="Z42" s="746"/>
    </row>
    <row r="43" spans="1:26" s="675" customFormat="1" ht="12" outlineLevel="1" x14ac:dyDescent="0.2">
      <c r="A43" s="673">
        <v>20</v>
      </c>
      <c r="B43" s="674" t="str">
        <f>IF(Faturas!C45=0,"",Faturas!C45)</f>
        <v/>
      </c>
      <c r="C43" s="694" t="s">
        <v>295</v>
      </c>
      <c r="D43" s="728" t="str">
        <f>IF(Faturas!E45=0,"",Faturas!E45)</f>
        <v/>
      </c>
      <c r="E43" s="729"/>
      <c r="F43" s="730" t="str">
        <f>IF(Faturas!F45=$E$3,Faturas!E45,"0")</f>
        <v>0</v>
      </c>
      <c r="G43" s="730"/>
      <c r="H43" s="730" t="str">
        <f>IF(Faturas!F45=$G$3,Faturas!E45,"0")</f>
        <v>0</v>
      </c>
      <c r="I43" s="730"/>
      <c r="J43" s="730" t="str">
        <f>IF(Faturas!F45=$I$3,Faturas!E45,"0")</f>
        <v>0</v>
      </c>
      <c r="K43" s="730"/>
      <c r="L43" s="730" t="str">
        <f>IF(Faturas!F45=$K$3,Faturas!E45,"0")</f>
        <v>0</v>
      </c>
      <c r="M43" s="683"/>
      <c r="N43" s="683"/>
      <c r="O43" s="683"/>
      <c r="P43" s="683"/>
      <c r="Q43" s="683"/>
      <c r="R43" s="683"/>
      <c r="S43" s="683"/>
      <c r="T43" s="683"/>
      <c r="U43" s="683"/>
      <c r="V43" s="683"/>
      <c r="W43" s="683"/>
      <c r="X43" s="683"/>
      <c r="Y43" s="745"/>
      <c r="Z43" s="746"/>
    </row>
    <row r="44" spans="1:26" s="675" customFormat="1" ht="12" outlineLevel="1" x14ac:dyDescent="0.2">
      <c r="A44" s="673">
        <v>21</v>
      </c>
      <c r="B44" s="674" t="str">
        <f>IF(Faturas!C46=0,"",Faturas!C46)</f>
        <v/>
      </c>
      <c r="C44" s="694" t="s">
        <v>295</v>
      </c>
      <c r="D44" s="728" t="str">
        <f>IF(Faturas!E46=0,"",Faturas!E46)</f>
        <v/>
      </c>
      <c r="E44" s="729"/>
      <c r="F44" s="730" t="str">
        <f>IF(Faturas!F46=$E$3,Faturas!E46,"0")</f>
        <v>0</v>
      </c>
      <c r="G44" s="730"/>
      <c r="H44" s="730" t="str">
        <f>IF(Faturas!F46=$G$3,Faturas!E46,"0")</f>
        <v>0</v>
      </c>
      <c r="I44" s="730"/>
      <c r="J44" s="730" t="str">
        <f>IF(Faturas!F46=$I$3,Faturas!E46,"0")</f>
        <v>0</v>
      </c>
      <c r="K44" s="730"/>
      <c r="L44" s="730" t="str">
        <f>IF(Faturas!F46=$K$3,Faturas!E46,"0")</f>
        <v>0</v>
      </c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745"/>
      <c r="Z44" s="746"/>
    </row>
    <row r="45" spans="1:26" s="675" customFormat="1" ht="12" outlineLevel="1" x14ac:dyDescent="0.2">
      <c r="A45" s="673">
        <v>22</v>
      </c>
      <c r="B45" s="674" t="str">
        <f>IF(Faturas!C47=0,"",Faturas!C47)</f>
        <v/>
      </c>
      <c r="C45" s="694" t="s">
        <v>295</v>
      </c>
      <c r="D45" s="728" t="str">
        <f>IF(Faturas!E47=0,"",Faturas!E47)</f>
        <v/>
      </c>
      <c r="E45" s="729"/>
      <c r="F45" s="730" t="str">
        <f>IF(Faturas!F47=$E$3,Faturas!E47,"0")</f>
        <v>0</v>
      </c>
      <c r="G45" s="730"/>
      <c r="H45" s="730" t="str">
        <f>IF(Faturas!F47=$G$3,Faturas!E47,"0")</f>
        <v>0</v>
      </c>
      <c r="I45" s="730"/>
      <c r="J45" s="730" t="str">
        <f>IF(Faturas!F47=$I$3,Faturas!E47,"0")</f>
        <v>0</v>
      </c>
      <c r="K45" s="730"/>
      <c r="L45" s="730" t="str">
        <f>IF(Faturas!F47=$K$3,Faturas!E47,"0")</f>
        <v>0</v>
      </c>
      <c r="M45" s="683"/>
      <c r="N45" s="683"/>
      <c r="O45" s="683"/>
      <c r="P45" s="683"/>
      <c r="Q45" s="683"/>
      <c r="R45" s="683"/>
      <c r="S45" s="683"/>
      <c r="T45" s="683"/>
      <c r="U45" s="683"/>
      <c r="V45" s="683"/>
      <c r="W45" s="683"/>
      <c r="X45" s="683"/>
      <c r="Y45" s="745"/>
      <c r="Z45" s="746"/>
    </row>
    <row r="46" spans="1:26" s="675" customFormat="1" ht="12" outlineLevel="1" x14ac:dyDescent="0.2">
      <c r="A46" s="673">
        <v>23</v>
      </c>
      <c r="B46" s="674" t="str">
        <f>IF(Faturas!C48=0,"",Faturas!C48)</f>
        <v/>
      </c>
      <c r="C46" s="694" t="s">
        <v>295</v>
      </c>
      <c r="D46" s="728" t="str">
        <f>IF(Faturas!E48=0,"",Faturas!E48)</f>
        <v/>
      </c>
      <c r="E46" s="729"/>
      <c r="F46" s="730" t="str">
        <f>IF(Faturas!F48=$E$3,Faturas!E48,"0")</f>
        <v>0</v>
      </c>
      <c r="G46" s="730"/>
      <c r="H46" s="730" t="str">
        <f>IF(Faturas!F48=$G$3,Faturas!E48,"0")</f>
        <v>0</v>
      </c>
      <c r="I46" s="730"/>
      <c r="J46" s="730" t="str">
        <f>IF(Faturas!F48=$I$3,Faturas!E48,"0")</f>
        <v>0</v>
      </c>
      <c r="K46" s="730"/>
      <c r="L46" s="730" t="str">
        <f>IF(Faturas!F48=$K$3,Faturas!E48,"0")</f>
        <v>0</v>
      </c>
      <c r="M46" s="683"/>
      <c r="N46" s="683"/>
      <c r="O46" s="683"/>
      <c r="P46" s="683"/>
      <c r="Q46" s="683"/>
      <c r="R46" s="683"/>
      <c r="S46" s="683"/>
      <c r="T46" s="683"/>
      <c r="U46" s="683"/>
      <c r="V46" s="683"/>
      <c r="W46" s="683"/>
      <c r="X46" s="683"/>
      <c r="Y46" s="745"/>
      <c r="Z46" s="746"/>
    </row>
    <row r="47" spans="1:26" s="675" customFormat="1" ht="12" outlineLevel="1" x14ac:dyDescent="0.2">
      <c r="A47" s="673">
        <v>24</v>
      </c>
      <c r="B47" s="674" t="str">
        <f>IF(Faturas!C49=0,"",Faturas!C49)</f>
        <v/>
      </c>
      <c r="C47" s="694" t="s">
        <v>295</v>
      </c>
      <c r="D47" s="728" t="str">
        <f>IF(Faturas!E49=0,"",Faturas!E49)</f>
        <v/>
      </c>
      <c r="E47" s="729"/>
      <c r="F47" s="730" t="str">
        <f>IF(Faturas!F49=$E$3,Faturas!E49,"0")</f>
        <v>0</v>
      </c>
      <c r="G47" s="730"/>
      <c r="H47" s="730" t="str">
        <f>IF(Faturas!F49=$G$3,Faturas!E49,"0")</f>
        <v>0</v>
      </c>
      <c r="I47" s="730"/>
      <c r="J47" s="730" t="str">
        <f>IF(Faturas!F49=$I$3,Faturas!E49,"0")</f>
        <v>0</v>
      </c>
      <c r="K47" s="730"/>
      <c r="L47" s="730" t="str">
        <f>IF(Faturas!F49=$K$3,Faturas!E49,"0")</f>
        <v>0</v>
      </c>
      <c r="M47" s="683"/>
      <c r="N47" s="683"/>
      <c r="O47" s="683"/>
      <c r="P47" s="683"/>
      <c r="Q47" s="683"/>
      <c r="R47" s="683"/>
      <c r="S47" s="683"/>
      <c r="T47" s="683"/>
      <c r="U47" s="683"/>
      <c r="V47" s="683"/>
      <c r="W47" s="683"/>
      <c r="X47" s="683"/>
      <c r="Y47" s="745"/>
      <c r="Z47" s="746"/>
    </row>
    <row r="48" spans="1:26" s="675" customFormat="1" ht="12" outlineLevel="1" x14ac:dyDescent="0.2">
      <c r="A48" s="673">
        <v>25</v>
      </c>
      <c r="B48" s="674" t="str">
        <f>IF(Faturas!C50=0,"",Faturas!C50)</f>
        <v/>
      </c>
      <c r="C48" s="694" t="s">
        <v>295</v>
      </c>
      <c r="D48" s="728" t="str">
        <f>IF(Faturas!E50=0,"",Faturas!E50)</f>
        <v/>
      </c>
      <c r="E48" s="729"/>
      <c r="F48" s="730" t="str">
        <f>IF(Faturas!F50=$E$3,Faturas!E50,"0")</f>
        <v>0</v>
      </c>
      <c r="G48" s="730"/>
      <c r="H48" s="730" t="str">
        <f>IF(Faturas!F50=$G$3,Faturas!E50,"0")</f>
        <v>0</v>
      </c>
      <c r="I48" s="730"/>
      <c r="J48" s="730" t="str">
        <f>IF(Faturas!F50=$I$3,Faturas!E50,"0")</f>
        <v>0</v>
      </c>
      <c r="K48" s="730"/>
      <c r="L48" s="730" t="str">
        <f>IF(Faturas!F50=$K$3,Faturas!E50,"0")</f>
        <v>0</v>
      </c>
      <c r="M48" s="683"/>
      <c r="N48" s="683"/>
      <c r="O48" s="683"/>
      <c r="P48" s="683"/>
      <c r="Q48" s="683"/>
      <c r="R48" s="683"/>
      <c r="S48" s="683"/>
      <c r="T48" s="683"/>
      <c r="U48" s="683"/>
      <c r="V48" s="683"/>
      <c r="W48" s="683"/>
      <c r="X48" s="683"/>
      <c r="Y48" s="745"/>
      <c r="Z48" s="746"/>
    </row>
    <row r="49" spans="1:26" s="675" customFormat="1" ht="12" outlineLevel="1" x14ac:dyDescent="0.2">
      <c r="A49" s="673">
        <v>26</v>
      </c>
      <c r="B49" s="674" t="str">
        <f>IF(Faturas!C51=0,"",Faturas!C51)</f>
        <v/>
      </c>
      <c r="C49" s="694" t="s">
        <v>295</v>
      </c>
      <c r="D49" s="728" t="str">
        <f>IF(Faturas!E51=0,"",Faturas!E51)</f>
        <v/>
      </c>
      <c r="E49" s="729"/>
      <c r="F49" s="730" t="str">
        <f>IF(Faturas!F51=$E$3,Faturas!E51,"0")</f>
        <v>0</v>
      </c>
      <c r="G49" s="730"/>
      <c r="H49" s="730" t="str">
        <f>IF(Faturas!F51=$G$3,Faturas!E51,"0")</f>
        <v>0</v>
      </c>
      <c r="I49" s="730"/>
      <c r="J49" s="730" t="str">
        <f>IF(Faturas!F51=$I$3,Faturas!E51,"0")</f>
        <v>0</v>
      </c>
      <c r="K49" s="730"/>
      <c r="L49" s="730" t="str">
        <f>IF(Faturas!F51=$K$3,Faturas!E51,"0")</f>
        <v>0</v>
      </c>
      <c r="M49" s="683"/>
      <c r="N49" s="683"/>
      <c r="O49" s="683"/>
      <c r="P49" s="683"/>
      <c r="Q49" s="683"/>
      <c r="R49" s="683"/>
      <c r="S49" s="683"/>
      <c r="T49" s="683"/>
      <c r="U49" s="683"/>
      <c r="V49" s="683"/>
      <c r="W49" s="683"/>
      <c r="X49" s="683"/>
      <c r="Y49" s="745"/>
      <c r="Z49" s="746"/>
    </row>
    <row r="50" spans="1:26" s="675" customFormat="1" ht="12" outlineLevel="1" x14ac:dyDescent="0.2">
      <c r="A50" s="673">
        <v>27</v>
      </c>
      <c r="B50" s="674" t="str">
        <f>IF(Faturas!C52=0,"",Faturas!C52)</f>
        <v/>
      </c>
      <c r="C50" s="694" t="s">
        <v>295</v>
      </c>
      <c r="D50" s="728" t="str">
        <f>IF(Faturas!E52=0,"",Faturas!E52)</f>
        <v/>
      </c>
      <c r="E50" s="729"/>
      <c r="F50" s="730" t="str">
        <f>IF(Faturas!F52=$E$3,Faturas!E52,"0")</f>
        <v>0</v>
      </c>
      <c r="G50" s="730"/>
      <c r="H50" s="730" t="str">
        <f>IF(Faturas!F52=$G$3,Faturas!E52,"0")</f>
        <v>0</v>
      </c>
      <c r="I50" s="730"/>
      <c r="J50" s="730" t="str">
        <f>IF(Faturas!F52=$I$3,Faturas!E52,"0")</f>
        <v>0</v>
      </c>
      <c r="K50" s="730"/>
      <c r="L50" s="730" t="str">
        <f>IF(Faturas!F52=$K$3,Faturas!E52,"0")</f>
        <v>0</v>
      </c>
      <c r="M50" s="683"/>
      <c r="N50" s="683"/>
      <c r="O50" s="683"/>
      <c r="P50" s="683"/>
      <c r="Q50" s="683"/>
      <c r="R50" s="683"/>
      <c r="S50" s="683"/>
      <c r="T50" s="683"/>
      <c r="U50" s="683"/>
      <c r="V50" s="683"/>
      <c r="W50" s="683"/>
      <c r="X50" s="683"/>
      <c r="Y50" s="745"/>
      <c r="Z50" s="746"/>
    </row>
    <row r="51" spans="1:26" s="675" customFormat="1" ht="12" outlineLevel="1" x14ac:dyDescent="0.2">
      <c r="A51" s="673">
        <v>28</v>
      </c>
      <c r="B51" s="674" t="str">
        <f>IF(Faturas!C53=0,"",Faturas!C53)</f>
        <v/>
      </c>
      <c r="C51" s="694" t="s">
        <v>295</v>
      </c>
      <c r="D51" s="728" t="str">
        <f>IF(Faturas!E53=0,"",Faturas!E53)</f>
        <v/>
      </c>
      <c r="E51" s="729"/>
      <c r="F51" s="730" t="str">
        <f>IF(Faturas!F53=$E$3,Faturas!E53,"0")</f>
        <v>0</v>
      </c>
      <c r="G51" s="730"/>
      <c r="H51" s="730" t="str">
        <f>IF(Faturas!F53=$G$3,Faturas!E53,"0")</f>
        <v>0</v>
      </c>
      <c r="I51" s="730"/>
      <c r="J51" s="730" t="str">
        <f>IF(Faturas!F53=$I$3,Faturas!E53,"0")</f>
        <v>0</v>
      </c>
      <c r="K51" s="730"/>
      <c r="L51" s="730" t="str">
        <f>IF(Faturas!F53=$K$3,Faturas!E53,"0")</f>
        <v>0</v>
      </c>
      <c r="M51" s="683"/>
      <c r="N51" s="683"/>
      <c r="O51" s="683"/>
      <c r="P51" s="683"/>
      <c r="Q51" s="683"/>
      <c r="R51" s="683"/>
      <c r="S51" s="683"/>
      <c r="T51" s="683"/>
      <c r="U51" s="683"/>
      <c r="V51" s="683"/>
      <c r="W51" s="683"/>
      <c r="X51" s="683"/>
      <c r="Y51" s="745"/>
      <c r="Z51" s="746"/>
    </row>
    <row r="52" spans="1:26" s="675" customFormat="1" ht="12" outlineLevel="1" x14ac:dyDescent="0.2">
      <c r="A52" s="673">
        <v>29</v>
      </c>
      <c r="B52" s="674" t="str">
        <f>IF(Faturas!C54=0,"",Faturas!C54)</f>
        <v/>
      </c>
      <c r="C52" s="694" t="s">
        <v>295</v>
      </c>
      <c r="D52" s="728" t="str">
        <f>IF(Faturas!E54=0,"",Faturas!E54)</f>
        <v/>
      </c>
      <c r="E52" s="729"/>
      <c r="F52" s="730" t="str">
        <f>IF(Faturas!F54=$E$3,Faturas!E54,"0")</f>
        <v>0</v>
      </c>
      <c r="G52" s="730"/>
      <c r="H52" s="730" t="str">
        <f>IF(Faturas!F54=$G$3,Faturas!E54,"0")</f>
        <v>0</v>
      </c>
      <c r="I52" s="730"/>
      <c r="J52" s="730" t="str">
        <f>IF(Faturas!F54=$I$3,Faturas!E54,"0")</f>
        <v>0</v>
      </c>
      <c r="K52" s="730"/>
      <c r="L52" s="730" t="str">
        <f>IF(Faturas!F54=$K$3,Faturas!E54,"0")</f>
        <v>0</v>
      </c>
      <c r="M52" s="683"/>
      <c r="N52" s="683"/>
      <c r="O52" s="683"/>
      <c r="P52" s="683"/>
      <c r="Q52" s="683"/>
      <c r="R52" s="683"/>
      <c r="S52" s="683"/>
      <c r="T52" s="683"/>
      <c r="U52" s="683"/>
      <c r="V52" s="683"/>
      <c r="W52" s="683"/>
      <c r="X52" s="683"/>
      <c r="Y52" s="745"/>
      <c r="Z52" s="746"/>
    </row>
    <row r="53" spans="1:26" s="675" customFormat="1" ht="12" outlineLevel="1" x14ac:dyDescent="0.2">
      <c r="A53" s="673">
        <v>30</v>
      </c>
      <c r="B53" s="674" t="str">
        <f>IF(Faturas!C55=0,"",Faturas!C55)</f>
        <v/>
      </c>
      <c r="C53" s="694" t="s">
        <v>295</v>
      </c>
      <c r="D53" s="728" t="str">
        <f>IF(Faturas!E55=0,"",Faturas!E55)</f>
        <v/>
      </c>
      <c r="E53" s="729"/>
      <c r="F53" s="730" t="str">
        <f>IF(Faturas!F55=$E$3,Faturas!E55,"0")</f>
        <v>0</v>
      </c>
      <c r="G53" s="730"/>
      <c r="H53" s="730" t="str">
        <f>IF(Faturas!F55=$G$3,Faturas!E55,"0")</f>
        <v>0</v>
      </c>
      <c r="I53" s="730"/>
      <c r="J53" s="730" t="str">
        <f>IF(Faturas!F55=$I$3,Faturas!E55,"0")</f>
        <v>0</v>
      </c>
      <c r="K53" s="730"/>
      <c r="L53" s="730" t="str">
        <f>IF(Faturas!F55=$K$3,Faturas!E55,"0")</f>
        <v>0</v>
      </c>
      <c r="M53" s="683"/>
      <c r="N53" s="683"/>
      <c r="O53" s="683"/>
      <c r="P53" s="683"/>
      <c r="Q53" s="683"/>
      <c r="R53" s="683"/>
      <c r="S53" s="683"/>
      <c r="T53" s="683"/>
      <c r="U53" s="683"/>
      <c r="V53" s="683"/>
      <c r="W53" s="683"/>
      <c r="X53" s="683"/>
      <c r="Y53" s="745"/>
      <c r="Z53" s="746"/>
    </row>
    <row r="54" spans="1:26" s="675" customFormat="1" ht="12" outlineLevel="1" x14ac:dyDescent="0.2">
      <c r="A54" s="673">
        <v>31</v>
      </c>
      <c r="B54" s="674" t="str">
        <f>IF(Faturas!C56=0,"",Faturas!C56)</f>
        <v/>
      </c>
      <c r="C54" s="694" t="s">
        <v>295</v>
      </c>
      <c r="D54" s="728" t="str">
        <f>IF(Faturas!E56=0,"",Faturas!E56)</f>
        <v/>
      </c>
      <c r="E54" s="729"/>
      <c r="F54" s="730" t="str">
        <f>IF(Faturas!F56=$E$3,Faturas!E56,"0")</f>
        <v>0</v>
      </c>
      <c r="G54" s="730"/>
      <c r="H54" s="730" t="str">
        <f>IF(Faturas!F56=$G$3,Faturas!E56,"0")</f>
        <v>0</v>
      </c>
      <c r="I54" s="730"/>
      <c r="J54" s="730" t="str">
        <f>IF(Faturas!F56=$I$3,Faturas!E56,"0")</f>
        <v>0</v>
      </c>
      <c r="K54" s="730"/>
      <c r="L54" s="730" t="str">
        <f>IF(Faturas!F56=$K$3,Faturas!E56,"0")</f>
        <v>0</v>
      </c>
      <c r="M54" s="683"/>
      <c r="N54" s="683"/>
      <c r="O54" s="683"/>
      <c r="P54" s="683"/>
      <c r="Q54" s="683"/>
      <c r="R54" s="683"/>
      <c r="S54" s="683"/>
      <c r="T54" s="683"/>
      <c r="U54" s="683"/>
      <c r="V54" s="683"/>
      <c r="W54" s="683"/>
      <c r="X54" s="683"/>
      <c r="Y54" s="745"/>
      <c r="Z54" s="746"/>
    </row>
    <row r="55" spans="1:26" s="675" customFormat="1" ht="12" outlineLevel="1" x14ac:dyDescent="0.2">
      <c r="A55" s="673">
        <v>32</v>
      </c>
      <c r="B55" s="674" t="str">
        <f>IF(Faturas!C57=0,"",Faturas!C57)</f>
        <v/>
      </c>
      <c r="C55" s="694" t="s">
        <v>295</v>
      </c>
      <c r="D55" s="728" t="str">
        <f>IF(Faturas!E57=0,"",Faturas!E57)</f>
        <v/>
      </c>
      <c r="E55" s="729"/>
      <c r="F55" s="730" t="str">
        <f>IF(Faturas!F57=$E$3,Faturas!E57,"0")</f>
        <v>0</v>
      </c>
      <c r="G55" s="730"/>
      <c r="H55" s="730" t="str">
        <f>IF(Faturas!F57=$G$3,Faturas!E57,"0")</f>
        <v>0</v>
      </c>
      <c r="I55" s="730"/>
      <c r="J55" s="730" t="str">
        <f>IF(Faturas!F57=$I$3,Faturas!E57,"0")</f>
        <v>0</v>
      </c>
      <c r="K55" s="730"/>
      <c r="L55" s="730" t="str">
        <f>IF(Faturas!F57=$K$3,Faturas!E57,"0")</f>
        <v>0</v>
      </c>
      <c r="M55" s="683"/>
      <c r="N55" s="683"/>
      <c r="O55" s="683"/>
      <c r="P55" s="683"/>
      <c r="Q55" s="683"/>
      <c r="R55" s="683"/>
      <c r="S55" s="683"/>
      <c r="T55" s="683"/>
      <c r="U55" s="683"/>
      <c r="V55" s="683"/>
      <c r="W55" s="683"/>
      <c r="X55" s="683"/>
      <c r="Y55" s="745"/>
      <c r="Z55" s="746"/>
    </row>
    <row r="56" spans="1:26" s="675" customFormat="1" ht="12" outlineLevel="1" x14ac:dyDescent="0.2">
      <c r="A56" s="673">
        <v>33</v>
      </c>
      <c r="B56" s="674" t="str">
        <f>IF(Faturas!C58=0,"",Faturas!C58)</f>
        <v/>
      </c>
      <c r="C56" s="694" t="s">
        <v>295</v>
      </c>
      <c r="D56" s="728" t="str">
        <f>IF(Faturas!E58=0,"",Faturas!E58)</f>
        <v/>
      </c>
      <c r="E56" s="729"/>
      <c r="F56" s="730" t="str">
        <f>IF(Faturas!F58=$E$3,Faturas!E58,"0")</f>
        <v>0</v>
      </c>
      <c r="G56" s="730"/>
      <c r="H56" s="730" t="str">
        <f>IF(Faturas!F58=$G$3,Faturas!E58,"0")</f>
        <v>0</v>
      </c>
      <c r="I56" s="730"/>
      <c r="J56" s="730" t="str">
        <f>IF(Faturas!F58=$I$3,Faturas!E58,"0")</f>
        <v>0</v>
      </c>
      <c r="K56" s="730"/>
      <c r="L56" s="730" t="str">
        <f>IF(Faturas!F58=$K$3,Faturas!E58,"0")</f>
        <v>0</v>
      </c>
      <c r="M56" s="683"/>
      <c r="N56" s="683"/>
      <c r="O56" s="683"/>
      <c r="P56" s="683"/>
      <c r="Q56" s="683"/>
      <c r="R56" s="683"/>
      <c r="S56" s="683"/>
      <c r="T56" s="683"/>
      <c r="U56" s="683"/>
      <c r="V56" s="683"/>
      <c r="W56" s="683"/>
      <c r="X56" s="683"/>
      <c r="Y56" s="745"/>
      <c r="Z56" s="746"/>
    </row>
    <row r="57" spans="1:26" s="675" customFormat="1" ht="12" outlineLevel="1" x14ac:dyDescent="0.2">
      <c r="A57" s="673">
        <v>34</v>
      </c>
      <c r="B57" s="674" t="str">
        <f>IF(Faturas!C59=0,"",Faturas!C59)</f>
        <v/>
      </c>
      <c r="C57" s="694" t="s">
        <v>295</v>
      </c>
      <c r="D57" s="728" t="str">
        <f>IF(Faturas!E59=0,"",Faturas!E59)</f>
        <v/>
      </c>
      <c r="E57" s="729"/>
      <c r="F57" s="730" t="str">
        <f>IF(Faturas!F59=$E$3,Faturas!E59,"0")</f>
        <v>0</v>
      </c>
      <c r="G57" s="730"/>
      <c r="H57" s="730" t="str">
        <f>IF(Faturas!F59=$G$3,Faturas!E59,"0")</f>
        <v>0</v>
      </c>
      <c r="I57" s="730"/>
      <c r="J57" s="730" t="str">
        <f>IF(Faturas!F59=$I$3,Faturas!E59,"0")</f>
        <v>0</v>
      </c>
      <c r="K57" s="730"/>
      <c r="L57" s="730" t="str">
        <f>IF(Faturas!F59=$K$3,Faturas!E59,"0")</f>
        <v>0</v>
      </c>
      <c r="M57" s="683"/>
      <c r="N57" s="683"/>
      <c r="O57" s="683"/>
      <c r="P57" s="683"/>
      <c r="Q57" s="683"/>
      <c r="R57" s="683"/>
      <c r="S57" s="683"/>
      <c r="T57" s="683"/>
      <c r="U57" s="683"/>
      <c r="V57" s="683"/>
      <c r="W57" s="683"/>
      <c r="X57" s="683"/>
      <c r="Y57" s="745"/>
      <c r="Z57" s="746"/>
    </row>
    <row r="58" spans="1:26" s="677" customFormat="1" ht="12" outlineLevel="1" x14ac:dyDescent="0.2">
      <c r="A58" s="676">
        <v>35</v>
      </c>
      <c r="B58" s="750" t="str">
        <f>IF(Faturas!C60=0,"",Faturas!C60)</f>
        <v/>
      </c>
      <c r="C58" s="751" t="s">
        <v>295</v>
      </c>
      <c r="D58" s="732" t="str">
        <f>IF(Faturas!E60=0,"",Faturas!E60)</f>
        <v/>
      </c>
      <c r="E58" s="733"/>
      <c r="F58" s="734" t="str">
        <f>IF(Faturas!F60=$E$3,Faturas!E60,"0")</f>
        <v>0</v>
      </c>
      <c r="G58" s="734"/>
      <c r="H58" s="734" t="str">
        <f>IF(Faturas!F60=$G$3,Faturas!E60,"0")</f>
        <v>0</v>
      </c>
      <c r="I58" s="734"/>
      <c r="J58" s="734" t="str">
        <f>IF(Faturas!F60=$I$3,Faturas!E60,"0")</f>
        <v>0</v>
      </c>
      <c r="K58" s="734"/>
      <c r="L58" s="734" t="str">
        <f>IF(Faturas!F60=$K$3,Faturas!E60,"0")</f>
        <v>0</v>
      </c>
      <c r="M58" s="684"/>
      <c r="N58" s="684"/>
      <c r="O58" s="684"/>
      <c r="P58" s="684"/>
      <c r="Q58" s="684"/>
      <c r="R58" s="684"/>
      <c r="S58" s="684"/>
      <c r="T58" s="684"/>
      <c r="U58" s="684"/>
      <c r="V58" s="684"/>
      <c r="W58" s="684"/>
      <c r="X58" s="684"/>
      <c r="Y58" s="745"/>
      <c r="Z58" s="746"/>
    </row>
    <row r="59" spans="1:26" ht="12" x14ac:dyDescent="0.2">
      <c r="A59" s="636"/>
      <c r="B59" s="1940" t="s">
        <v>296</v>
      </c>
      <c r="C59" s="1942"/>
      <c r="D59" s="703">
        <f t="shared" ref="D59:X59" si="1">SUM(D24:D58)</f>
        <v>40000</v>
      </c>
      <c r="E59" s="697">
        <f t="shared" si="1"/>
        <v>0</v>
      </c>
      <c r="F59" s="685">
        <f t="shared" si="1"/>
        <v>0</v>
      </c>
      <c r="G59" s="685">
        <f t="shared" si="1"/>
        <v>0</v>
      </c>
      <c r="H59" s="685">
        <f t="shared" si="1"/>
        <v>40000</v>
      </c>
      <c r="I59" s="685">
        <f t="shared" si="1"/>
        <v>0</v>
      </c>
      <c r="J59" s="685">
        <f t="shared" si="1"/>
        <v>0</v>
      </c>
      <c r="K59" s="685">
        <f t="shared" si="1"/>
        <v>0</v>
      </c>
      <c r="L59" s="685">
        <f t="shared" si="1"/>
        <v>0</v>
      </c>
      <c r="M59" s="685">
        <f t="shared" si="1"/>
        <v>0</v>
      </c>
      <c r="N59" s="685">
        <f t="shared" si="1"/>
        <v>0</v>
      </c>
      <c r="O59" s="685">
        <f t="shared" si="1"/>
        <v>0</v>
      </c>
      <c r="P59" s="685">
        <f t="shared" si="1"/>
        <v>0</v>
      </c>
      <c r="Q59" s="685">
        <f t="shared" si="1"/>
        <v>0</v>
      </c>
      <c r="R59" s="685">
        <f t="shared" si="1"/>
        <v>0</v>
      </c>
      <c r="S59" s="685">
        <f t="shared" si="1"/>
        <v>0</v>
      </c>
      <c r="T59" s="685">
        <f t="shared" si="1"/>
        <v>0</v>
      </c>
      <c r="U59" s="685">
        <f t="shared" si="1"/>
        <v>0</v>
      </c>
      <c r="V59" s="685">
        <f t="shared" si="1"/>
        <v>0</v>
      </c>
      <c r="W59" s="685">
        <f t="shared" si="1"/>
        <v>0</v>
      </c>
      <c r="X59" s="747">
        <f t="shared" si="1"/>
        <v>0</v>
      </c>
      <c r="Y59" s="745"/>
    </row>
    <row r="60" spans="1:26" ht="12" x14ac:dyDescent="0.2">
      <c r="A60" s="636"/>
      <c r="B60" s="668" t="s">
        <v>146</v>
      </c>
      <c r="C60" s="741"/>
      <c r="D60" s="742"/>
      <c r="E60" s="742"/>
      <c r="F60" s="742"/>
      <c r="G60" s="742"/>
      <c r="H60" s="742"/>
      <c r="I60" s="742"/>
      <c r="J60" s="742"/>
      <c r="K60" s="742"/>
      <c r="L60" s="742"/>
      <c r="M60" s="742"/>
      <c r="N60" s="742"/>
      <c r="O60" s="742"/>
      <c r="P60" s="742"/>
      <c r="Q60" s="742"/>
      <c r="R60" s="742"/>
      <c r="S60" s="742"/>
      <c r="T60" s="742"/>
      <c r="U60" s="742"/>
      <c r="V60" s="742"/>
      <c r="W60" s="742"/>
      <c r="X60" s="742"/>
      <c r="Y60" s="745"/>
    </row>
    <row r="61" spans="1:26" s="672" customFormat="1" ht="12" outlineLevel="1" x14ac:dyDescent="0.2">
      <c r="A61" s="670">
        <v>1</v>
      </c>
      <c r="B61" s="671" t="str">
        <f>IF(Faturas!C64=0,"",Faturas!C64)</f>
        <v/>
      </c>
      <c r="C61" s="693" t="s">
        <v>295</v>
      </c>
      <c r="D61" s="725" t="str">
        <f>IF(Faturas!E64=0,"",Faturas!E64)</f>
        <v/>
      </c>
      <c r="E61" s="726"/>
      <c r="F61" s="727" t="str">
        <f>IF(Faturas!F64=$E$3,Faturas!E64,"0")</f>
        <v>0</v>
      </c>
      <c r="G61" s="727"/>
      <c r="H61" s="727" t="str">
        <f>IF(Faturas!F64=$G$3,Faturas!E64,"0")</f>
        <v>0</v>
      </c>
      <c r="I61" s="727"/>
      <c r="J61" s="727" t="str">
        <f>IF(Faturas!F64=$I$3,Faturas!E64,"0")</f>
        <v>0</v>
      </c>
      <c r="K61" s="727"/>
      <c r="L61" s="727" t="str">
        <f>IF(Faturas!F64=$K$3,Faturas!E64,"0")</f>
        <v>0</v>
      </c>
      <c r="M61" s="682"/>
      <c r="N61" s="682"/>
      <c r="O61" s="682"/>
      <c r="P61" s="682"/>
      <c r="Q61" s="682"/>
      <c r="R61" s="682"/>
      <c r="S61" s="682"/>
      <c r="T61" s="682"/>
      <c r="U61" s="682"/>
      <c r="V61" s="682"/>
      <c r="W61" s="682"/>
      <c r="X61" s="682"/>
      <c r="Y61" s="745"/>
      <c r="Z61" s="746"/>
    </row>
    <row r="62" spans="1:26" s="675" customFormat="1" ht="12" outlineLevel="1" x14ac:dyDescent="0.2">
      <c r="A62" s="673">
        <v>2</v>
      </c>
      <c r="B62" s="674" t="str">
        <f>IF(Faturas!C65=0,"",Faturas!C65)</f>
        <v/>
      </c>
      <c r="C62" s="694" t="s">
        <v>295</v>
      </c>
      <c r="D62" s="728" t="str">
        <f>IF(Faturas!E65=0,"",Faturas!E65)</f>
        <v/>
      </c>
      <c r="E62" s="729"/>
      <c r="F62" s="730" t="str">
        <f>IF(Faturas!F65=$E$3,Faturas!E65,"0")</f>
        <v>0</v>
      </c>
      <c r="G62" s="730"/>
      <c r="H62" s="730" t="str">
        <f>IF(Faturas!F65=$G$3,Faturas!E65,"0")</f>
        <v>0</v>
      </c>
      <c r="I62" s="730"/>
      <c r="J62" s="730" t="str">
        <f>IF(Faturas!F65=$I$3,Faturas!E65,"0")</f>
        <v>0</v>
      </c>
      <c r="K62" s="730"/>
      <c r="L62" s="730" t="str">
        <f>IF(Faturas!F65=$K$3,Faturas!E65,"0")</f>
        <v>0</v>
      </c>
      <c r="M62" s="683"/>
      <c r="N62" s="683"/>
      <c r="O62" s="683"/>
      <c r="P62" s="683"/>
      <c r="Q62" s="683"/>
      <c r="R62" s="683"/>
      <c r="S62" s="683"/>
      <c r="T62" s="683"/>
      <c r="U62" s="683"/>
      <c r="V62" s="683"/>
      <c r="W62" s="683"/>
      <c r="X62" s="683"/>
      <c r="Y62" s="745"/>
      <c r="Z62" s="746"/>
    </row>
    <row r="63" spans="1:26" s="675" customFormat="1" ht="12" outlineLevel="1" x14ac:dyDescent="0.2">
      <c r="A63" s="673">
        <v>3</v>
      </c>
      <c r="B63" s="674" t="str">
        <f>IF(Faturas!C66=0,"",Faturas!C66)</f>
        <v/>
      </c>
      <c r="C63" s="694" t="s">
        <v>295</v>
      </c>
      <c r="D63" s="728" t="str">
        <f>IF(Faturas!E66=0,"",Faturas!E66)</f>
        <v/>
      </c>
      <c r="E63" s="729"/>
      <c r="F63" s="730" t="str">
        <f>IF(Faturas!F66=$E$3,Faturas!E66,"0")</f>
        <v>0</v>
      </c>
      <c r="G63" s="730"/>
      <c r="H63" s="730" t="str">
        <f>IF(Faturas!F66=$G$3,Faturas!E66,"0")</f>
        <v>0</v>
      </c>
      <c r="I63" s="730"/>
      <c r="J63" s="730" t="str">
        <f>IF(Faturas!F66=$I$3,Faturas!E66,"0")</f>
        <v>0</v>
      </c>
      <c r="K63" s="730"/>
      <c r="L63" s="730" t="str">
        <f>IF(Faturas!F66=$K$3,Faturas!E66,"0")</f>
        <v>0</v>
      </c>
      <c r="M63" s="683"/>
      <c r="N63" s="683"/>
      <c r="O63" s="683"/>
      <c r="P63" s="683"/>
      <c r="Q63" s="683"/>
      <c r="R63" s="683"/>
      <c r="S63" s="683"/>
      <c r="T63" s="683"/>
      <c r="U63" s="683"/>
      <c r="V63" s="683"/>
      <c r="W63" s="683"/>
      <c r="X63" s="683"/>
      <c r="Y63" s="745"/>
      <c r="Z63" s="746"/>
    </row>
    <row r="64" spans="1:26" s="675" customFormat="1" ht="12" outlineLevel="1" x14ac:dyDescent="0.2">
      <c r="A64" s="673">
        <v>4</v>
      </c>
      <c r="B64" s="674" t="str">
        <f>IF(Faturas!C67=0,"",Faturas!C67)</f>
        <v/>
      </c>
      <c r="C64" s="694" t="s">
        <v>295</v>
      </c>
      <c r="D64" s="728" t="str">
        <f>IF(Faturas!E67=0,"",Faturas!E67)</f>
        <v/>
      </c>
      <c r="E64" s="729"/>
      <c r="F64" s="730" t="str">
        <f>IF(Faturas!F67=$E$3,Faturas!E67,"0")</f>
        <v>0</v>
      </c>
      <c r="G64" s="730"/>
      <c r="H64" s="730" t="str">
        <f>IF(Faturas!F67=$G$3,Faturas!E67,"0")</f>
        <v>0</v>
      </c>
      <c r="I64" s="730"/>
      <c r="J64" s="730" t="str">
        <f>IF(Faturas!F67=$I$3,Faturas!E67,"0")</f>
        <v>0</v>
      </c>
      <c r="K64" s="730"/>
      <c r="L64" s="730" t="str">
        <f>IF(Faturas!F67=$K$3,Faturas!E67,"0")</f>
        <v>0</v>
      </c>
      <c r="M64" s="683"/>
      <c r="N64" s="683"/>
      <c r="O64" s="683"/>
      <c r="P64" s="683"/>
      <c r="Q64" s="683"/>
      <c r="R64" s="683"/>
      <c r="S64" s="683"/>
      <c r="T64" s="683"/>
      <c r="U64" s="683"/>
      <c r="V64" s="683"/>
      <c r="W64" s="683"/>
      <c r="X64" s="683"/>
      <c r="Y64" s="745"/>
      <c r="Z64" s="746"/>
    </row>
    <row r="65" spans="1:26" s="675" customFormat="1" ht="12" outlineLevel="1" x14ac:dyDescent="0.2">
      <c r="A65" s="673">
        <v>5</v>
      </c>
      <c r="B65" s="674" t="str">
        <f>IF(Faturas!C68=0,"",Faturas!C68)</f>
        <v/>
      </c>
      <c r="C65" s="694" t="s">
        <v>295</v>
      </c>
      <c r="D65" s="728" t="str">
        <f>IF(Faturas!E68=0,"",Faturas!E68)</f>
        <v/>
      </c>
      <c r="E65" s="729"/>
      <c r="F65" s="730" t="str">
        <f>IF(Faturas!F68=$E$3,Faturas!E68,"0")</f>
        <v>0</v>
      </c>
      <c r="G65" s="730"/>
      <c r="H65" s="730" t="str">
        <f>IF(Faturas!F68=$G$3,Faturas!E68,"0")</f>
        <v>0</v>
      </c>
      <c r="I65" s="730"/>
      <c r="J65" s="730" t="str">
        <f>IF(Faturas!F68=$I$3,Faturas!E68,"0")</f>
        <v>0</v>
      </c>
      <c r="K65" s="730"/>
      <c r="L65" s="730" t="str">
        <f>IF(Faturas!F68=$K$3,Faturas!E68,"0")</f>
        <v>0</v>
      </c>
      <c r="M65" s="683"/>
      <c r="N65" s="683"/>
      <c r="O65" s="683"/>
      <c r="P65" s="683"/>
      <c r="Q65" s="683"/>
      <c r="R65" s="683"/>
      <c r="S65" s="683"/>
      <c r="T65" s="683"/>
      <c r="U65" s="683"/>
      <c r="V65" s="683"/>
      <c r="W65" s="683"/>
      <c r="X65" s="683"/>
      <c r="Y65" s="745"/>
      <c r="Z65" s="746"/>
    </row>
    <row r="66" spans="1:26" s="675" customFormat="1" ht="12" outlineLevel="1" x14ac:dyDescent="0.2">
      <c r="A66" s="673">
        <v>6</v>
      </c>
      <c r="B66" s="674" t="str">
        <f>IF(Faturas!C69=0,"",Faturas!C69)</f>
        <v/>
      </c>
      <c r="C66" s="694" t="s">
        <v>295</v>
      </c>
      <c r="D66" s="728" t="str">
        <f>IF(Faturas!E69=0,"",Faturas!E69)</f>
        <v/>
      </c>
      <c r="E66" s="729"/>
      <c r="F66" s="730" t="str">
        <f>IF(Faturas!F69=$E$3,Faturas!E69,"0")</f>
        <v>0</v>
      </c>
      <c r="G66" s="730"/>
      <c r="H66" s="730" t="str">
        <f>IF(Faturas!F69=$G$3,Faturas!E69,"0")</f>
        <v>0</v>
      </c>
      <c r="I66" s="730"/>
      <c r="J66" s="730" t="str">
        <f>IF(Faturas!F69=$I$3,Faturas!E69,"0")</f>
        <v>0</v>
      </c>
      <c r="K66" s="730"/>
      <c r="L66" s="730" t="str">
        <f>IF(Faturas!F69=$K$3,Faturas!E69,"0")</f>
        <v>0</v>
      </c>
      <c r="M66" s="683"/>
      <c r="N66" s="683"/>
      <c r="O66" s="683"/>
      <c r="P66" s="683"/>
      <c r="Q66" s="683"/>
      <c r="R66" s="683"/>
      <c r="S66" s="683"/>
      <c r="T66" s="683"/>
      <c r="U66" s="683"/>
      <c r="V66" s="683"/>
      <c r="W66" s="683"/>
      <c r="X66" s="683"/>
      <c r="Y66" s="745"/>
      <c r="Z66" s="746"/>
    </row>
    <row r="67" spans="1:26" s="675" customFormat="1" ht="12" outlineLevel="1" x14ac:dyDescent="0.2">
      <c r="A67" s="673">
        <v>7</v>
      </c>
      <c r="B67" s="674" t="str">
        <f>IF(Faturas!C70=0,"",Faturas!C70)</f>
        <v/>
      </c>
      <c r="C67" s="694" t="s">
        <v>295</v>
      </c>
      <c r="D67" s="728" t="str">
        <f>IF(Faturas!E70=0,"",Faturas!E70)</f>
        <v/>
      </c>
      <c r="E67" s="729"/>
      <c r="F67" s="730" t="str">
        <f>IF(Faturas!F70=$E$3,Faturas!E70,"0")</f>
        <v>0</v>
      </c>
      <c r="G67" s="730"/>
      <c r="H67" s="730" t="str">
        <f>IF(Faturas!F70=$G$3,Faturas!E70,"0")</f>
        <v>0</v>
      </c>
      <c r="I67" s="730"/>
      <c r="J67" s="730" t="str">
        <f>IF(Faturas!F70=$I$3,Faturas!E70,"0")</f>
        <v>0</v>
      </c>
      <c r="K67" s="730"/>
      <c r="L67" s="730" t="str">
        <f>IF(Faturas!F70=$K$3,Faturas!E70,"0")</f>
        <v>0</v>
      </c>
      <c r="M67" s="683"/>
      <c r="N67" s="683"/>
      <c r="O67" s="683"/>
      <c r="P67" s="683"/>
      <c r="Q67" s="683"/>
      <c r="R67" s="683"/>
      <c r="S67" s="683"/>
      <c r="T67" s="683"/>
      <c r="U67" s="683"/>
      <c r="V67" s="683"/>
      <c r="W67" s="683"/>
      <c r="X67" s="683"/>
      <c r="Y67" s="745"/>
      <c r="Z67" s="746"/>
    </row>
    <row r="68" spans="1:26" s="675" customFormat="1" ht="12" outlineLevel="1" x14ac:dyDescent="0.2">
      <c r="A68" s="673">
        <v>8</v>
      </c>
      <c r="B68" s="674" t="str">
        <f>IF(Faturas!C71=0,"",Faturas!C71)</f>
        <v/>
      </c>
      <c r="C68" s="694" t="s">
        <v>295</v>
      </c>
      <c r="D68" s="728" t="str">
        <f>IF(Faturas!E71=0,"",Faturas!E71)</f>
        <v/>
      </c>
      <c r="E68" s="729"/>
      <c r="F68" s="730" t="str">
        <f>IF(Faturas!F71=$E$3,Faturas!E71,"0")</f>
        <v>0</v>
      </c>
      <c r="G68" s="730"/>
      <c r="H68" s="730" t="str">
        <f>IF(Faturas!F71=$G$3,Faturas!E71,"0")</f>
        <v>0</v>
      </c>
      <c r="I68" s="730"/>
      <c r="J68" s="730" t="str">
        <f>IF(Faturas!F71=$I$3,Faturas!E71,"0")</f>
        <v>0</v>
      </c>
      <c r="K68" s="730"/>
      <c r="L68" s="730" t="str">
        <f>IF(Faturas!F71=$K$3,Faturas!E71,"0")</f>
        <v>0</v>
      </c>
      <c r="M68" s="683"/>
      <c r="N68" s="683"/>
      <c r="O68" s="683"/>
      <c r="P68" s="683"/>
      <c r="Q68" s="683"/>
      <c r="R68" s="683"/>
      <c r="S68" s="683"/>
      <c r="T68" s="683"/>
      <c r="U68" s="683"/>
      <c r="V68" s="683"/>
      <c r="W68" s="683"/>
      <c r="X68" s="683"/>
      <c r="Y68" s="745"/>
      <c r="Z68" s="746"/>
    </row>
    <row r="69" spans="1:26" s="675" customFormat="1" ht="12" outlineLevel="1" x14ac:dyDescent="0.2">
      <c r="A69" s="673">
        <v>9</v>
      </c>
      <c r="B69" s="674" t="str">
        <f>IF(Faturas!C72=0,"",Faturas!C72)</f>
        <v/>
      </c>
      <c r="C69" s="694" t="s">
        <v>295</v>
      </c>
      <c r="D69" s="728" t="str">
        <f>IF(Faturas!E72=0,"",Faturas!E72)</f>
        <v/>
      </c>
      <c r="E69" s="729"/>
      <c r="F69" s="730" t="str">
        <f>IF(Faturas!F72=$E$3,Faturas!E72,"0")</f>
        <v>0</v>
      </c>
      <c r="G69" s="730"/>
      <c r="H69" s="730" t="str">
        <f>IF(Faturas!F72=$G$3,Faturas!E72,"0")</f>
        <v>0</v>
      </c>
      <c r="I69" s="730"/>
      <c r="J69" s="730" t="str">
        <f>IF(Faturas!F72=$I$3,Faturas!E72,"0")</f>
        <v>0</v>
      </c>
      <c r="K69" s="730"/>
      <c r="L69" s="730" t="str">
        <f>IF(Faturas!F72=$K$3,Faturas!E72,"0")</f>
        <v>0</v>
      </c>
      <c r="M69" s="683"/>
      <c r="N69" s="683"/>
      <c r="O69" s="683"/>
      <c r="P69" s="683"/>
      <c r="Q69" s="683"/>
      <c r="R69" s="683"/>
      <c r="S69" s="683"/>
      <c r="T69" s="683"/>
      <c r="U69" s="683"/>
      <c r="V69" s="683"/>
      <c r="W69" s="683"/>
      <c r="X69" s="683"/>
      <c r="Y69" s="745"/>
      <c r="Z69" s="746"/>
    </row>
    <row r="70" spans="1:26" s="675" customFormat="1" ht="12" outlineLevel="1" x14ac:dyDescent="0.2">
      <c r="A70" s="673">
        <v>10</v>
      </c>
      <c r="B70" s="674" t="str">
        <f>IF(Faturas!C73=0,"",Faturas!C73)</f>
        <v/>
      </c>
      <c r="C70" s="694" t="s">
        <v>295</v>
      </c>
      <c r="D70" s="728" t="str">
        <f>IF(Faturas!E73=0,"",Faturas!E73)</f>
        <v/>
      </c>
      <c r="E70" s="729"/>
      <c r="F70" s="730" t="str">
        <f>IF(Faturas!F73=$E$3,Faturas!E73,"0")</f>
        <v>0</v>
      </c>
      <c r="G70" s="730"/>
      <c r="H70" s="730" t="str">
        <f>IF(Faturas!F73=$G$3,Faturas!E73,"0")</f>
        <v>0</v>
      </c>
      <c r="I70" s="730"/>
      <c r="J70" s="730" t="str">
        <f>IF(Faturas!F73=$I$3,Faturas!E73,"0")</f>
        <v>0</v>
      </c>
      <c r="K70" s="730"/>
      <c r="L70" s="730" t="str">
        <f>IF(Faturas!F73=$K$3,Faturas!E73,"0")</f>
        <v>0</v>
      </c>
      <c r="M70" s="683"/>
      <c r="N70" s="683"/>
      <c r="O70" s="683"/>
      <c r="P70" s="683"/>
      <c r="Q70" s="683"/>
      <c r="R70" s="683"/>
      <c r="S70" s="683"/>
      <c r="T70" s="683"/>
      <c r="U70" s="683"/>
      <c r="V70" s="683"/>
      <c r="W70" s="683"/>
      <c r="X70" s="683"/>
      <c r="Y70" s="745"/>
      <c r="Z70" s="746"/>
    </row>
    <row r="71" spans="1:26" s="675" customFormat="1" ht="12" outlineLevel="1" x14ac:dyDescent="0.2">
      <c r="A71" s="673">
        <v>11</v>
      </c>
      <c r="B71" s="674" t="str">
        <f>IF(Faturas!C74=0,"",Faturas!C74)</f>
        <v/>
      </c>
      <c r="C71" s="694" t="s">
        <v>295</v>
      </c>
      <c r="D71" s="728" t="str">
        <f>IF(Faturas!E74=0,"",Faturas!E74)</f>
        <v/>
      </c>
      <c r="E71" s="729"/>
      <c r="F71" s="730" t="str">
        <f>IF(Faturas!F74=$E$3,Faturas!E74,"0")</f>
        <v>0</v>
      </c>
      <c r="G71" s="730"/>
      <c r="H71" s="730" t="str">
        <f>IF(Faturas!F74=$G$3,Faturas!E74,"0")</f>
        <v>0</v>
      </c>
      <c r="I71" s="730"/>
      <c r="J71" s="730" t="str">
        <f>IF(Faturas!F74=$I$3,Faturas!E74,"0")</f>
        <v>0</v>
      </c>
      <c r="K71" s="730"/>
      <c r="L71" s="730" t="str">
        <f>IF(Faturas!F74=$K$3,Faturas!E74,"0")</f>
        <v>0</v>
      </c>
      <c r="M71" s="683"/>
      <c r="N71" s="683"/>
      <c r="O71" s="683"/>
      <c r="P71" s="683"/>
      <c r="Q71" s="683"/>
      <c r="R71" s="683"/>
      <c r="S71" s="683"/>
      <c r="T71" s="683"/>
      <c r="U71" s="683"/>
      <c r="V71" s="683"/>
      <c r="W71" s="683"/>
      <c r="X71" s="683"/>
      <c r="Y71" s="745"/>
      <c r="Z71" s="746"/>
    </row>
    <row r="72" spans="1:26" s="675" customFormat="1" ht="12" outlineLevel="1" x14ac:dyDescent="0.2">
      <c r="A72" s="673">
        <v>12</v>
      </c>
      <c r="B72" s="674" t="str">
        <f>IF(Faturas!C75=0,"",Faturas!C75)</f>
        <v/>
      </c>
      <c r="C72" s="694" t="s">
        <v>295</v>
      </c>
      <c r="D72" s="728" t="str">
        <f>IF(Faturas!E75=0,"",Faturas!E75)</f>
        <v/>
      </c>
      <c r="E72" s="729"/>
      <c r="F72" s="730" t="str">
        <f>IF(Faturas!F75=$E$3,Faturas!E75,"0")</f>
        <v>0</v>
      </c>
      <c r="G72" s="730"/>
      <c r="H72" s="730" t="str">
        <f>IF(Faturas!F75=$G$3,Faturas!E75,"0")</f>
        <v>0</v>
      </c>
      <c r="I72" s="730"/>
      <c r="J72" s="730" t="str">
        <f>IF(Faturas!F75=$I$3,Faturas!E75,"0")</f>
        <v>0</v>
      </c>
      <c r="K72" s="730"/>
      <c r="L72" s="730" t="str">
        <f>IF(Faturas!F75=$K$3,Faturas!E75,"0")</f>
        <v>0</v>
      </c>
      <c r="M72" s="683"/>
      <c r="N72" s="683"/>
      <c r="O72" s="683"/>
      <c r="P72" s="683"/>
      <c r="Q72" s="683"/>
      <c r="R72" s="683"/>
      <c r="S72" s="683"/>
      <c r="T72" s="683"/>
      <c r="U72" s="683"/>
      <c r="V72" s="683"/>
      <c r="W72" s="683"/>
      <c r="X72" s="683"/>
      <c r="Y72" s="745"/>
      <c r="Z72" s="746"/>
    </row>
    <row r="73" spans="1:26" s="675" customFormat="1" ht="12" outlineLevel="1" x14ac:dyDescent="0.2">
      <c r="A73" s="673">
        <v>13</v>
      </c>
      <c r="B73" s="674" t="str">
        <f>IF(Faturas!C76=0,"",Faturas!C76)</f>
        <v/>
      </c>
      <c r="C73" s="694" t="s">
        <v>295</v>
      </c>
      <c r="D73" s="728" t="str">
        <f>IF(Faturas!E76=0,"",Faturas!E76)</f>
        <v/>
      </c>
      <c r="E73" s="729"/>
      <c r="F73" s="730" t="str">
        <f>IF(Faturas!F76=$E$3,Faturas!E76,"0")</f>
        <v>0</v>
      </c>
      <c r="G73" s="730"/>
      <c r="H73" s="730" t="str">
        <f>IF(Faturas!F76=$G$3,Faturas!E76,"0")</f>
        <v>0</v>
      </c>
      <c r="I73" s="730"/>
      <c r="J73" s="730" t="str">
        <f>IF(Faturas!F76=$I$3,Faturas!E76,"0")</f>
        <v>0</v>
      </c>
      <c r="K73" s="730"/>
      <c r="L73" s="730" t="str">
        <f>IF(Faturas!F76=$K$3,Faturas!E76,"0")</f>
        <v>0</v>
      </c>
      <c r="M73" s="683"/>
      <c r="N73" s="683"/>
      <c r="O73" s="683"/>
      <c r="P73" s="683"/>
      <c r="Q73" s="683"/>
      <c r="R73" s="683"/>
      <c r="S73" s="683"/>
      <c r="T73" s="683"/>
      <c r="U73" s="683"/>
      <c r="V73" s="683"/>
      <c r="W73" s="683"/>
      <c r="X73" s="683"/>
      <c r="Y73" s="745"/>
      <c r="Z73" s="746"/>
    </row>
    <row r="74" spans="1:26" s="675" customFormat="1" ht="12" outlineLevel="1" x14ac:dyDescent="0.2">
      <c r="A74" s="673">
        <v>14</v>
      </c>
      <c r="B74" s="674" t="str">
        <f>IF(Faturas!C77=0,"",Faturas!C77)</f>
        <v/>
      </c>
      <c r="C74" s="694" t="s">
        <v>295</v>
      </c>
      <c r="D74" s="728" t="str">
        <f>IF(Faturas!E77=0,"",Faturas!E77)</f>
        <v/>
      </c>
      <c r="E74" s="729"/>
      <c r="F74" s="730" t="str">
        <f>IF(Faturas!F77=$E$3,Faturas!E77,"0")</f>
        <v>0</v>
      </c>
      <c r="G74" s="730"/>
      <c r="H74" s="730" t="str">
        <f>IF(Faturas!F77=$G$3,Faturas!E77,"0")</f>
        <v>0</v>
      </c>
      <c r="I74" s="730"/>
      <c r="J74" s="730" t="str">
        <f>IF(Faturas!F77=$I$3,Faturas!E77,"0")</f>
        <v>0</v>
      </c>
      <c r="K74" s="730"/>
      <c r="L74" s="730" t="str">
        <f>IF(Faturas!F77=$K$3,Faturas!E77,"0")</f>
        <v>0</v>
      </c>
      <c r="M74" s="683"/>
      <c r="N74" s="683"/>
      <c r="O74" s="683"/>
      <c r="P74" s="683"/>
      <c r="Q74" s="683"/>
      <c r="R74" s="683"/>
      <c r="S74" s="683"/>
      <c r="T74" s="683"/>
      <c r="U74" s="683"/>
      <c r="V74" s="683"/>
      <c r="W74" s="683"/>
      <c r="X74" s="683"/>
      <c r="Y74" s="745"/>
      <c r="Z74" s="746"/>
    </row>
    <row r="75" spans="1:26" s="675" customFormat="1" ht="12" outlineLevel="1" x14ac:dyDescent="0.2">
      <c r="A75" s="673">
        <v>15</v>
      </c>
      <c r="B75" s="674" t="str">
        <f>IF(Faturas!C78=0,"",Faturas!C78)</f>
        <v/>
      </c>
      <c r="C75" s="694" t="s">
        <v>295</v>
      </c>
      <c r="D75" s="728" t="str">
        <f>IF(Faturas!E78=0,"",Faturas!E78)</f>
        <v/>
      </c>
      <c r="E75" s="729"/>
      <c r="F75" s="730" t="str">
        <f>IF(Faturas!F78=$E$3,Faturas!E78,"0")</f>
        <v>0</v>
      </c>
      <c r="G75" s="730"/>
      <c r="H75" s="730" t="str">
        <f>IF(Faturas!F78=$G$3,Faturas!E78,"0")</f>
        <v>0</v>
      </c>
      <c r="I75" s="730"/>
      <c r="J75" s="730" t="str">
        <f>IF(Faturas!F78=$I$3,Faturas!E78,"0")</f>
        <v>0</v>
      </c>
      <c r="K75" s="730"/>
      <c r="L75" s="730" t="str">
        <f>IF(Faturas!F78=$K$3,Faturas!E78,"0")</f>
        <v>0</v>
      </c>
      <c r="M75" s="683"/>
      <c r="N75" s="683"/>
      <c r="O75" s="683"/>
      <c r="P75" s="683"/>
      <c r="Q75" s="683"/>
      <c r="R75" s="683"/>
      <c r="S75" s="683"/>
      <c r="T75" s="683"/>
      <c r="U75" s="683"/>
      <c r="V75" s="683"/>
      <c r="W75" s="683"/>
      <c r="X75" s="683"/>
      <c r="Y75" s="745"/>
      <c r="Z75" s="746"/>
    </row>
    <row r="76" spans="1:26" s="677" customFormat="1" ht="12" outlineLevel="1" x14ac:dyDescent="0.2">
      <c r="A76" s="676">
        <v>16</v>
      </c>
      <c r="B76" s="750" t="str">
        <f>IF(Faturas!C79=0,"",Faturas!C79)</f>
        <v/>
      </c>
      <c r="C76" s="751" t="s">
        <v>295</v>
      </c>
      <c r="D76" s="732" t="str">
        <f>IF(Faturas!E79=0,"",Faturas!E79)</f>
        <v/>
      </c>
      <c r="E76" s="733"/>
      <c r="F76" s="734" t="str">
        <f>IF(Faturas!F79=$E$3,Faturas!E79,"0")</f>
        <v>0</v>
      </c>
      <c r="G76" s="734"/>
      <c r="H76" s="734" t="str">
        <f>IF(Faturas!F79=$G$3,Faturas!E79,"0")</f>
        <v>0</v>
      </c>
      <c r="I76" s="734"/>
      <c r="J76" s="734" t="str">
        <f>IF(Faturas!F79=$I$3,Faturas!E79,"0")</f>
        <v>0</v>
      </c>
      <c r="K76" s="734"/>
      <c r="L76" s="734" t="str">
        <f>IF(Faturas!F79=$K$3,Faturas!E79,"0")</f>
        <v>0</v>
      </c>
      <c r="M76" s="684"/>
      <c r="N76" s="684"/>
      <c r="O76" s="684"/>
      <c r="P76" s="684"/>
      <c r="Q76" s="684"/>
      <c r="R76" s="684"/>
      <c r="S76" s="684"/>
      <c r="T76" s="684"/>
      <c r="U76" s="684"/>
      <c r="V76" s="684"/>
      <c r="W76" s="684"/>
      <c r="X76" s="684"/>
      <c r="Y76" s="745"/>
      <c r="Z76" s="746"/>
    </row>
    <row r="77" spans="1:26" ht="12" x14ac:dyDescent="0.2">
      <c r="A77" s="636"/>
      <c r="B77" s="1934" t="s">
        <v>296</v>
      </c>
      <c r="C77" s="1935"/>
      <c r="D77" s="703">
        <f t="shared" ref="D77:X77" si="2">SUM(D61:D76)</f>
        <v>0</v>
      </c>
      <c r="E77" s="697">
        <f t="shared" si="2"/>
        <v>0</v>
      </c>
      <c r="F77" s="685">
        <f t="shared" si="2"/>
        <v>0</v>
      </c>
      <c r="G77" s="685">
        <f t="shared" si="2"/>
        <v>0</v>
      </c>
      <c r="H77" s="685">
        <f t="shared" si="2"/>
        <v>0</v>
      </c>
      <c r="I77" s="685">
        <f t="shared" si="2"/>
        <v>0</v>
      </c>
      <c r="J77" s="685">
        <f t="shared" si="2"/>
        <v>0</v>
      </c>
      <c r="K77" s="685">
        <f t="shared" si="2"/>
        <v>0</v>
      </c>
      <c r="L77" s="685">
        <f t="shared" si="2"/>
        <v>0</v>
      </c>
      <c r="M77" s="685">
        <f t="shared" si="2"/>
        <v>0</v>
      </c>
      <c r="N77" s="685">
        <f t="shared" si="2"/>
        <v>0</v>
      </c>
      <c r="O77" s="685">
        <f t="shared" si="2"/>
        <v>0</v>
      </c>
      <c r="P77" s="685">
        <f t="shared" si="2"/>
        <v>0</v>
      </c>
      <c r="Q77" s="685">
        <f t="shared" si="2"/>
        <v>0</v>
      </c>
      <c r="R77" s="685">
        <f t="shared" si="2"/>
        <v>0</v>
      </c>
      <c r="S77" s="685">
        <f t="shared" si="2"/>
        <v>0</v>
      </c>
      <c r="T77" s="685">
        <f t="shared" si="2"/>
        <v>0</v>
      </c>
      <c r="U77" s="685">
        <f t="shared" si="2"/>
        <v>0</v>
      </c>
      <c r="V77" s="685">
        <f t="shared" si="2"/>
        <v>0</v>
      </c>
      <c r="W77" s="685">
        <f t="shared" si="2"/>
        <v>0</v>
      </c>
      <c r="X77" s="747">
        <f t="shared" si="2"/>
        <v>0</v>
      </c>
      <c r="Y77" s="745"/>
    </row>
    <row r="78" spans="1:26" ht="12" x14ac:dyDescent="0.2">
      <c r="A78" s="636"/>
      <c r="B78" s="1936" t="s">
        <v>147</v>
      </c>
      <c r="C78" s="1937"/>
      <c r="D78" s="704">
        <f>Faturas!E93</f>
        <v>0</v>
      </c>
      <c r="E78" s="698"/>
      <c r="F78" s="686"/>
      <c r="G78" s="686"/>
      <c r="H78" s="686"/>
      <c r="I78" s="686"/>
      <c r="J78" s="686"/>
      <c r="K78" s="686"/>
      <c r="L78" s="686"/>
      <c r="M78" s="686"/>
      <c r="N78" s="686"/>
      <c r="O78" s="686"/>
      <c r="P78" s="686"/>
      <c r="Q78" s="686"/>
      <c r="R78" s="686"/>
      <c r="S78" s="686"/>
      <c r="T78" s="686"/>
      <c r="U78" s="686"/>
      <c r="V78" s="686"/>
      <c r="W78" s="686"/>
      <c r="X78" s="748"/>
      <c r="Y78" s="745"/>
    </row>
    <row r="79" spans="1:26" ht="12" x14ac:dyDescent="0.2">
      <c r="A79" s="636"/>
      <c r="B79" s="1936" t="s">
        <v>297</v>
      </c>
      <c r="C79" s="1937"/>
      <c r="D79" s="704">
        <f>SUM(E79:L79)</f>
        <v>356124.16073125578</v>
      </c>
      <c r="E79" s="698"/>
      <c r="F79" s="686">
        <f>IF(FM!H18&lt;0,0,FM!H18)</f>
        <v>247467.66891957284</v>
      </c>
      <c r="G79" s="686"/>
      <c r="H79" s="686">
        <f>IF(FM!I18&lt;0,0,FM!I18)</f>
        <v>32679.349864786956</v>
      </c>
      <c r="I79" s="686"/>
      <c r="J79" s="686">
        <f>IF(FM!J18&lt;0,0,FM!J18)</f>
        <v>37892.747626675176</v>
      </c>
      <c r="K79" s="686"/>
      <c r="L79" s="686">
        <f>IF(FM!K18&lt;0,0,FM!K18)</f>
        <v>38084.394320220803</v>
      </c>
      <c r="M79" s="686"/>
      <c r="N79" s="686">
        <f>IF(FM!L18&lt;0,0,FM!L18)</f>
        <v>14004.335102317971</v>
      </c>
      <c r="O79" s="686"/>
      <c r="P79" s="686">
        <f>IF(FM!M18&lt;0,0,FM!M18)</f>
        <v>12982.347469519125</v>
      </c>
      <c r="Q79" s="686"/>
      <c r="R79" s="686">
        <f>IF(FM!N18&lt;0,0,FM!N18)</f>
        <v>14800.077054568334</v>
      </c>
      <c r="S79" s="686"/>
      <c r="T79" s="686">
        <f>IF(FM!O18&lt;0,0,FM!O18)</f>
        <v>15097.429683292168</v>
      </c>
      <c r="U79" s="686"/>
      <c r="V79" s="686">
        <f>IF(FM!P18&lt;0,0,FM!P18)</f>
        <v>12829.409339064034</v>
      </c>
      <c r="W79" s="686"/>
      <c r="X79" s="748">
        <f>IF(FM!Q18&lt;0,0,FM!Q18)</f>
        <v>15710.177599088638</v>
      </c>
      <c r="Y79" s="745"/>
    </row>
    <row r="80" spans="1:26" ht="12" x14ac:dyDescent="0.2">
      <c r="A80" s="636"/>
      <c r="B80" s="1936" t="s">
        <v>149</v>
      </c>
      <c r="C80" s="1937"/>
      <c r="D80" s="705">
        <f t="shared" ref="D80:X80" si="3">D22+D59+D77+D78+D79</f>
        <v>396124.16073125578</v>
      </c>
      <c r="E80" s="699">
        <f t="shared" si="3"/>
        <v>0</v>
      </c>
      <c r="F80" s="687">
        <f t="shared" si="3"/>
        <v>247467.66891957284</v>
      </c>
      <c r="G80" s="687">
        <f t="shared" si="3"/>
        <v>0</v>
      </c>
      <c r="H80" s="687">
        <f t="shared" si="3"/>
        <v>72679.349864786956</v>
      </c>
      <c r="I80" s="687">
        <f t="shared" si="3"/>
        <v>0</v>
      </c>
      <c r="J80" s="687">
        <f t="shared" si="3"/>
        <v>37892.747626675176</v>
      </c>
      <c r="K80" s="687">
        <f t="shared" si="3"/>
        <v>0</v>
      </c>
      <c r="L80" s="687">
        <f t="shared" si="3"/>
        <v>38084.394320220803</v>
      </c>
      <c r="M80" s="687">
        <f t="shared" si="3"/>
        <v>0</v>
      </c>
      <c r="N80" s="687">
        <f t="shared" si="3"/>
        <v>14004.335102317971</v>
      </c>
      <c r="O80" s="687">
        <f t="shared" si="3"/>
        <v>0</v>
      </c>
      <c r="P80" s="687">
        <f t="shared" si="3"/>
        <v>12982.347469519125</v>
      </c>
      <c r="Q80" s="687">
        <f t="shared" si="3"/>
        <v>0</v>
      </c>
      <c r="R80" s="687">
        <f t="shared" si="3"/>
        <v>14800.077054568334</v>
      </c>
      <c r="S80" s="687">
        <f t="shared" si="3"/>
        <v>0</v>
      </c>
      <c r="T80" s="687">
        <f t="shared" si="3"/>
        <v>15097.429683292168</v>
      </c>
      <c r="U80" s="687">
        <f t="shared" si="3"/>
        <v>0</v>
      </c>
      <c r="V80" s="687">
        <f t="shared" si="3"/>
        <v>12829.409339064034</v>
      </c>
      <c r="W80" s="687">
        <f t="shared" si="3"/>
        <v>0</v>
      </c>
      <c r="X80" s="749">
        <f t="shared" si="3"/>
        <v>15710.177599088638</v>
      </c>
      <c r="Y80" s="745"/>
    </row>
    <row r="81" spans="1:25" ht="12" x14ac:dyDescent="0.2">
      <c r="A81" s="636"/>
      <c r="B81" s="582"/>
      <c r="C81" s="582"/>
      <c r="D81" s="647"/>
      <c r="E81" s="582"/>
      <c r="F81" s="648"/>
      <c r="G81" s="648"/>
      <c r="H81" s="648"/>
      <c r="I81" s="648"/>
      <c r="J81" s="648"/>
      <c r="K81" s="649"/>
      <c r="L81" s="648"/>
      <c r="M81" s="649"/>
      <c r="N81" s="650"/>
      <c r="O81" s="650"/>
      <c r="P81" s="650"/>
      <c r="Q81" s="650"/>
      <c r="R81" s="650"/>
      <c r="S81" s="650"/>
      <c r="T81" s="650"/>
      <c r="U81" s="650"/>
      <c r="V81" s="650"/>
      <c r="W81" s="650"/>
      <c r="X81" s="650"/>
      <c r="Y81" s="745"/>
    </row>
    <row r="82" spans="1:25" ht="12" x14ac:dyDescent="0.2">
      <c r="A82" s="636"/>
      <c r="B82" s="651" t="s">
        <v>298</v>
      </c>
      <c r="C82" s="652">
        <f>D80-D79</f>
        <v>40000</v>
      </c>
      <c r="D82" s="706" t="s">
        <v>252</v>
      </c>
      <c r="E82" s="752">
        <f>Pressupostos!C11</f>
        <v>2020</v>
      </c>
      <c r="F82" s="752">
        <f>E82</f>
        <v>2020</v>
      </c>
      <c r="G82" s="752">
        <f>E82+1</f>
        <v>2021</v>
      </c>
      <c r="H82" s="752">
        <f>G82</f>
        <v>2021</v>
      </c>
      <c r="I82" s="752">
        <f>G82+1</f>
        <v>2022</v>
      </c>
      <c r="J82" s="752">
        <f>I82</f>
        <v>2022</v>
      </c>
      <c r="K82" s="752">
        <f>I82+1</f>
        <v>2023</v>
      </c>
      <c r="L82" s="752">
        <f>K82</f>
        <v>2023</v>
      </c>
      <c r="M82" s="752">
        <f>K82+1</f>
        <v>2024</v>
      </c>
      <c r="N82" s="752">
        <f>M82</f>
        <v>2024</v>
      </c>
      <c r="O82" s="752">
        <f>M82+1</f>
        <v>2025</v>
      </c>
      <c r="P82" s="752">
        <f>O82</f>
        <v>2025</v>
      </c>
      <c r="Q82" s="752">
        <f>O82+1</f>
        <v>2026</v>
      </c>
      <c r="R82" s="752">
        <f>Q82</f>
        <v>2026</v>
      </c>
      <c r="S82" s="752">
        <f>Q82+1</f>
        <v>2027</v>
      </c>
      <c r="T82" s="752">
        <f>S82</f>
        <v>2027</v>
      </c>
      <c r="U82" s="752">
        <f>S82+1</f>
        <v>2028</v>
      </c>
      <c r="V82" s="752">
        <f>U82</f>
        <v>2028</v>
      </c>
      <c r="W82" s="752">
        <f>U82+1</f>
        <v>2029</v>
      </c>
      <c r="X82" s="752">
        <f>W82</f>
        <v>2029</v>
      </c>
      <c r="Y82" s="745"/>
    </row>
    <row r="83" spans="1:25" ht="12" x14ac:dyDescent="0.2">
      <c r="A83" s="636"/>
      <c r="B83" s="654" t="s">
        <v>299</v>
      </c>
      <c r="C83" s="655">
        <f>Faturas!E23+Faturas!E61+Faturas!E80+Faturas!E93</f>
        <v>40000</v>
      </c>
      <c r="D83" s="713" t="s">
        <v>301</v>
      </c>
      <c r="E83" s="714" t="s">
        <v>249</v>
      </c>
      <c r="F83" s="714" t="s">
        <v>250</v>
      </c>
      <c r="G83" s="714" t="s">
        <v>249</v>
      </c>
      <c r="H83" s="714" t="s">
        <v>250</v>
      </c>
      <c r="I83" s="714" t="s">
        <v>249</v>
      </c>
      <c r="J83" s="714" t="s">
        <v>250</v>
      </c>
      <c r="K83" s="714" t="s">
        <v>249</v>
      </c>
      <c r="L83" s="714" t="s">
        <v>250</v>
      </c>
      <c r="M83" s="714" t="s">
        <v>249</v>
      </c>
      <c r="N83" s="714" t="s">
        <v>250</v>
      </c>
      <c r="O83" s="714" t="s">
        <v>249</v>
      </c>
      <c r="P83" s="714" t="s">
        <v>250</v>
      </c>
      <c r="Q83" s="714" t="s">
        <v>249</v>
      </c>
      <c r="R83" s="714" t="s">
        <v>250</v>
      </c>
      <c r="S83" s="714" t="s">
        <v>249</v>
      </c>
      <c r="T83" s="714" t="s">
        <v>250</v>
      </c>
      <c r="U83" s="714" t="s">
        <v>249</v>
      </c>
      <c r="V83" s="714" t="s">
        <v>250</v>
      </c>
      <c r="W83" s="714" t="s">
        <v>249</v>
      </c>
      <c r="X83" s="714" t="s">
        <v>250</v>
      </c>
      <c r="Y83" s="745"/>
    </row>
    <row r="84" spans="1:25" ht="12" x14ac:dyDescent="0.2">
      <c r="A84" s="636"/>
      <c r="B84" s="656" t="s">
        <v>300</v>
      </c>
      <c r="C84" s="657">
        <f>C82-C83</f>
        <v>0</v>
      </c>
      <c r="D84" s="711" t="s">
        <v>302</v>
      </c>
      <c r="E84" s="712">
        <f>SUM(E6:E21)+SUMIF(Faturas!$G$26:$G$60,"Não",E24:E58)</f>
        <v>0</v>
      </c>
      <c r="F84" s="712">
        <f>SUM(F6:F21)+SUMIF(Faturas!$G$26:$G$60,"Não",F24:F58)</f>
        <v>0</v>
      </c>
      <c r="G84" s="712">
        <f>SUM(G6:G21)+SUMIF(Faturas!$G$26:$G$60,"Não",G24:G58)</f>
        <v>0</v>
      </c>
      <c r="H84" s="712">
        <f>SUM(H6:H21)+SUMIF(Faturas!$G$26:$G$60,"Não",H24:H58)</f>
        <v>40000</v>
      </c>
      <c r="I84" s="712">
        <f>SUM(I6:I21)+SUMIF(Faturas!$G$26:$G$60,"Não",I24:I58)</f>
        <v>0</v>
      </c>
      <c r="J84" s="712">
        <f>SUM(J6:J21)+SUMIF(Faturas!$G$26:$G$60,"Não",J24:J58)</f>
        <v>0</v>
      </c>
      <c r="K84" s="712">
        <f>SUM(K6:K21)+SUMIF(Faturas!$G$26:$G$60,"Não",K24:K58)</f>
        <v>0</v>
      </c>
      <c r="L84" s="712">
        <f>SUM(L6:L21)+SUMIF(Faturas!$G$26:$G$60,"Não",L24:L58)</f>
        <v>0</v>
      </c>
      <c r="M84" s="712">
        <f>SUM(M6:M21)+SUMIF(Faturas!$G$26:$G$60,"Não",M24:M58)</f>
        <v>0</v>
      </c>
      <c r="N84" s="712">
        <f>SUM(N6:N21)+SUMIF(Faturas!$G$26:$G$60,"Não",N24:N58)</f>
        <v>0</v>
      </c>
      <c r="O84" s="712">
        <f>SUM(O6:O21)+SUMIF(Faturas!$G$26:$G$60,"Não",O24:O58)</f>
        <v>0</v>
      </c>
      <c r="P84" s="712">
        <f>SUM(P6:P21)+SUMIF(Faturas!$G$26:$G$60,"Não",P24:P58)</f>
        <v>0</v>
      </c>
      <c r="Q84" s="712">
        <f>SUM(Q6:Q21)+SUMIF(Faturas!$G$26:$G$60,"Não",Q24:Q58)</f>
        <v>0</v>
      </c>
      <c r="R84" s="712">
        <f>SUM(R6:R21)+SUMIF(Faturas!$G$26:$G$60,"Não",R24:R58)</f>
        <v>0</v>
      </c>
      <c r="S84" s="712">
        <f>SUM(S6:S21)+SUMIF(Faturas!$G$26:$G$60,"Não",S24:S58)</f>
        <v>0</v>
      </c>
      <c r="T84" s="712">
        <f>SUM(T6:T21)+SUMIF(Faturas!$G$26:$G$60,"Não",T24:T58)</f>
        <v>0</v>
      </c>
      <c r="U84" s="712">
        <f>SUM(U6:U21)+SUMIF(Faturas!$G$26:$G$60,"Não",U24:U58)</f>
        <v>0</v>
      </c>
      <c r="V84" s="712">
        <f>SUM(V6:V21)+SUMIF(Faturas!$G$26:$G$60,"Não",V24:V58)</f>
        <v>0</v>
      </c>
      <c r="W84" s="712">
        <f>SUM(W6:W21)+SUMIF(Faturas!$G$26:$G$60,"Não",W24:W58)</f>
        <v>0</v>
      </c>
      <c r="X84" s="712">
        <f>SUM(X6:X21)+SUMIF(Faturas!$G$26:$G$60,"Não",X24:X58)</f>
        <v>0</v>
      </c>
      <c r="Y84" s="745"/>
    </row>
    <row r="85" spans="1:25" ht="12" x14ac:dyDescent="0.2">
      <c r="A85" s="636"/>
      <c r="B85" s="650"/>
      <c r="C85" s="650"/>
      <c r="D85" s="707" t="s">
        <v>303</v>
      </c>
      <c r="E85" s="708">
        <f>SUM(E6:E21)+SUMIF(Faturas!$G$26:$G$60,"Sim",E24:E58)</f>
        <v>0</v>
      </c>
      <c r="F85" s="708">
        <f>SUM(F6:F21)+SUMIF(Faturas!$G$26:$G$60,"Sim",F24:F58)</f>
        <v>0</v>
      </c>
      <c r="G85" s="708">
        <f>SUM(G6:G21)+SUMIF(Faturas!$G$26:$G$60,"Sim",G24:G58)</f>
        <v>0</v>
      </c>
      <c r="H85" s="708">
        <f>SUM(H6:H21)+SUMIF(Faturas!$G$26:$G$60,"Sim",H24:H58)</f>
        <v>0</v>
      </c>
      <c r="I85" s="708">
        <f>SUM(I6:I21)+SUMIF(Faturas!$G$26:$G$60,"Sim",I24:I58)</f>
        <v>0</v>
      </c>
      <c r="J85" s="708">
        <f>SUM(J6:J21)+SUMIF(Faturas!$G$26:$G$60,"Sim",J24:J58)</f>
        <v>0</v>
      </c>
      <c r="K85" s="708">
        <f>SUM(K6:K21)+SUMIF(Faturas!$G$26:$G$60,"Sim",K24:K58)</f>
        <v>0</v>
      </c>
      <c r="L85" s="708">
        <f>SUM(L6:L21)+SUMIF(Faturas!$G$26:$G$60,"Sim",L24:L58)</f>
        <v>0</v>
      </c>
      <c r="M85" s="708">
        <f>SUM(M6:M21)+SUMIF(Faturas!$G$26:$G$60,"Sim",M24:M58)</f>
        <v>0</v>
      </c>
      <c r="N85" s="708">
        <f>SUM(N6:N21)+SUMIF(Faturas!$G$26:$G$60,"Sim",N24:N58)</f>
        <v>0</v>
      </c>
      <c r="O85" s="708">
        <f>SUM(O6:O21)+SUMIF(Faturas!$G$26:$G$60,"Sim",O24:O58)</f>
        <v>0</v>
      </c>
      <c r="P85" s="708">
        <f>SUM(P6:P21)+SUMIF(Faturas!$G$26:$G$60,"Sim",P24:P58)</f>
        <v>0</v>
      </c>
      <c r="Q85" s="708">
        <f>SUM(Q6:Q21)+SUMIF(Faturas!$G$26:$G$60,"Sim",Q24:Q58)</f>
        <v>0</v>
      </c>
      <c r="R85" s="708">
        <f>SUM(R6:R21)+SUMIF(Faturas!$G$26:$G$60,"Sim",R24:R58)</f>
        <v>0</v>
      </c>
      <c r="S85" s="708">
        <f>SUM(S6:S21)+SUMIF(Faturas!$G$26:$G$60,"Sim",S24:S58)</f>
        <v>0</v>
      </c>
      <c r="T85" s="708">
        <f>SUM(T6:T21)+SUMIF(Faturas!$G$26:$G$60,"Sim",T24:T58)</f>
        <v>0</v>
      </c>
      <c r="U85" s="708">
        <f>SUM(U6:U21)+SUMIF(Faturas!$G$26:$G$60,"Sim",U24:U58)</f>
        <v>0</v>
      </c>
      <c r="V85" s="708">
        <f>SUM(V6:V21)+SUMIF(Faturas!$G$26:$G$60,"Sim",V24:V58)</f>
        <v>0</v>
      </c>
      <c r="W85" s="708">
        <f>SUM(W6:W21)+SUMIF(Faturas!$G$26:$G$60,"Sim",W24:W58)</f>
        <v>0</v>
      </c>
      <c r="X85" s="708">
        <f>SUM(X6:X21)+SUMIF(Faturas!$G$26:$G$60,"Sim",X24:X58)</f>
        <v>0</v>
      </c>
      <c r="Y85" s="745"/>
    </row>
    <row r="86" spans="1:25" ht="12" x14ac:dyDescent="0.2">
      <c r="A86" s="636"/>
      <c r="B86" s="650"/>
      <c r="C86" s="650"/>
      <c r="D86" s="707" t="s">
        <v>304</v>
      </c>
      <c r="E86" s="708">
        <f t="shared" ref="E86:X86" si="4">SUM(E61:E76)</f>
        <v>0</v>
      </c>
      <c r="F86" s="708">
        <f t="shared" si="4"/>
        <v>0</v>
      </c>
      <c r="G86" s="708">
        <f t="shared" si="4"/>
        <v>0</v>
      </c>
      <c r="H86" s="708">
        <f t="shared" si="4"/>
        <v>0</v>
      </c>
      <c r="I86" s="708">
        <f t="shared" si="4"/>
        <v>0</v>
      </c>
      <c r="J86" s="708">
        <f t="shared" si="4"/>
        <v>0</v>
      </c>
      <c r="K86" s="708">
        <f t="shared" si="4"/>
        <v>0</v>
      </c>
      <c r="L86" s="708">
        <f t="shared" si="4"/>
        <v>0</v>
      </c>
      <c r="M86" s="708">
        <f t="shared" si="4"/>
        <v>0</v>
      </c>
      <c r="N86" s="708">
        <f t="shared" si="4"/>
        <v>0</v>
      </c>
      <c r="O86" s="708">
        <f t="shared" si="4"/>
        <v>0</v>
      </c>
      <c r="P86" s="708">
        <f t="shared" si="4"/>
        <v>0</v>
      </c>
      <c r="Q86" s="708">
        <f t="shared" si="4"/>
        <v>0</v>
      </c>
      <c r="R86" s="708">
        <f t="shared" si="4"/>
        <v>0</v>
      </c>
      <c r="S86" s="708">
        <f t="shared" si="4"/>
        <v>0</v>
      </c>
      <c r="T86" s="708">
        <f t="shared" si="4"/>
        <v>0</v>
      </c>
      <c r="U86" s="708">
        <f t="shared" si="4"/>
        <v>0</v>
      </c>
      <c r="V86" s="708">
        <f t="shared" si="4"/>
        <v>0</v>
      </c>
      <c r="W86" s="708">
        <f t="shared" si="4"/>
        <v>0</v>
      </c>
      <c r="X86" s="708">
        <f t="shared" si="4"/>
        <v>0</v>
      </c>
      <c r="Y86" s="745"/>
    </row>
    <row r="87" spans="1:25" ht="12" x14ac:dyDescent="0.2">
      <c r="A87" s="636"/>
      <c r="B87" s="650"/>
      <c r="C87" s="650"/>
      <c r="D87" s="707" t="s">
        <v>305</v>
      </c>
      <c r="E87" s="708">
        <f>SUM(E84:E86)</f>
        <v>0</v>
      </c>
      <c r="F87" s="708">
        <f t="shared" ref="F87:X87" si="5">SUM(F84:F86)</f>
        <v>0</v>
      </c>
      <c r="G87" s="708">
        <f t="shared" si="5"/>
        <v>0</v>
      </c>
      <c r="H87" s="708">
        <f t="shared" si="5"/>
        <v>40000</v>
      </c>
      <c r="I87" s="708">
        <f t="shared" si="5"/>
        <v>0</v>
      </c>
      <c r="J87" s="708">
        <f t="shared" si="5"/>
        <v>0</v>
      </c>
      <c r="K87" s="708">
        <f t="shared" si="5"/>
        <v>0</v>
      </c>
      <c r="L87" s="708">
        <f t="shared" si="5"/>
        <v>0</v>
      </c>
      <c r="M87" s="708">
        <f t="shared" si="5"/>
        <v>0</v>
      </c>
      <c r="N87" s="708">
        <f t="shared" si="5"/>
        <v>0</v>
      </c>
      <c r="O87" s="708">
        <f t="shared" si="5"/>
        <v>0</v>
      </c>
      <c r="P87" s="708">
        <f t="shared" si="5"/>
        <v>0</v>
      </c>
      <c r="Q87" s="708">
        <f t="shared" si="5"/>
        <v>0</v>
      </c>
      <c r="R87" s="708">
        <f t="shared" si="5"/>
        <v>0</v>
      </c>
      <c r="S87" s="708">
        <f t="shared" si="5"/>
        <v>0</v>
      </c>
      <c r="T87" s="708">
        <f t="shared" si="5"/>
        <v>0</v>
      </c>
      <c r="U87" s="708">
        <f t="shared" si="5"/>
        <v>0</v>
      </c>
      <c r="V87" s="708">
        <f t="shared" si="5"/>
        <v>0</v>
      </c>
      <c r="W87" s="708">
        <f t="shared" si="5"/>
        <v>0</v>
      </c>
      <c r="X87" s="708">
        <f t="shared" si="5"/>
        <v>0</v>
      </c>
      <c r="Y87" s="745"/>
    </row>
    <row r="88" spans="1:25" ht="12" x14ac:dyDescent="0.2">
      <c r="A88" s="636"/>
      <c r="B88" s="650"/>
      <c r="C88" s="650"/>
      <c r="D88" s="707" t="s">
        <v>306</v>
      </c>
      <c r="E88" s="708">
        <f t="shared" ref="E88:X88" si="6">E78</f>
        <v>0</v>
      </c>
      <c r="F88" s="708">
        <f t="shared" si="6"/>
        <v>0</v>
      </c>
      <c r="G88" s="708">
        <f t="shared" si="6"/>
        <v>0</v>
      </c>
      <c r="H88" s="708">
        <f t="shared" si="6"/>
        <v>0</v>
      </c>
      <c r="I88" s="708">
        <f t="shared" si="6"/>
        <v>0</v>
      </c>
      <c r="J88" s="708">
        <f t="shared" si="6"/>
        <v>0</v>
      </c>
      <c r="K88" s="708">
        <f t="shared" si="6"/>
        <v>0</v>
      </c>
      <c r="L88" s="708">
        <f t="shared" si="6"/>
        <v>0</v>
      </c>
      <c r="M88" s="708">
        <f t="shared" si="6"/>
        <v>0</v>
      </c>
      <c r="N88" s="708">
        <f t="shared" si="6"/>
        <v>0</v>
      </c>
      <c r="O88" s="708">
        <f t="shared" si="6"/>
        <v>0</v>
      </c>
      <c r="P88" s="708">
        <f t="shared" si="6"/>
        <v>0</v>
      </c>
      <c r="Q88" s="708">
        <f t="shared" si="6"/>
        <v>0</v>
      </c>
      <c r="R88" s="708">
        <f t="shared" si="6"/>
        <v>0</v>
      </c>
      <c r="S88" s="708">
        <f t="shared" si="6"/>
        <v>0</v>
      </c>
      <c r="T88" s="708">
        <f t="shared" si="6"/>
        <v>0</v>
      </c>
      <c r="U88" s="708">
        <f t="shared" si="6"/>
        <v>0</v>
      </c>
      <c r="V88" s="708">
        <f t="shared" si="6"/>
        <v>0</v>
      </c>
      <c r="W88" s="708">
        <f t="shared" si="6"/>
        <v>0</v>
      </c>
      <c r="X88" s="708">
        <f t="shared" si="6"/>
        <v>0</v>
      </c>
      <c r="Y88" s="745"/>
    </row>
    <row r="89" spans="1:25" ht="12" x14ac:dyDescent="0.2">
      <c r="A89" s="636"/>
      <c r="B89" s="650"/>
      <c r="C89" s="650"/>
      <c r="D89" s="709" t="s">
        <v>307</v>
      </c>
      <c r="E89" s="710">
        <f>(SUMIF($C$6:$C$21,"Sim",E6:E21)+SUMIF($C$24:$C$58,"Sim",E24:E58)+SUMIF($C$61:$C$76,"Sim",E61:E76))*SUMIF(Pressupostos!$C$16:$L$16,E$82,Pressupostos!$C$27:$L$27)</f>
        <v>0</v>
      </c>
      <c r="F89" s="710">
        <f>(SUMIF($C$6:$C$21,"Sim",F6:F21)+SUMIF($C$24:$C$58,"Sim",F24:F58)+SUMIF($C$61:$C$76,"Sim",F61:F76))*SUMIF(Pressupostos!$C$16:$L$16,F$82,Pressupostos!$C$27:$L$27)</f>
        <v>0</v>
      </c>
      <c r="G89" s="710">
        <f>(SUMIF($C$6:$C$21,"Sim",G6:G21)+SUMIF($C$24:$C$58,"Sim",G24:G58)+SUMIF($C$61:$C$76,"Sim",G61:G76))*SUMIF(Pressupostos!$C$16:$L$16,G$82,Pressupostos!$C$27:$L$27)</f>
        <v>0</v>
      </c>
      <c r="H89" s="710">
        <f>(SUMIF($C$6:$C$21,"Sim",H6:H21)+SUMIF($C$24:$C$58,"Sim",H24:H58)+SUMIF($C$61:$C$76,"Sim",H61:H76))*SUMIF(Pressupostos!$C$16:$L$16,H$82,Pressupostos!$C$27:$L$27)</f>
        <v>9200</v>
      </c>
      <c r="I89" s="710">
        <f>(SUMIF($C$6:$C$21,"Sim",I6:I21)+SUMIF($C$24:$C$58,"Sim",I24:I58)+SUMIF($C$61:$C$76,"Sim",I61:I76))*SUMIF(Pressupostos!$C$16:$L$16,I$82,Pressupostos!$C$27:$L$27)</f>
        <v>0</v>
      </c>
      <c r="J89" s="710">
        <f>(SUMIF($C$6:$C$21,"Sim",J6:J21)+SUMIF($C$24:$C$58,"Sim",J24:J58)+SUMIF($C$61:$C$76,"Sim",J61:J76))*SUMIF(Pressupostos!$C$16:$L$16,J$82,Pressupostos!$C$27:$L$27)</f>
        <v>0</v>
      </c>
      <c r="K89" s="710">
        <f>(SUMIF($C$6:$C$21,"Sim",K6:K21)+SUMIF($C$24:$C$58,"Sim",K24:K58)+SUMIF($C$61:$C$76,"Sim",K61:K76))*SUMIF(Pressupostos!$C$16:$L$16,K$82,Pressupostos!$C$27:$L$27)</f>
        <v>0</v>
      </c>
      <c r="L89" s="710">
        <f>(SUMIF($C$6:$C$21,"Sim",L6:L21)+SUMIF($C$24:$C$58,"Sim",L24:L58)+SUMIF($C$61:$C$76,"Sim",L61:L76))*SUMIF(Pressupostos!$C$16:$L$16,L$82,Pressupostos!$C$27:$L$27)</f>
        <v>0</v>
      </c>
      <c r="M89" s="710">
        <f>(SUMIF($C$6:$C$21,"Sim",M6:M21)+SUMIF($C$24:$C$58,"Sim",M24:M58)+SUMIF($C$61:$C$76,"Sim",M61:M76))*SUMIF(Pressupostos!$C$16:$L$16,M$82,Pressupostos!$C$27:$L$27)</f>
        <v>0</v>
      </c>
      <c r="N89" s="710">
        <f>(SUMIF($C$6:$C$21,"Sim",N6:N21)+SUMIF($C$24:$C$58,"Sim",N24:N58)+SUMIF($C$61:$C$76,"Sim",N61:N76))*SUMIF(Pressupostos!$C$16:$L$16,N$82,Pressupostos!$C$27:$L$27)</f>
        <v>0</v>
      </c>
      <c r="O89" s="710">
        <f>(SUMIF($C$6:$C$21,"Sim",O6:O21)+SUMIF($C$24:$C$58,"Sim",O24:O58)+SUMIF($C$61:$C$76,"Sim",O61:O76))*SUMIF(Pressupostos!$C$16:$L$16,O$82,Pressupostos!$C$27:$L$27)</f>
        <v>0</v>
      </c>
      <c r="P89" s="710">
        <f>(SUMIF($C$6:$C$21,"Sim",P6:P21)+SUMIF($C$24:$C$58,"Sim",P24:P58)+SUMIF($C$61:$C$76,"Sim",P61:P76))*SUMIF(Pressupostos!$C$16:$L$16,P$82,Pressupostos!$C$27:$L$27)</f>
        <v>0</v>
      </c>
      <c r="Q89" s="710">
        <f>(SUMIF($C$6:$C$21,"Sim",Q6:Q21)+SUMIF($C$24:$C$58,"Sim",Q24:Q58)+SUMIF($C$61:$C$76,"Sim",Q61:Q76))*SUMIF(Pressupostos!$C$16:$L$16,Q$82,Pressupostos!$C$27:$L$27)</f>
        <v>0</v>
      </c>
      <c r="R89" s="710">
        <f>(SUMIF($C$6:$C$21,"Sim",R6:R21)+SUMIF($C$24:$C$58,"Sim",R24:R58)+SUMIF($C$61:$C$76,"Sim",R61:R76))*SUMIF(Pressupostos!$C$16:$L$16,R$82,Pressupostos!$C$27:$L$27)</f>
        <v>0</v>
      </c>
      <c r="S89" s="710">
        <f>(SUMIF($C$6:$C$21,"Sim",S6:S21)+SUMIF($C$24:$C$58,"Sim",S24:S58)+SUMIF($C$61:$C$76,"Sim",S61:S76))*SUMIF(Pressupostos!$C$16:$L$16,S$82,Pressupostos!$C$27:$L$27)</f>
        <v>0</v>
      </c>
      <c r="T89" s="710">
        <f>(SUMIF($C$6:$C$21,"Sim",T6:T21)+SUMIF($C$24:$C$58,"Sim",T24:T58)+SUMIF($C$61:$C$76,"Sim",T61:T76))*SUMIF(Pressupostos!$C$16:$L$16,T$82,Pressupostos!$C$27:$L$27)</f>
        <v>0</v>
      </c>
      <c r="U89" s="710">
        <f>(SUMIF($C$6:$C$21,"Sim",U6:U21)+SUMIF($C$24:$C$58,"Sim",U24:U58)+SUMIF($C$61:$C$76,"Sim",U61:U76))*SUMIF(Pressupostos!$C$16:$L$16,U$82,Pressupostos!$C$27:$L$27)</f>
        <v>0</v>
      </c>
      <c r="V89" s="710">
        <f>(SUMIF($C$6:$C$21,"Sim",V6:V21)+SUMIF($C$24:$C$58,"Sim",V24:V58)+SUMIF($C$61:$C$76,"Sim",V61:V76))*SUMIF(Pressupostos!$C$16:$L$16,V$82,Pressupostos!$C$27:$L$27)</f>
        <v>0</v>
      </c>
      <c r="W89" s="710">
        <f>(SUMIF($C$6:$C$21,"Sim",W6:W21)+SUMIF($C$24:$C$58,"Sim",W24:W58)+SUMIF($C$61:$C$76,"Sim",W61:W76))*SUMIF(Pressupostos!$C$16:$L$16,W$82,Pressupostos!$C$27:$L$27)</f>
        <v>0</v>
      </c>
      <c r="X89" s="710">
        <f>(SUMIF($C$6:$C$21,"Sim",X6:X21)+SUMIF($C$24:$C$58,"Sim",X24:X58)+SUMIF($C$61:$C$76,"Sim",X61:X76))*SUMIF(Pressupostos!$C$16:$L$16,X$82,Pressupostos!$C$27:$L$27)</f>
        <v>0</v>
      </c>
      <c r="Y89" s="745"/>
    </row>
    <row r="90" spans="1:25" ht="12" x14ac:dyDescent="0.2">
      <c r="A90" s="636"/>
      <c r="B90" s="650"/>
      <c r="C90" s="650"/>
      <c r="D90" s="650"/>
      <c r="E90" s="650"/>
      <c r="F90" s="650"/>
      <c r="G90" s="658"/>
      <c r="H90" s="650"/>
      <c r="I90" s="650"/>
      <c r="J90" s="650"/>
      <c r="K90" s="650"/>
      <c r="L90" s="650"/>
      <c r="M90" s="650"/>
      <c r="N90" s="650"/>
      <c r="O90" s="650"/>
      <c r="P90" s="650"/>
      <c r="Q90" s="650"/>
      <c r="R90" s="650"/>
      <c r="S90" s="650"/>
      <c r="T90" s="650"/>
      <c r="U90" s="650"/>
      <c r="V90" s="650"/>
      <c r="W90" s="650"/>
      <c r="X90" s="650"/>
      <c r="Y90" s="745"/>
    </row>
    <row r="91" spans="1:25" ht="12" x14ac:dyDescent="0.2">
      <c r="A91" s="636"/>
      <c r="B91" s="650"/>
      <c r="C91" s="650"/>
      <c r="D91" s="650"/>
      <c r="E91" s="650"/>
      <c r="F91" s="650"/>
      <c r="G91" s="650"/>
      <c r="H91" s="650"/>
      <c r="I91" s="650"/>
      <c r="J91" s="650"/>
      <c r="K91" s="650"/>
      <c r="L91" s="650"/>
      <c r="M91" s="650"/>
      <c r="N91" s="650"/>
      <c r="O91" s="650"/>
      <c r="P91" s="650"/>
      <c r="Q91" s="650"/>
      <c r="R91" s="650"/>
      <c r="S91" s="650"/>
      <c r="T91" s="650"/>
      <c r="U91" s="650"/>
      <c r="V91" s="650"/>
      <c r="W91" s="650"/>
      <c r="X91" s="650"/>
      <c r="Y91" s="745"/>
    </row>
    <row r="92" spans="1:25" ht="12" x14ac:dyDescent="0.2">
      <c r="A92" s="636"/>
      <c r="B92" s="659"/>
      <c r="C92" s="661">
        <f>E3</f>
        <v>2020</v>
      </c>
      <c r="D92" s="661">
        <f>C92+1</f>
        <v>2021</v>
      </c>
      <c r="E92" s="661">
        <f t="shared" ref="E92:J92" si="7">D92+1</f>
        <v>2022</v>
      </c>
      <c r="F92" s="661">
        <f t="shared" si="7"/>
        <v>2023</v>
      </c>
      <c r="G92" s="661">
        <f t="shared" si="7"/>
        <v>2024</v>
      </c>
      <c r="H92" s="661">
        <f t="shared" si="7"/>
        <v>2025</v>
      </c>
      <c r="I92" s="661">
        <f t="shared" si="7"/>
        <v>2026</v>
      </c>
      <c r="J92" s="661">
        <f t="shared" si="7"/>
        <v>2027</v>
      </c>
      <c r="K92" s="661">
        <f>J92+1</f>
        <v>2028</v>
      </c>
      <c r="L92" s="662">
        <f>K92+1</f>
        <v>2029</v>
      </c>
      <c r="M92" s="650"/>
      <c r="N92" s="650"/>
      <c r="O92" s="650"/>
      <c r="P92" s="650"/>
      <c r="Q92" s="650"/>
      <c r="R92" s="650"/>
      <c r="S92" s="650"/>
      <c r="T92" s="650"/>
      <c r="U92" s="650"/>
      <c r="V92" s="650"/>
      <c r="W92" s="650"/>
      <c r="X92" s="650"/>
      <c r="Y92" s="745"/>
    </row>
    <row r="93" spans="1:25" ht="12" x14ac:dyDescent="0.2">
      <c r="A93" s="636"/>
      <c r="B93" s="656" t="s">
        <v>308</v>
      </c>
      <c r="C93" s="660">
        <f>SUMIF($E$82:$X$82,C$92,$E$89:$X$89)</f>
        <v>0</v>
      </c>
      <c r="D93" s="660">
        <f t="shared" ref="D93:L93" si="8">SUMIF($E$82:$X$82,D$92,$E$89:$X$89)</f>
        <v>9200</v>
      </c>
      <c r="E93" s="660">
        <f t="shared" si="8"/>
        <v>0</v>
      </c>
      <c r="F93" s="660">
        <f t="shared" si="8"/>
        <v>0</v>
      </c>
      <c r="G93" s="660">
        <f t="shared" si="8"/>
        <v>0</v>
      </c>
      <c r="H93" s="660">
        <f t="shared" si="8"/>
        <v>0</v>
      </c>
      <c r="I93" s="660">
        <f t="shared" si="8"/>
        <v>0</v>
      </c>
      <c r="J93" s="660">
        <f t="shared" si="8"/>
        <v>0</v>
      </c>
      <c r="K93" s="660">
        <f t="shared" si="8"/>
        <v>0</v>
      </c>
      <c r="L93" s="657">
        <f t="shared" si="8"/>
        <v>0</v>
      </c>
      <c r="M93" s="650"/>
      <c r="N93" s="650"/>
      <c r="O93" s="650"/>
      <c r="P93" s="650"/>
      <c r="Q93" s="650"/>
      <c r="R93" s="650"/>
      <c r="S93" s="650"/>
      <c r="T93" s="650"/>
      <c r="U93" s="650"/>
      <c r="V93" s="650"/>
      <c r="W93" s="650"/>
      <c r="X93" s="650"/>
      <c r="Y93" s="745"/>
    </row>
    <row r="94" spans="1:25" ht="12" x14ac:dyDescent="0.2">
      <c r="A94" s="636"/>
      <c r="B94" s="650"/>
      <c r="C94" s="647"/>
      <c r="D94" s="650"/>
      <c r="E94" s="650"/>
      <c r="F94" s="650"/>
      <c r="G94" s="650"/>
      <c r="H94" s="650"/>
      <c r="I94" s="650"/>
      <c r="J94" s="650"/>
      <c r="K94" s="650"/>
      <c r="L94" s="650"/>
      <c r="M94" s="650"/>
      <c r="N94" s="650"/>
      <c r="O94" s="650"/>
      <c r="P94" s="650"/>
      <c r="Q94" s="650"/>
      <c r="R94" s="650"/>
      <c r="S94" s="650"/>
      <c r="T94" s="650"/>
      <c r="U94" s="650"/>
      <c r="V94" s="650"/>
      <c r="W94" s="650"/>
      <c r="X94" s="650"/>
      <c r="Y94" s="745"/>
    </row>
    <row r="95" spans="1:25" ht="12" x14ac:dyDescent="0.2">
      <c r="A95" s="636"/>
      <c r="B95" s="663" t="s">
        <v>309</v>
      </c>
      <c r="C95" s="647"/>
      <c r="D95" s="650"/>
      <c r="E95" s="650"/>
      <c r="F95" s="650"/>
      <c r="G95" s="650"/>
      <c r="H95" s="650"/>
      <c r="I95" s="650"/>
      <c r="J95" s="650"/>
      <c r="K95" s="650"/>
      <c r="L95" s="650"/>
      <c r="M95" s="650"/>
      <c r="N95" s="650"/>
      <c r="O95" s="650"/>
      <c r="P95" s="650"/>
      <c r="Q95" s="650"/>
      <c r="R95" s="650"/>
      <c r="S95" s="650"/>
      <c r="T95" s="650"/>
      <c r="U95" s="650"/>
      <c r="V95" s="650"/>
      <c r="W95" s="650"/>
      <c r="X95" s="650"/>
      <c r="Y95" s="745"/>
    </row>
    <row r="96" spans="1:25" ht="12" x14ac:dyDescent="0.2">
      <c r="A96" s="636"/>
      <c r="B96" s="715" t="s">
        <v>310</v>
      </c>
      <c r="C96" s="716">
        <f>SUMIF($E$82:$X$82,C$92,$E84:$X84)</f>
        <v>0</v>
      </c>
      <c r="D96" s="716">
        <f t="shared" ref="D96:L98" si="9">SUMIF($E$82:$X$82,D$92,$E84:$X84)</f>
        <v>40000</v>
      </c>
      <c r="E96" s="716">
        <f t="shared" si="9"/>
        <v>0</v>
      </c>
      <c r="F96" s="716">
        <f t="shared" si="9"/>
        <v>0</v>
      </c>
      <c r="G96" s="716">
        <f t="shared" si="9"/>
        <v>0</v>
      </c>
      <c r="H96" s="716">
        <f t="shared" si="9"/>
        <v>0</v>
      </c>
      <c r="I96" s="716">
        <f t="shared" si="9"/>
        <v>0</v>
      </c>
      <c r="J96" s="716">
        <f t="shared" si="9"/>
        <v>0</v>
      </c>
      <c r="K96" s="716">
        <f t="shared" si="9"/>
        <v>0</v>
      </c>
      <c r="L96" s="716">
        <f t="shared" si="9"/>
        <v>0</v>
      </c>
      <c r="M96" s="650"/>
      <c r="N96" s="650"/>
      <c r="O96" s="650"/>
      <c r="P96" s="650"/>
      <c r="Q96" s="650"/>
      <c r="R96" s="650"/>
      <c r="S96" s="650"/>
      <c r="T96" s="650"/>
      <c r="U96" s="650"/>
      <c r="V96" s="650"/>
      <c r="W96" s="650"/>
      <c r="X96" s="650"/>
      <c r="Y96" s="745"/>
    </row>
    <row r="97" spans="1:25" ht="12" x14ac:dyDescent="0.2">
      <c r="A97" s="636"/>
      <c r="B97" s="717" t="s">
        <v>311</v>
      </c>
      <c r="C97" s="718">
        <f>SUMIF($E$82:$X$82,C$92,$E85:$X85)</f>
        <v>0</v>
      </c>
      <c r="D97" s="718">
        <f t="shared" si="9"/>
        <v>0</v>
      </c>
      <c r="E97" s="718">
        <f t="shared" si="9"/>
        <v>0</v>
      </c>
      <c r="F97" s="718">
        <f t="shared" si="9"/>
        <v>0</v>
      </c>
      <c r="G97" s="718">
        <f t="shared" si="9"/>
        <v>0</v>
      </c>
      <c r="H97" s="718">
        <f t="shared" si="9"/>
        <v>0</v>
      </c>
      <c r="I97" s="718">
        <f t="shared" si="9"/>
        <v>0</v>
      </c>
      <c r="J97" s="718">
        <f t="shared" si="9"/>
        <v>0</v>
      </c>
      <c r="K97" s="718">
        <f t="shared" si="9"/>
        <v>0</v>
      </c>
      <c r="L97" s="718">
        <f t="shared" si="9"/>
        <v>0</v>
      </c>
      <c r="M97" s="650"/>
      <c r="N97" s="650"/>
      <c r="O97" s="650"/>
      <c r="P97" s="650"/>
      <c r="Q97" s="650"/>
      <c r="R97" s="650"/>
      <c r="S97" s="650"/>
      <c r="T97" s="650"/>
      <c r="U97" s="650"/>
      <c r="V97" s="650"/>
      <c r="W97" s="650"/>
      <c r="X97" s="650"/>
      <c r="Y97" s="745"/>
    </row>
    <row r="98" spans="1:25" ht="12" x14ac:dyDescent="0.2">
      <c r="A98" s="636"/>
      <c r="B98" s="717" t="s">
        <v>312</v>
      </c>
      <c r="C98" s="718">
        <f>SUMIF($E$82:$X$82,C$92,$E86:$X86)</f>
        <v>0</v>
      </c>
      <c r="D98" s="718">
        <f t="shared" si="9"/>
        <v>0</v>
      </c>
      <c r="E98" s="718">
        <f t="shared" si="9"/>
        <v>0</v>
      </c>
      <c r="F98" s="718">
        <f t="shared" si="9"/>
        <v>0</v>
      </c>
      <c r="G98" s="718">
        <f t="shared" si="9"/>
        <v>0</v>
      </c>
      <c r="H98" s="718">
        <f t="shared" si="9"/>
        <v>0</v>
      </c>
      <c r="I98" s="718">
        <f t="shared" si="9"/>
        <v>0</v>
      </c>
      <c r="J98" s="718">
        <f t="shared" si="9"/>
        <v>0</v>
      </c>
      <c r="K98" s="718">
        <f t="shared" si="9"/>
        <v>0</v>
      </c>
      <c r="L98" s="718">
        <f t="shared" si="9"/>
        <v>0</v>
      </c>
      <c r="M98" s="650"/>
      <c r="N98" s="650"/>
      <c r="O98" s="650"/>
      <c r="P98" s="650"/>
      <c r="Q98" s="650"/>
      <c r="R98" s="650"/>
      <c r="S98" s="650"/>
      <c r="T98" s="650"/>
      <c r="U98" s="650"/>
      <c r="V98" s="650"/>
      <c r="W98" s="650"/>
      <c r="X98" s="650"/>
      <c r="Y98" s="745"/>
    </row>
    <row r="99" spans="1:25" ht="12" x14ac:dyDescent="0.2">
      <c r="A99" s="636"/>
      <c r="B99" s="719" t="s">
        <v>158</v>
      </c>
      <c r="C99" s="720">
        <f>SUMIF($E$82:$X$82,C$92,$E88:$X88)</f>
        <v>0</v>
      </c>
      <c r="D99" s="720">
        <f t="shared" ref="D99:L99" si="10">SUMIF($E$82:$X$82,D$92,$E88:$X88)</f>
        <v>0</v>
      </c>
      <c r="E99" s="720">
        <f t="shared" si="10"/>
        <v>0</v>
      </c>
      <c r="F99" s="720">
        <f t="shared" si="10"/>
        <v>0</v>
      </c>
      <c r="G99" s="720">
        <f t="shared" si="10"/>
        <v>0</v>
      </c>
      <c r="H99" s="720">
        <f t="shared" si="10"/>
        <v>0</v>
      </c>
      <c r="I99" s="720">
        <f t="shared" si="10"/>
        <v>0</v>
      </c>
      <c r="J99" s="720">
        <f t="shared" si="10"/>
        <v>0</v>
      </c>
      <c r="K99" s="720">
        <f t="shared" si="10"/>
        <v>0</v>
      </c>
      <c r="L99" s="720">
        <f t="shared" si="10"/>
        <v>0</v>
      </c>
      <c r="M99" s="650"/>
      <c r="N99" s="650"/>
      <c r="O99" s="650"/>
      <c r="P99" s="650"/>
      <c r="Q99" s="650"/>
      <c r="R99" s="650"/>
      <c r="S99" s="650"/>
      <c r="T99" s="650"/>
      <c r="U99" s="650"/>
      <c r="V99" s="650"/>
      <c r="W99" s="650"/>
      <c r="X99" s="650"/>
      <c r="Y99" s="745"/>
    </row>
    <row r="100" spans="1:25" ht="12" x14ac:dyDescent="0.2">
      <c r="A100" s="636"/>
      <c r="B100" s="721" t="s">
        <v>309</v>
      </c>
      <c r="C100" s="721">
        <f>SUM(C96:C99)</f>
        <v>0</v>
      </c>
      <c r="D100" s="721">
        <f t="shared" ref="D100:L100" si="11">SUM(D96:D99)</f>
        <v>40000</v>
      </c>
      <c r="E100" s="721">
        <f t="shared" si="11"/>
        <v>0</v>
      </c>
      <c r="F100" s="721">
        <f t="shared" si="11"/>
        <v>0</v>
      </c>
      <c r="G100" s="721">
        <f t="shared" si="11"/>
        <v>0</v>
      </c>
      <c r="H100" s="721">
        <f t="shared" si="11"/>
        <v>0</v>
      </c>
      <c r="I100" s="721">
        <f t="shared" si="11"/>
        <v>0</v>
      </c>
      <c r="J100" s="721">
        <f t="shared" si="11"/>
        <v>0</v>
      </c>
      <c r="K100" s="721">
        <f t="shared" si="11"/>
        <v>0</v>
      </c>
      <c r="L100" s="721">
        <f t="shared" si="11"/>
        <v>0</v>
      </c>
      <c r="M100" s="650"/>
      <c r="N100" s="650"/>
      <c r="O100" s="650"/>
      <c r="P100" s="650"/>
      <c r="Q100" s="650"/>
      <c r="R100" s="650"/>
      <c r="S100" s="650"/>
      <c r="T100" s="650"/>
      <c r="U100" s="650"/>
      <c r="V100" s="650"/>
      <c r="W100" s="650"/>
      <c r="X100" s="650"/>
      <c r="Y100" s="745"/>
    </row>
    <row r="101" spans="1:25" ht="12" x14ac:dyDescent="0.2">
      <c r="A101" s="636"/>
      <c r="B101" s="647"/>
      <c r="C101" s="647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745"/>
    </row>
    <row r="102" spans="1:25" ht="12" x14ac:dyDescent="0.2">
      <c r="A102" s="636"/>
      <c r="B102" s="647"/>
      <c r="C102" s="647"/>
      <c r="D102" s="650"/>
      <c r="E102" s="650"/>
      <c r="F102" s="650"/>
      <c r="G102" s="650"/>
      <c r="H102" s="650"/>
      <c r="I102" s="650"/>
      <c r="J102" s="650"/>
      <c r="K102" s="650"/>
      <c r="L102" s="650"/>
      <c r="M102" s="650"/>
      <c r="N102" s="650"/>
      <c r="O102" s="650"/>
      <c r="P102" s="650"/>
      <c r="Q102" s="650"/>
      <c r="R102" s="650"/>
      <c r="S102" s="650"/>
      <c r="T102" s="650"/>
      <c r="U102" s="650"/>
      <c r="V102" s="650"/>
      <c r="W102" s="650"/>
      <c r="X102" s="650"/>
      <c r="Y102" s="745"/>
    </row>
    <row r="103" spans="1:25" x14ac:dyDescent="0.2">
      <c r="A103" s="636"/>
      <c r="Y103" s="745"/>
    </row>
  </sheetData>
  <mergeCells count="16">
    <mergeCell ref="S3:T3"/>
    <mergeCell ref="U3:V3"/>
    <mergeCell ref="W3:X3"/>
    <mergeCell ref="B22:C22"/>
    <mergeCell ref="B59:C59"/>
    <mergeCell ref="E3:F3"/>
    <mergeCell ref="G3:H3"/>
    <mergeCell ref="I3:J3"/>
    <mergeCell ref="K3:L3"/>
    <mergeCell ref="M3:N3"/>
    <mergeCell ref="O3:P3"/>
    <mergeCell ref="B77:C77"/>
    <mergeCell ref="B80:C80"/>
    <mergeCell ref="B79:C79"/>
    <mergeCell ref="B78:C78"/>
    <mergeCell ref="Q3:R3"/>
  </mergeCells>
  <dataValidations count="1">
    <dataValidation type="list" allowBlank="1" showInputMessage="1" showErrorMessage="1" sqref="C61:C76 C6:C21 C24:C58">
      <formula1>"Sim,Não"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lha7">
    <tabColor theme="9"/>
  </sheetPr>
  <dimension ref="A1:BD962"/>
  <sheetViews>
    <sheetView workbookViewId="0">
      <pane xSplit="1" ySplit="3" topLeftCell="B22" activePane="bottomRight" state="frozen"/>
      <selection activeCell="F21" sqref="F21"/>
      <selection pane="topRight" activeCell="F21" sqref="F21"/>
      <selection pane="bottomLeft" activeCell="F21" sqref="F21"/>
      <selection pane="bottomRight" activeCell="H26" sqref="H26:I26"/>
    </sheetView>
  </sheetViews>
  <sheetFormatPr defaultColWidth="9.140625" defaultRowHeight="11.25" outlineLevelRow="1" x14ac:dyDescent="0.25"/>
  <cols>
    <col min="1" max="1" width="2.85546875" style="13" bestFit="1" customWidth="1"/>
    <col min="2" max="2" width="36.140625" style="13" bestFit="1" customWidth="1"/>
    <col min="3" max="3" width="6" style="13" bestFit="1" customWidth="1"/>
    <col min="4" max="14" width="10.85546875" style="13" bestFit="1" customWidth="1"/>
    <col min="15" max="15" width="12.140625" style="13" bestFit="1" customWidth="1"/>
    <col min="16" max="56" width="9.140625" style="12"/>
    <col min="57" max="16384" width="9.140625" style="13"/>
  </cols>
  <sheetData>
    <row r="1" spans="1:56" s="77" customFormat="1" x14ac:dyDescent="0.25"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</row>
    <row r="2" spans="1:56" x14ac:dyDescent="0.25">
      <c r="A2" s="12"/>
      <c r="B2" s="224" t="s">
        <v>161</v>
      </c>
      <c r="C2" s="225"/>
      <c r="D2" s="225"/>
      <c r="E2" s="225"/>
      <c r="F2" s="225"/>
      <c r="G2" s="225"/>
      <c r="H2" s="225"/>
      <c r="I2" s="226"/>
      <c r="J2" s="226"/>
      <c r="K2" s="1944" t="s">
        <v>70</v>
      </c>
      <c r="L2" s="1944"/>
      <c r="M2" s="1944"/>
      <c r="N2" s="1944"/>
      <c r="O2" s="1945"/>
      <c r="P2" s="227"/>
    </row>
    <row r="3" spans="1:56" x14ac:dyDescent="0.25">
      <c r="A3" s="12"/>
      <c r="B3" s="228" t="s">
        <v>162</v>
      </c>
      <c r="C3" s="366" t="s">
        <v>163</v>
      </c>
      <c r="D3" s="368" t="s">
        <v>164</v>
      </c>
      <c r="E3" s="367">
        <f>Pressupostos!C11</f>
        <v>2020</v>
      </c>
      <c r="F3" s="230">
        <f t="shared" ref="F3:N3" si="0">E3+1</f>
        <v>2021</v>
      </c>
      <c r="G3" s="230">
        <f t="shared" si="0"/>
        <v>2022</v>
      </c>
      <c r="H3" s="230">
        <f t="shared" si="0"/>
        <v>2023</v>
      </c>
      <c r="I3" s="230">
        <f t="shared" si="0"/>
        <v>2024</v>
      </c>
      <c r="J3" s="230">
        <f t="shared" si="0"/>
        <v>2025</v>
      </c>
      <c r="K3" s="230">
        <f t="shared" si="0"/>
        <v>2026</v>
      </c>
      <c r="L3" s="230">
        <f t="shared" si="0"/>
        <v>2027</v>
      </c>
      <c r="M3" s="230">
        <f t="shared" si="0"/>
        <v>2028</v>
      </c>
      <c r="N3" s="230">
        <f t="shared" si="0"/>
        <v>2029</v>
      </c>
      <c r="O3" s="229" t="s">
        <v>165</v>
      </c>
      <c r="P3" s="227"/>
    </row>
    <row r="4" spans="1:56" x14ac:dyDescent="0.25">
      <c r="A4" s="12"/>
      <c r="B4" s="231"/>
      <c r="C4" s="232"/>
      <c r="D4" s="1216"/>
      <c r="E4" s="233"/>
      <c r="F4" s="234"/>
      <c r="G4" s="234"/>
      <c r="H4" s="234"/>
      <c r="I4" s="234"/>
      <c r="J4" s="234"/>
      <c r="K4" s="234"/>
      <c r="L4" s="235"/>
      <c r="M4" s="235"/>
      <c r="N4" s="235"/>
      <c r="O4" s="234"/>
      <c r="P4" s="227"/>
    </row>
    <row r="5" spans="1:56" x14ac:dyDescent="0.25">
      <c r="A5" s="12"/>
      <c r="B5" s="236" t="s">
        <v>142</v>
      </c>
      <c r="C5" s="237"/>
      <c r="D5" s="1217"/>
      <c r="E5" s="239"/>
      <c r="F5" s="240"/>
      <c r="G5" s="240"/>
      <c r="H5" s="240"/>
      <c r="I5" s="240"/>
      <c r="J5" s="240"/>
      <c r="K5" s="240"/>
      <c r="L5" s="241"/>
      <c r="M5" s="241"/>
      <c r="N5" s="241"/>
      <c r="O5" s="240"/>
      <c r="P5" s="227"/>
    </row>
    <row r="6" spans="1:56" hidden="1" outlineLevel="1" x14ac:dyDescent="0.25">
      <c r="A6" s="12">
        <v>1</v>
      </c>
      <c r="B6" s="342" t="str">
        <f>IF(Faturas!C7=0,"",Faturas!C7)</f>
        <v/>
      </c>
      <c r="C6" s="345">
        <v>0</v>
      </c>
      <c r="D6" s="1218" t="str">
        <f>IF(Faturas!E7=0,"",Faturas!E7)</f>
        <v/>
      </c>
      <c r="E6" s="336"/>
      <c r="F6" s="337"/>
      <c r="G6" s="337"/>
      <c r="H6" s="337"/>
      <c r="I6" s="337"/>
      <c r="J6" s="337"/>
      <c r="K6" s="337" t="str">
        <f t="shared" ref="K6:N21" si="1">IF($B6="","",IF($C6=0,0,IF(K$3-$E$3&lt;1/$C6,$D6*$C6,0)))</f>
        <v/>
      </c>
      <c r="L6" s="337" t="str">
        <f t="shared" si="1"/>
        <v/>
      </c>
      <c r="M6" s="337" t="str">
        <f t="shared" si="1"/>
        <v/>
      </c>
      <c r="N6" s="337" t="str">
        <f t="shared" si="1"/>
        <v/>
      </c>
      <c r="O6" s="337" t="str">
        <f t="shared" ref="O6:O21" si="2">IF($B6="","",D6-SUM(E6:N6))</f>
        <v/>
      </c>
      <c r="P6" s="227"/>
    </row>
    <row r="7" spans="1:56" hidden="1" outlineLevel="1" x14ac:dyDescent="0.25">
      <c r="A7" s="12">
        <v>2</v>
      </c>
      <c r="B7" s="343" t="str">
        <f>IF(Faturas!C8=0,"",Faturas!C8)</f>
        <v/>
      </c>
      <c r="C7" s="346">
        <v>0</v>
      </c>
      <c r="D7" s="1219" t="str">
        <f>IF(Faturas!E8=0,"",Faturas!E8)</f>
        <v/>
      </c>
      <c r="E7" s="338"/>
      <c r="F7" s="339"/>
      <c r="G7" s="339"/>
      <c r="H7" s="339"/>
      <c r="I7" s="339"/>
      <c r="J7" s="339"/>
      <c r="K7" s="339" t="str">
        <f t="shared" si="1"/>
        <v/>
      </c>
      <c r="L7" s="339" t="str">
        <f t="shared" si="1"/>
        <v/>
      </c>
      <c r="M7" s="339" t="str">
        <f t="shared" si="1"/>
        <v/>
      </c>
      <c r="N7" s="339" t="str">
        <f t="shared" si="1"/>
        <v/>
      </c>
      <c r="O7" s="339" t="str">
        <f t="shared" si="2"/>
        <v/>
      </c>
      <c r="P7" s="227"/>
    </row>
    <row r="8" spans="1:56" hidden="1" outlineLevel="1" x14ac:dyDescent="0.25">
      <c r="A8" s="12">
        <v>3</v>
      </c>
      <c r="B8" s="343" t="str">
        <f>IF(Faturas!C9=0,"",Faturas!C9)</f>
        <v/>
      </c>
      <c r="C8" s="346">
        <v>0</v>
      </c>
      <c r="D8" s="1219" t="str">
        <f>IF(Faturas!E9=0,"",Faturas!E9)</f>
        <v/>
      </c>
      <c r="E8" s="338"/>
      <c r="F8" s="339"/>
      <c r="G8" s="339"/>
      <c r="H8" s="339"/>
      <c r="I8" s="339"/>
      <c r="J8" s="339"/>
      <c r="K8" s="339" t="str">
        <f t="shared" si="1"/>
        <v/>
      </c>
      <c r="L8" s="339" t="str">
        <f t="shared" si="1"/>
        <v/>
      </c>
      <c r="M8" s="339" t="str">
        <f t="shared" si="1"/>
        <v/>
      </c>
      <c r="N8" s="339" t="str">
        <f t="shared" si="1"/>
        <v/>
      </c>
      <c r="O8" s="339" t="str">
        <f t="shared" si="2"/>
        <v/>
      </c>
      <c r="P8" s="227"/>
    </row>
    <row r="9" spans="1:56" hidden="1" outlineLevel="1" x14ac:dyDescent="0.25">
      <c r="A9" s="12">
        <v>4</v>
      </c>
      <c r="B9" s="343" t="str">
        <f>IF(Faturas!C10=0,"",Faturas!C10)</f>
        <v/>
      </c>
      <c r="C9" s="346">
        <v>0</v>
      </c>
      <c r="D9" s="1219" t="str">
        <f>IF(Faturas!E10=0,"",Faturas!E10)</f>
        <v/>
      </c>
      <c r="E9" s="338"/>
      <c r="F9" s="339"/>
      <c r="G9" s="339"/>
      <c r="H9" s="339"/>
      <c r="I9" s="339"/>
      <c r="J9" s="339"/>
      <c r="K9" s="339" t="str">
        <f t="shared" si="1"/>
        <v/>
      </c>
      <c r="L9" s="339" t="str">
        <f t="shared" si="1"/>
        <v/>
      </c>
      <c r="M9" s="339" t="str">
        <f t="shared" si="1"/>
        <v/>
      </c>
      <c r="N9" s="339" t="str">
        <f t="shared" si="1"/>
        <v/>
      </c>
      <c r="O9" s="339" t="str">
        <f t="shared" si="2"/>
        <v/>
      </c>
      <c r="P9" s="227"/>
    </row>
    <row r="10" spans="1:56" hidden="1" outlineLevel="1" x14ac:dyDescent="0.25">
      <c r="A10" s="12">
        <v>5</v>
      </c>
      <c r="B10" s="343" t="str">
        <f>IF(Faturas!C11=0,"",Faturas!C11)</f>
        <v/>
      </c>
      <c r="C10" s="346">
        <v>0</v>
      </c>
      <c r="D10" s="1219" t="str">
        <f>IF(Faturas!E11=0,"",Faturas!E11)</f>
        <v/>
      </c>
      <c r="E10" s="338"/>
      <c r="F10" s="339"/>
      <c r="G10" s="339"/>
      <c r="H10" s="339"/>
      <c r="I10" s="339"/>
      <c r="J10" s="339"/>
      <c r="K10" s="339" t="str">
        <f t="shared" si="1"/>
        <v/>
      </c>
      <c r="L10" s="339" t="str">
        <f t="shared" si="1"/>
        <v/>
      </c>
      <c r="M10" s="339" t="str">
        <f t="shared" si="1"/>
        <v/>
      </c>
      <c r="N10" s="339" t="str">
        <f t="shared" si="1"/>
        <v/>
      </c>
      <c r="O10" s="339" t="str">
        <f t="shared" si="2"/>
        <v/>
      </c>
      <c r="P10" s="227"/>
    </row>
    <row r="11" spans="1:56" hidden="1" outlineLevel="1" x14ac:dyDescent="0.25">
      <c r="A11" s="12">
        <v>6</v>
      </c>
      <c r="B11" s="343" t="str">
        <f>IF(Faturas!C12=0,"",Faturas!C12)</f>
        <v/>
      </c>
      <c r="C11" s="346">
        <v>0</v>
      </c>
      <c r="D11" s="1219" t="str">
        <f>IF(Faturas!E12=0,"",Faturas!E12)</f>
        <v/>
      </c>
      <c r="E11" s="338"/>
      <c r="F11" s="339"/>
      <c r="G11" s="339"/>
      <c r="H11" s="339"/>
      <c r="I11" s="339"/>
      <c r="J11" s="339"/>
      <c r="K11" s="339" t="str">
        <f t="shared" si="1"/>
        <v/>
      </c>
      <c r="L11" s="339" t="str">
        <f t="shared" si="1"/>
        <v/>
      </c>
      <c r="M11" s="339" t="str">
        <f t="shared" si="1"/>
        <v/>
      </c>
      <c r="N11" s="339" t="str">
        <f t="shared" si="1"/>
        <v/>
      </c>
      <c r="O11" s="339" t="str">
        <f t="shared" si="2"/>
        <v/>
      </c>
      <c r="P11" s="227"/>
    </row>
    <row r="12" spans="1:56" hidden="1" outlineLevel="1" x14ac:dyDescent="0.25">
      <c r="A12" s="12">
        <v>7</v>
      </c>
      <c r="B12" s="343" t="str">
        <f>IF(Faturas!C13=0,"",Faturas!C13)</f>
        <v/>
      </c>
      <c r="C12" s="346">
        <v>0</v>
      </c>
      <c r="D12" s="1219" t="str">
        <f>IF(Faturas!E13=0,"",Faturas!E13)</f>
        <v/>
      </c>
      <c r="E12" s="338"/>
      <c r="F12" s="339"/>
      <c r="G12" s="339"/>
      <c r="H12" s="339"/>
      <c r="I12" s="339"/>
      <c r="J12" s="339"/>
      <c r="K12" s="339" t="str">
        <f t="shared" si="1"/>
        <v/>
      </c>
      <c r="L12" s="339" t="str">
        <f t="shared" si="1"/>
        <v/>
      </c>
      <c r="M12" s="339" t="str">
        <f t="shared" si="1"/>
        <v/>
      </c>
      <c r="N12" s="339" t="str">
        <f t="shared" si="1"/>
        <v/>
      </c>
      <c r="O12" s="339" t="str">
        <f t="shared" si="2"/>
        <v/>
      </c>
      <c r="P12" s="227"/>
    </row>
    <row r="13" spans="1:56" hidden="1" outlineLevel="1" x14ac:dyDescent="0.25">
      <c r="A13" s="12">
        <v>8</v>
      </c>
      <c r="B13" s="343" t="str">
        <f>IF(Faturas!C14=0,"",Faturas!C14)</f>
        <v/>
      </c>
      <c r="C13" s="346">
        <v>0</v>
      </c>
      <c r="D13" s="1219" t="str">
        <f>IF(Faturas!E14=0,"",Faturas!E14)</f>
        <v/>
      </c>
      <c r="E13" s="338"/>
      <c r="F13" s="339"/>
      <c r="G13" s="339"/>
      <c r="H13" s="339"/>
      <c r="I13" s="339"/>
      <c r="J13" s="339"/>
      <c r="K13" s="339" t="str">
        <f t="shared" si="1"/>
        <v/>
      </c>
      <c r="L13" s="339" t="str">
        <f t="shared" si="1"/>
        <v/>
      </c>
      <c r="M13" s="339" t="str">
        <f t="shared" si="1"/>
        <v/>
      </c>
      <c r="N13" s="339" t="str">
        <f t="shared" si="1"/>
        <v/>
      </c>
      <c r="O13" s="339" t="str">
        <f t="shared" si="2"/>
        <v/>
      </c>
      <c r="P13" s="227"/>
    </row>
    <row r="14" spans="1:56" hidden="1" outlineLevel="1" x14ac:dyDescent="0.25">
      <c r="A14" s="12">
        <v>9</v>
      </c>
      <c r="B14" s="343" t="str">
        <f>IF(Faturas!C15=0,"",Faturas!C15)</f>
        <v/>
      </c>
      <c r="C14" s="346">
        <v>0</v>
      </c>
      <c r="D14" s="1219" t="str">
        <f>IF(Faturas!E15=0,"",Faturas!E15)</f>
        <v/>
      </c>
      <c r="E14" s="338"/>
      <c r="F14" s="339"/>
      <c r="G14" s="339"/>
      <c r="H14" s="339"/>
      <c r="I14" s="339"/>
      <c r="J14" s="339"/>
      <c r="K14" s="339" t="str">
        <f t="shared" si="1"/>
        <v/>
      </c>
      <c r="L14" s="339" t="str">
        <f t="shared" si="1"/>
        <v/>
      </c>
      <c r="M14" s="339" t="str">
        <f t="shared" si="1"/>
        <v/>
      </c>
      <c r="N14" s="339" t="str">
        <f t="shared" si="1"/>
        <v/>
      </c>
      <c r="O14" s="339" t="str">
        <f t="shared" si="2"/>
        <v/>
      </c>
      <c r="P14" s="227"/>
    </row>
    <row r="15" spans="1:56" hidden="1" outlineLevel="1" x14ac:dyDescent="0.25">
      <c r="A15" s="12">
        <v>10</v>
      </c>
      <c r="B15" s="343" t="str">
        <f>IF(Faturas!C16=0,"",Faturas!C16)</f>
        <v/>
      </c>
      <c r="C15" s="346">
        <v>0</v>
      </c>
      <c r="D15" s="1219" t="str">
        <f>IF(Faturas!E16=0,"",Faturas!E16)</f>
        <v/>
      </c>
      <c r="E15" s="338"/>
      <c r="F15" s="339"/>
      <c r="G15" s="339"/>
      <c r="H15" s="339"/>
      <c r="I15" s="339"/>
      <c r="J15" s="339"/>
      <c r="K15" s="339" t="str">
        <f t="shared" si="1"/>
        <v/>
      </c>
      <c r="L15" s="339" t="str">
        <f t="shared" si="1"/>
        <v/>
      </c>
      <c r="M15" s="339" t="str">
        <f t="shared" si="1"/>
        <v/>
      </c>
      <c r="N15" s="339" t="str">
        <f t="shared" si="1"/>
        <v/>
      </c>
      <c r="O15" s="339" t="str">
        <f t="shared" si="2"/>
        <v/>
      </c>
      <c r="P15" s="227"/>
    </row>
    <row r="16" spans="1:56" hidden="1" outlineLevel="1" x14ac:dyDescent="0.25">
      <c r="A16" s="12">
        <v>11</v>
      </c>
      <c r="B16" s="343" t="str">
        <f>IF(Faturas!C17=0,"",Faturas!C17)</f>
        <v/>
      </c>
      <c r="C16" s="346">
        <v>0</v>
      </c>
      <c r="D16" s="1219" t="str">
        <f>IF(Faturas!E17=0,"",Faturas!E17)</f>
        <v/>
      </c>
      <c r="E16" s="338"/>
      <c r="F16" s="339"/>
      <c r="G16" s="339"/>
      <c r="H16" s="339"/>
      <c r="I16" s="339"/>
      <c r="J16" s="339"/>
      <c r="K16" s="339" t="str">
        <f t="shared" si="1"/>
        <v/>
      </c>
      <c r="L16" s="339" t="str">
        <f t="shared" si="1"/>
        <v/>
      </c>
      <c r="M16" s="339" t="str">
        <f t="shared" si="1"/>
        <v/>
      </c>
      <c r="N16" s="339" t="str">
        <f t="shared" si="1"/>
        <v/>
      </c>
      <c r="O16" s="339" t="str">
        <f t="shared" si="2"/>
        <v/>
      </c>
      <c r="P16" s="227"/>
    </row>
    <row r="17" spans="1:16" hidden="1" outlineLevel="1" x14ac:dyDescent="0.25">
      <c r="A17" s="12">
        <v>12</v>
      </c>
      <c r="B17" s="343" t="str">
        <f>IF(Faturas!C18=0,"",Faturas!C18)</f>
        <v/>
      </c>
      <c r="C17" s="346">
        <v>0</v>
      </c>
      <c r="D17" s="1219" t="str">
        <f>IF(Faturas!E18=0,"",Faturas!E18)</f>
        <v/>
      </c>
      <c r="E17" s="338"/>
      <c r="F17" s="339"/>
      <c r="G17" s="339"/>
      <c r="H17" s="339"/>
      <c r="I17" s="339"/>
      <c r="J17" s="339"/>
      <c r="K17" s="339" t="str">
        <f t="shared" si="1"/>
        <v/>
      </c>
      <c r="L17" s="339" t="str">
        <f t="shared" si="1"/>
        <v/>
      </c>
      <c r="M17" s="339" t="str">
        <f t="shared" si="1"/>
        <v/>
      </c>
      <c r="N17" s="339" t="str">
        <f t="shared" si="1"/>
        <v/>
      </c>
      <c r="O17" s="339" t="str">
        <f t="shared" si="2"/>
        <v/>
      </c>
      <c r="P17" s="227"/>
    </row>
    <row r="18" spans="1:16" hidden="1" outlineLevel="1" x14ac:dyDescent="0.25">
      <c r="A18" s="12">
        <v>13</v>
      </c>
      <c r="B18" s="343" t="str">
        <f>IF(Faturas!C19=0,"",Faturas!C19)</f>
        <v/>
      </c>
      <c r="C18" s="346">
        <v>0</v>
      </c>
      <c r="D18" s="1219" t="str">
        <f>IF(Faturas!E19=0,"",Faturas!E19)</f>
        <v/>
      </c>
      <c r="E18" s="338"/>
      <c r="F18" s="339"/>
      <c r="G18" s="339"/>
      <c r="H18" s="339"/>
      <c r="I18" s="339"/>
      <c r="J18" s="339"/>
      <c r="K18" s="339" t="str">
        <f t="shared" si="1"/>
        <v/>
      </c>
      <c r="L18" s="339" t="str">
        <f t="shared" si="1"/>
        <v/>
      </c>
      <c r="M18" s="339" t="str">
        <f t="shared" si="1"/>
        <v/>
      </c>
      <c r="N18" s="339" t="str">
        <f t="shared" si="1"/>
        <v/>
      </c>
      <c r="O18" s="339" t="str">
        <f t="shared" si="2"/>
        <v/>
      </c>
      <c r="P18" s="227"/>
    </row>
    <row r="19" spans="1:16" hidden="1" outlineLevel="1" x14ac:dyDescent="0.25">
      <c r="A19" s="12">
        <v>14</v>
      </c>
      <c r="B19" s="343" t="str">
        <f>IF(Faturas!C20=0,"",Faturas!C20)</f>
        <v/>
      </c>
      <c r="C19" s="346">
        <v>0</v>
      </c>
      <c r="D19" s="1219" t="str">
        <f>IF(Faturas!E20=0,"",Faturas!E20)</f>
        <v/>
      </c>
      <c r="E19" s="338"/>
      <c r="F19" s="339"/>
      <c r="G19" s="339"/>
      <c r="H19" s="339"/>
      <c r="I19" s="339"/>
      <c r="J19" s="339"/>
      <c r="K19" s="339" t="str">
        <f t="shared" si="1"/>
        <v/>
      </c>
      <c r="L19" s="339" t="str">
        <f t="shared" si="1"/>
        <v/>
      </c>
      <c r="M19" s="339" t="str">
        <f t="shared" si="1"/>
        <v/>
      </c>
      <c r="N19" s="339" t="str">
        <f t="shared" si="1"/>
        <v/>
      </c>
      <c r="O19" s="339" t="str">
        <f t="shared" si="2"/>
        <v/>
      </c>
      <c r="P19" s="227"/>
    </row>
    <row r="20" spans="1:16" hidden="1" outlineLevel="1" x14ac:dyDescent="0.25">
      <c r="A20" s="12">
        <v>15</v>
      </c>
      <c r="B20" s="343" t="str">
        <f>IF(Faturas!C21=0,"",Faturas!C21)</f>
        <v/>
      </c>
      <c r="C20" s="346">
        <v>0</v>
      </c>
      <c r="D20" s="1219" t="str">
        <f>IF(Faturas!E21=0,"",Faturas!E21)</f>
        <v/>
      </c>
      <c r="E20" s="338"/>
      <c r="F20" s="339"/>
      <c r="G20" s="339"/>
      <c r="H20" s="339"/>
      <c r="I20" s="339"/>
      <c r="J20" s="339"/>
      <c r="K20" s="339" t="str">
        <f t="shared" si="1"/>
        <v/>
      </c>
      <c r="L20" s="339" t="str">
        <f t="shared" si="1"/>
        <v/>
      </c>
      <c r="M20" s="339" t="str">
        <f t="shared" si="1"/>
        <v/>
      </c>
      <c r="N20" s="339" t="str">
        <f t="shared" si="1"/>
        <v/>
      </c>
      <c r="O20" s="339" t="str">
        <f t="shared" si="2"/>
        <v/>
      </c>
      <c r="P20" s="227"/>
    </row>
    <row r="21" spans="1:16" hidden="1" outlineLevel="1" x14ac:dyDescent="0.25">
      <c r="A21" s="12">
        <v>16</v>
      </c>
      <c r="B21" s="344" t="str">
        <f>IF(Faturas!C22=0,"",Faturas!C22)</f>
        <v/>
      </c>
      <c r="C21" s="347">
        <v>0</v>
      </c>
      <c r="D21" s="1220" t="str">
        <f>IF(Faturas!E22=0,"",Faturas!E22)</f>
        <v/>
      </c>
      <c r="E21" s="340"/>
      <c r="F21" s="341"/>
      <c r="G21" s="341"/>
      <c r="H21" s="341"/>
      <c r="I21" s="341"/>
      <c r="J21" s="341"/>
      <c r="K21" s="341" t="str">
        <f t="shared" si="1"/>
        <v/>
      </c>
      <c r="L21" s="341" t="str">
        <f t="shared" si="1"/>
        <v/>
      </c>
      <c r="M21" s="341" t="str">
        <f t="shared" si="1"/>
        <v/>
      </c>
      <c r="N21" s="341" t="str">
        <f t="shared" si="1"/>
        <v/>
      </c>
      <c r="O21" s="341" t="str">
        <f t="shared" si="2"/>
        <v/>
      </c>
      <c r="P21" s="227"/>
    </row>
    <row r="22" spans="1:16" collapsed="1" x14ac:dyDescent="0.25">
      <c r="A22" s="12"/>
      <c r="B22" s="359" t="s">
        <v>176</v>
      </c>
      <c r="C22" s="360"/>
      <c r="D22" s="1221">
        <f>SUM(D6:D21)</f>
        <v>0</v>
      </c>
      <c r="E22" s="361">
        <f>SUM(E6:E21)</f>
        <v>0</v>
      </c>
      <c r="F22" s="361">
        <f t="shared" ref="F22:O22" si="3">SUM(F6:F21)</f>
        <v>0</v>
      </c>
      <c r="G22" s="361">
        <f t="shared" si="3"/>
        <v>0</v>
      </c>
      <c r="H22" s="361">
        <f t="shared" si="3"/>
        <v>0</v>
      </c>
      <c r="I22" s="361">
        <f t="shared" si="3"/>
        <v>0</v>
      </c>
      <c r="J22" s="361">
        <f t="shared" si="3"/>
        <v>0</v>
      </c>
      <c r="K22" s="361">
        <f t="shared" si="3"/>
        <v>0</v>
      </c>
      <c r="L22" s="361">
        <f t="shared" si="3"/>
        <v>0</v>
      </c>
      <c r="M22" s="361">
        <f t="shared" si="3"/>
        <v>0</v>
      </c>
      <c r="N22" s="361">
        <f t="shared" si="3"/>
        <v>0</v>
      </c>
      <c r="O22" s="361">
        <f t="shared" si="3"/>
        <v>0</v>
      </c>
      <c r="P22" s="227"/>
    </row>
    <row r="23" spans="1:16" x14ac:dyDescent="0.25">
      <c r="A23" s="12"/>
      <c r="B23" s="244"/>
      <c r="C23" s="237"/>
      <c r="D23" s="238"/>
      <c r="E23" s="239"/>
      <c r="F23" s="240"/>
      <c r="G23" s="240"/>
      <c r="H23" s="240"/>
      <c r="I23" s="240"/>
      <c r="J23" s="240"/>
      <c r="K23" s="240"/>
      <c r="L23" s="241"/>
      <c r="M23" s="241"/>
      <c r="N23" s="241"/>
      <c r="O23" s="240"/>
      <c r="P23" s="227"/>
    </row>
    <row r="24" spans="1:16" x14ac:dyDescent="0.25">
      <c r="A24" s="12"/>
      <c r="B24" s="236" t="s">
        <v>143</v>
      </c>
      <c r="C24" s="245"/>
      <c r="D24" s="246"/>
      <c r="E24" s="242"/>
      <c r="F24" s="243"/>
      <c r="G24" s="243"/>
      <c r="H24" s="243"/>
      <c r="I24" s="243"/>
      <c r="J24" s="243"/>
      <c r="K24" s="243"/>
      <c r="L24" s="247"/>
      <c r="M24" s="247"/>
      <c r="N24" s="247"/>
      <c r="O24" s="243"/>
      <c r="P24" s="227"/>
    </row>
    <row r="25" spans="1:16" s="251" customFormat="1" outlineLevel="1" x14ac:dyDescent="0.25">
      <c r="A25" s="12">
        <v>1</v>
      </c>
      <c r="B25" s="348" t="str">
        <f>IF(Faturas!C26=0,"",Faturas!C26)</f>
        <v>Ativos 2020</v>
      </c>
      <c r="C25" s="351">
        <v>0.25</v>
      </c>
      <c r="D25" s="1219" t="str">
        <f>IF(Faturas!E26=0,"",Faturas!E26)</f>
        <v/>
      </c>
      <c r="E25" s="353"/>
      <c r="F25" s="353"/>
      <c r="G25" s="353"/>
      <c r="H25" s="353"/>
      <c r="I25" s="353"/>
      <c r="J25" s="354"/>
      <c r="K25" s="354">
        <f t="shared" ref="K25:N56" si="4">IF($B25="","",IF($C25=0,0,IF(K$3-$E$3&lt;1/$C25,$D25*$C25,0)))</f>
        <v>0</v>
      </c>
      <c r="L25" s="354">
        <f t="shared" si="4"/>
        <v>0</v>
      </c>
      <c r="M25" s="354">
        <f t="shared" si="4"/>
        <v>0</v>
      </c>
      <c r="N25" s="354">
        <f t="shared" si="4"/>
        <v>0</v>
      </c>
      <c r="O25" s="354" t="e">
        <f t="shared" ref="O25:O59" si="5">IF($B25="","",D25-SUM(E25:N25))</f>
        <v>#VALUE!</v>
      </c>
      <c r="P25" s="250"/>
    </row>
    <row r="26" spans="1:16" outlineLevel="1" x14ac:dyDescent="0.25">
      <c r="A26" s="12">
        <v>2</v>
      </c>
      <c r="B26" s="349" t="str">
        <f>IF(Faturas!C27=0,"",Faturas!C27)</f>
        <v>Ativos 2021</v>
      </c>
      <c r="C26" s="351">
        <v>0.25</v>
      </c>
      <c r="D26" s="1219">
        <f>IF(Faturas!E27=0,"",Faturas!E27)</f>
        <v>40000</v>
      </c>
      <c r="E26" s="355"/>
      <c r="F26" s="1774">
        <f>$D$26*$C$26</f>
        <v>10000</v>
      </c>
      <c r="G26" s="1774">
        <f t="shared" ref="G26:I26" si="6">$D$26*$C$26</f>
        <v>10000</v>
      </c>
      <c r="H26" s="1774">
        <f t="shared" si="6"/>
        <v>10000</v>
      </c>
      <c r="I26" s="1774">
        <f t="shared" si="6"/>
        <v>10000</v>
      </c>
      <c r="J26" s="356"/>
      <c r="K26" s="356">
        <f t="shared" si="4"/>
        <v>0</v>
      </c>
      <c r="L26" s="356">
        <f t="shared" si="4"/>
        <v>0</v>
      </c>
      <c r="M26" s="356">
        <f t="shared" si="4"/>
        <v>0</v>
      </c>
      <c r="N26" s="356">
        <f t="shared" si="4"/>
        <v>0</v>
      </c>
      <c r="O26" s="356">
        <f t="shared" si="5"/>
        <v>0</v>
      </c>
      <c r="P26" s="227"/>
    </row>
    <row r="27" spans="1:16" outlineLevel="1" x14ac:dyDescent="0.25">
      <c r="A27" s="12">
        <v>3</v>
      </c>
      <c r="B27" s="349" t="str">
        <f>IF(Faturas!C28=0,"",Faturas!C28)</f>
        <v>Ativos 2022</v>
      </c>
      <c r="C27" s="351">
        <v>0.25</v>
      </c>
      <c r="D27" s="1219" t="str">
        <f>IF(Faturas!E28=0,"",Faturas!E28)</f>
        <v/>
      </c>
      <c r="E27" s="355"/>
      <c r="F27" s="356"/>
      <c r="G27" s="356"/>
      <c r="H27" s="356"/>
      <c r="I27" s="356"/>
      <c r="J27" s="356"/>
      <c r="K27" s="356">
        <f t="shared" si="4"/>
        <v>0</v>
      </c>
      <c r="L27" s="356">
        <f t="shared" si="4"/>
        <v>0</v>
      </c>
      <c r="M27" s="356">
        <f t="shared" si="4"/>
        <v>0</v>
      </c>
      <c r="N27" s="356">
        <f t="shared" si="4"/>
        <v>0</v>
      </c>
      <c r="O27" s="356" t="e">
        <f t="shared" si="5"/>
        <v>#VALUE!</v>
      </c>
      <c r="P27" s="227"/>
    </row>
    <row r="28" spans="1:16" outlineLevel="1" x14ac:dyDescent="0.25">
      <c r="A28" s="12">
        <v>4</v>
      </c>
      <c r="B28" s="349" t="str">
        <f>IF(Faturas!C29=0,"",Faturas!C29)</f>
        <v/>
      </c>
      <c r="C28" s="351">
        <v>0</v>
      </c>
      <c r="D28" s="1219" t="str">
        <f>IF(Faturas!E29=0,"",Faturas!E29)</f>
        <v/>
      </c>
      <c r="E28" s="355"/>
      <c r="F28" s="356"/>
      <c r="G28" s="356"/>
      <c r="H28" s="356"/>
      <c r="I28" s="356"/>
      <c r="J28" s="356"/>
      <c r="K28" s="356" t="str">
        <f t="shared" si="4"/>
        <v/>
      </c>
      <c r="L28" s="356" t="str">
        <f t="shared" si="4"/>
        <v/>
      </c>
      <c r="M28" s="356" t="str">
        <f t="shared" si="4"/>
        <v/>
      </c>
      <c r="N28" s="356" t="str">
        <f t="shared" si="4"/>
        <v/>
      </c>
      <c r="O28" s="356" t="str">
        <f t="shared" si="5"/>
        <v/>
      </c>
      <c r="P28" s="227"/>
    </row>
    <row r="29" spans="1:16" outlineLevel="1" x14ac:dyDescent="0.25">
      <c r="A29" s="12">
        <v>5</v>
      </c>
      <c r="B29" s="349" t="str">
        <f>IF(Faturas!C30=0,"",Faturas!C30)</f>
        <v/>
      </c>
      <c r="C29" s="351">
        <v>0</v>
      </c>
      <c r="D29" s="1219" t="str">
        <f>IF(Faturas!E30=0,"",Faturas!E30)</f>
        <v/>
      </c>
      <c r="E29" s="355"/>
      <c r="F29" s="356"/>
      <c r="G29" s="356"/>
      <c r="H29" s="356"/>
      <c r="I29" s="356"/>
      <c r="J29" s="356"/>
      <c r="K29" s="356" t="str">
        <f t="shared" si="4"/>
        <v/>
      </c>
      <c r="L29" s="356" t="str">
        <f t="shared" si="4"/>
        <v/>
      </c>
      <c r="M29" s="356" t="str">
        <f t="shared" si="4"/>
        <v/>
      </c>
      <c r="N29" s="356" t="str">
        <f t="shared" si="4"/>
        <v/>
      </c>
      <c r="O29" s="356" t="str">
        <f t="shared" si="5"/>
        <v/>
      </c>
      <c r="P29" s="227"/>
    </row>
    <row r="30" spans="1:16" outlineLevel="1" x14ac:dyDescent="0.25">
      <c r="A30" s="12">
        <v>6</v>
      </c>
      <c r="B30" s="349" t="str">
        <f>IF(Faturas!C31=0,"",Faturas!C31)</f>
        <v/>
      </c>
      <c r="C30" s="351">
        <v>0</v>
      </c>
      <c r="D30" s="1219" t="str">
        <f>IF(Faturas!E31=0,"",Faturas!E31)</f>
        <v/>
      </c>
      <c r="E30" s="355"/>
      <c r="F30" s="356"/>
      <c r="G30" s="356"/>
      <c r="H30" s="356"/>
      <c r="I30" s="356"/>
      <c r="J30" s="356"/>
      <c r="K30" s="356" t="str">
        <f t="shared" si="4"/>
        <v/>
      </c>
      <c r="L30" s="356" t="str">
        <f t="shared" si="4"/>
        <v/>
      </c>
      <c r="M30" s="356" t="str">
        <f t="shared" si="4"/>
        <v/>
      </c>
      <c r="N30" s="356" t="str">
        <f t="shared" si="4"/>
        <v/>
      </c>
      <c r="O30" s="356" t="str">
        <f t="shared" si="5"/>
        <v/>
      </c>
      <c r="P30" s="227"/>
    </row>
    <row r="31" spans="1:16" outlineLevel="1" x14ac:dyDescent="0.25">
      <c r="A31" s="12">
        <v>7</v>
      </c>
      <c r="B31" s="349" t="str">
        <f>IF(Faturas!C32=0,"",Faturas!C32)</f>
        <v/>
      </c>
      <c r="C31" s="351">
        <v>0</v>
      </c>
      <c r="D31" s="1219" t="str">
        <f>IF(Faturas!E32=0,"",Faturas!E32)</f>
        <v/>
      </c>
      <c r="E31" s="355"/>
      <c r="F31" s="356"/>
      <c r="G31" s="356"/>
      <c r="H31" s="356"/>
      <c r="I31" s="356"/>
      <c r="J31" s="356"/>
      <c r="K31" s="356" t="str">
        <f t="shared" si="4"/>
        <v/>
      </c>
      <c r="L31" s="356" t="str">
        <f t="shared" si="4"/>
        <v/>
      </c>
      <c r="M31" s="356" t="str">
        <f t="shared" si="4"/>
        <v/>
      </c>
      <c r="N31" s="356" t="str">
        <f t="shared" si="4"/>
        <v/>
      </c>
      <c r="O31" s="356" t="str">
        <f t="shared" si="5"/>
        <v/>
      </c>
      <c r="P31" s="227"/>
    </row>
    <row r="32" spans="1:16" outlineLevel="1" x14ac:dyDescent="0.25">
      <c r="A32" s="12">
        <v>8</v>
      </c>
      <c r="B32" s="349" t="str">
        <f>IF(Faturas!C33=0,"",Faturas!C33)</f>
        <v/>
      </c>
      <c r="C32" s="351">
        <v>0</v>
      </c>
      <c r="D32" s="1219" t="str">
        <f>IF(Faturas!E33=0,"",Faturas!E33)</f>
        <v/>
      </c>
      <c r="E32" s="355"/>
      <c r="F32" s="356"/>
      <c r="G32" s="356"/>
      <c r="H32" s="356"/>
      <c r="I32" s="356"/>
      <c r="J32" s="356"/>
      <c r="K32" s="356" t="str">
        <f t="shared" si="4"/>
        <v/>
      </c>
      <c r="L32" s="356" t="str">
        <f t="shared" si="4"/>
        <v/>
      </c>
      <c r="M32" s="356" t="str">
        <f t="shared" si="4"/>
        <v/>
      </c>
      <c r="N32" s="356" t="str">
        <f t="shared" si="4"/>
        <v/>
      </c>
      <c r="O32" s="356" t="str">
        <f t="shared" si="5"/>
        <v/>
      </c>
      <c r="P32" s="227"/>
    </row>
    <row r="33" spans="1:16" outlineLevel="1" x14ac:dyDescent="0.25">
      <c r="A33" s="12">
        <v>9</v>
      </c>
      <c r="B33" s="349" t="str">
        <f>IF(Faturas!C34=0,"",Faturas!C34)</f>
        <v/>
      </c>
      <c r="C33" s="351">
        <v>0</v>
      </c>
      <c r="D33" s="1219" t="str">
        <f>IF(Faturas!E34=0,"",Faturas!E34)</f>
        <v/>
      </c>
      <c r="E33" s="355"/>
      <c r="F33" s="356"/>
      <c r="G33" s="356"/>
      <c r="H33" s="356"/>
      <c r="I33" s="356"/>
      <c r="J33" s="356"/>
      <c r="K33" s="356" t="str">
        <f t="shared" si="4"/>
        <v/>
      </c>
      <c r="L33" s="356" t="str">
        <f t="shared" si="4"/>
        <v/>
      </c>
      <c r="M33" s="356" t="str">
        <f t="shared" si="4"/>
        <v/>
      </c>
      <c r="N33" s="356" t="str">
        <f t="shared" si="4"/>
        <v/>
      </c>
      <c r="O33" s="356" t="str">
        <f t="shared" si="5"/>
        <v/>
      </c>
      <c r="P33" s="227"/>
    </row>
    <row r="34" spans="1:16" outlineLevel="1" x14ac:dyDescent="0.25">
      <c r="A34" s="12">
        <v>10</v>
      </c>
      <c r="B34" s="349" t="str">
        <f>IF(Faturas!C35=0,"",Faturas!C35)</f>
        <v/>
      </c>
      <c r="C34" s="351">
        <v>0</v>
      </c>
      <c r="D34" s="1219" t="str">
        <f>IF(Faturas!E35=0,"",Faturas!E35)</f>
        <v/>
      </c>
      <c r="E34" s="355"/>
      <c r="F34" s="356"/>
      <c r="G34" s="356"/>
      <c r="H34" s="356"/>
      <c r="I34" s="356"/>
      <c r="J34" s="356"/>
      <c r="K34" s="356" t="str">
        <f t="shared" si="4"/>
        <v/>
      </c>
      <c r="L34" s="356" t="str">
        <f t="shared" si="4"/>
        <v/>
      </c>
      <c r="M34" s="356" t="str">
        <f t="shared" si="4"/>
        <v/>
      </c>
      <c r="N34" s="356" t="str">
        <f t="shared" si="4"/>
        <v/>
      </c>
      <c r="O34" s="356" t="str">
        <f t="shared" si="5"/>
        <v/>
      </c>
      <c r="P34" s="227"/>
    </row>
    <row r="35" spans="1:16" outlineLevel="1" x14ac:dyDescent="0.25">
      <c r="A35" s="12">
        <v>11</v>
      </c>
      <c r="B35" s="349" t="str">
        <f>IF(Faturas!C36=0,"",Faturas!C36)</f>
        <v/>
      </c>
      <c r="C35" s="351">
        <v>0</v>
      </c>
      <c r="D35" s="1219" t="str">
        <f>IF(Faturas!E36=0,"",Faturas!E36)</f>
        <v/>
      </c>
      <c r="E35" s="355"/>
      <c r="F35" s="356"/>
      <c r="G35" s="356"/>
      <c r="H35" s="356"/>
      <c r="I35" s="356"/>
      <c r="J35" s="356"/>
      <c r="K35" s="356" t="str">
        <f t="shared" si="4"/>
        <v/>
      </c>
      <c r="L35" s="356" t="str">
        <f t="shared" si="4"/>
        <v/>
      </c>
      <c r="M35" s="356" t="str">
        <f t="shared" si="4"/>
        <v/>
      </c>
      <c r="N35" s="356" t="str">
        <f t="shared" si="4"/>
        <v/>
      </c>
      <c r="O35" s="356" t="str">
        <f t="shared" si="5"/>
        <v/>
      </c>
      <c r="P35" s="227"/>
    </row>
    <row r="36" spans="1:16" outlineLevel="1" x14ac:dyDescent="0.25">
      <c r="A36" s="12">
        <v>12</v>
      </c>
      <c r="B36" s="349" t="str">
        <f>IF(Faturas!C37=0,"",Faturas!C37)</f>
        <v/>
      </c>
      <c r="C36" s="351">
        <v>0</v>
      </c>
      <c r="D36" s="1219" t="str">
        <f>IF(Faturas!E37=0,"",Faturas!E37)</f>
        <v/>
      </c>
      <c r="E36" s="355"/>
      <c r="F36" s="356"/>
      <c r="G36" s="356"/>
      <c r="H36" s="356"/>
      <c r="I36" s="356"/>
      <c r="J36" s="356"/>
      <c r="K36" s="356" t="str">
        <f t="shared" si="4"/>
        <v/>
      </c>
      <c r="L36" s="356" t="str">
        <f t="shared" si="4"/>
        <v/>
      </c>
      <c r="M36" s="356" t="str">
        <f t="shared" si="4"/>
        <v/>
      </c>
      <c r="N36" s="356" t="str">
        <f t="shared" si="4"/>
        <v/>
      </c>
      <c r="O36" s="356" t="str">
        <f t="shared" si="5"/>
        <v/>
      </c>
      <c r="P36" s="227"/>
    </row>
    <row r="37" spans="1:16" outlineLevel="1" x14ac:dyDescent="0.25">
      <c r="A37" s="12">
        <v>13</v>
      </c>
      <c r="B37" s="349" t="str">
        <f>IF(Faturas!C38=0,"",Faturas!C38)</f>
        <v/>
      </c>
      <c r="C37" s="351">
        <v>0</v>
      </c>
      <c r="D37" s="1219" t="str">
        <f>IF(Faturas!E38=0,"",Faturas!E38)</f>
        <v/>
      </c>
      <c r="E37" s="355"/>
      <c r="F37" s="356"/>
      <c r="G37" s="356"/>
      <c r="H37" s="356"/>
      <c r="I37" s="356"/>
      <c r="J37" s="356"/>
      <c r="K37" s="356" t="str">
        <f t="shared" si="4"/>
        <v/>
      </c>
      <c r="L37" s="356" t="str">
        <f t="shared" si="4"/>
        <v/>
      </c>
      <c r="M37" s="356" t="str">
        <f t="shared" si="4"/>
        <v/>
      </c>
      <c r="N37" s="356" t="str">
        <f t="shared" si="4"/>
        <v/>
      </c>
      <c r="O37" s="356" t="str">
        <f t="shared" si="5"/>
        <v/>
      </c>
      <c r="P37" s="227"/>
    </row>
    <row r="38" spans="1:16" outlineLevel="1" x14ac:dyDescent="0.25">
      <c r="A38" s="12">
        <v>14</v>
      </c>
      <c r="B38" s="349" t="str">
        <f>IF(Faturas!C39=0,"",Faturas!C39)</f>
        <v/>
      </c>
      <c r="C38" s="351">
        <v>0</v>
      </c>
      <c r="D38" s="1219" t="str">
        <f>IF(Faturas!E39=0,"",Faturas!E39)</f>
        <v/>
      </c>
      <c r="E38" s="355"/>
      <c r="F38" s="356"/>
      <c r="G38" s="356"/>
      <c r="H38" s="356"/>
      <c r="I38" s="356"/>
      <c r="J38" s="356"/>
      <c r="K38" s="356" t="str">
        <f t="shared" si="4"/>
        <v/>
      </c>
      <c r="L38" s="356" t="str">
        <f t="shared" si="4"/>
        <v/>
      </c>
      <c r="M38" s="356" t="str">
        <f t="shared" si="4"/>
        <v/>
      </c>
      <c r="N38" s="356" t="str">
        <f t="shared" si="4"/>
        <v/>
      </c>
      <c r="O38" s="356" t="str">
        <f t="shared" si="5"/>
        <v/>
      </c>
      <c r="P38" s="227"/>
    </row>
    <row r="39" spans="1:16" outlineLevel="1" x14ac:dyDescent="0.25">
      <c r="A39" s="12">
        <v>15</v>
      </c>
      <c r="B39" s="349" t="str">
        <f>IF(Faturas!C40=0,"",Faturas!C40)</f>
        <v/>
      </c>
      <c r="C39" s="351">
        <v>0</v>
      </c>
      <c r="D39" s="1219" t="str">
        <f>IF(Faturas!E40=0,"",Faturas!E40)</f>
        <v/>
      </c>
      <c r="E39" s="355"/>
      <c r="F39" s="356"/>
      <c r="G39" s="356"/>
      <c r="H39" s="356"/>
      <c r="I39" s="356"/>
      <c r="J39" s="356"/>
      <c r="K39" s="356" t="str">
        <f t="shared" si="4"/>
        <v/>
      </c>
      <c r="L39" s="356" t="str">
        <f t="shared" si="4"/>
        <v/>
      </c>
      <c r="M39" s="356" t="str">
        <f t="shared" si="4"/>
        <v/>
      </c>
      <c r="N39" s="356" t="str">
        <f t="shared" si="4"/>
        <v/>
      </c>
      <c r="O39" s="356" t="str">
        <f t="shared" si="5"/>
        <v/>
      </c>
      <c r="P39" s="227"/>
    </row>
    <row r="40" spans="1:16" outlineLevel="1" x14ac:dyDescent="0.25">
      <c r="A40" s="12">
        <v>16</v>
      </c>
      <c r="B40" s="349" t="str">
        <f>IF(Faturas!C41=0,"",Faturas!C41)</f>
        <v/>
      </c>
      <c r="C40" s="351">
        <v>0</v>
      </c>
      <c r="D40" s="1219" t="str">
        <f>IF(Faturas!E41=0,"",Faturas!E41)</f>
        <v/>
      </c>
      <c r="E40" s="355"/>
      <c r="F40" s="356"/>
      <c r="G40" s="356"/>
      <c r="H40" s="356"/>
      <c r="I40" s="356"/>
      <c r="J40" s="356"/>
      <c r="K40" s="356" t="str">
        <f t="shared" si="4"/>
        <v/>
      </c>
      <c r="L40" s="356" t="str">
        <f t="shared" si="4"/>
        <v/>
      </c>
      <c r="M40" s="356" t="str">
        <f t="shared" si="4"/>
        <v/>
      </c>
      <c r="N40" s="356" t="str">
        <f t="shared" si="4"/>
        <v/>
      </c>
      <c r="O40" s="356" t="str">
        <f t="shared" si="5"/>
        <v/>
      </c>
      <c r="P40" s="227"/>
    </row>
    <row r="41" spans="1:16" outlineLevel="1" x14ac:dyDescent="0.25">
      <c r="A41" s="12">
        <v>17</v>
      </c>
      <c r="B41" s="349" t="str">
        <f>IF(Faturas!C42=0,"",Faturas!C42)</f>
        <v/>
      </c>
      <c r="C41" s="351">
        <v>0</v>
      </c>
      <c r="D41" s="1219" t="str">
        <f>IF(Faturas!E42=0,"",Faturas!E42)</f>
        <v/>
      </c>
      <c r="E41" s="355"/>
      <c r="F41" s="356"/>
      <c r="G41" s="356"/>
      <c r="H41" s="356"/>
      <c r="I41" s="356"/>
      <c r="J41" s="356"/>
      <c r="K41" s="356" t="str">
        <f t="shared" si="4"/>
        <v/>
      </c>
      <c r="L41" s="356" t="str">
        <f t="shared" si="4"/>
        <v/>
      </c>
      <c r="M41" s="356" t="str">
        <f t="shared" si="4"/>
        <v/>
      </c>
      <c r="N41" s="356" t="str">
        <f t="shared" si="4"/>
        <v/>
      </c>
      <c r="O41" s="356" t="str">
        <f t="shared" si="5"/>
        <v/>
      </c>
      <c r="P41" s="227"/>
    </row>
    <row r="42" spans="1:16" outlineLevel="1" x14ac:dyDescent="0.25">
      <c r="A42" s="12">
        <v>18</v>
      </c>
      <c r="B42" s="349" t="str">
        <f>IF(Faturas!C43=0,"",Faturas!C43)</f>
        <v/>
      </c>
      <c r="C42" s="351">
        <v>0</v>
      </c>
      <c r="D42" s="1219" t="str">
        <f>IF(Faturas!E43=0,"",Faturas!E43)</f>
        <v/>
      </c>
      <c r="E42" s="355"/>
      <c r="F42" s="356"/>
      <c r="G42" s="356"/>
      <c r="H42" s="356"/>
      <c r="I42" s="356"/>
      <c r="J42" s="356"/>
      <c r="K42" s="356" t="str">
        <f t="shared" si="4"/>
        <v/>
      </c>
      <c r="L42" s="356" t="str">
        <f t="shared" si="4"/>
        <v/>
      </c>
      <c r="M42" s="356" t="str">
        <f t="shared" si="4"/>
        <v/>
      </c>
      <c r="N42" s="356" t="str">
        <f t="shared" si="4"/>
        <v/>
      </c>
      <c r="O42" s="356" t="str">
        <f t="shared" si="5"/>
        <v/>
      </c>
      <c r="P42" s="227"/>
    </row>
    <row r="43" spans="1:16" outlineLevel="1" x14ac:dyDescent="0.25">
      <c r="A43" s="12">
        <v>19</v>
      </c>
      <c r="B43" s="349" t="str">
        <f>IF(Faturas!C44=0,"",Faturas!C44)</f>
        <v/>
      </c>
      <c r="C43" s="351">
        <v>0</v>
      </c>
      <c r="D43" s="1219" t="str">
        <f>IF(Faturas!E44=0,"",Faturas!E44)</f>
        <v/>
      </c>
      <c r="E43" s="355"/>
      <c r="F43" s="356"/>
      <c r="G43" s="356"/>
      <c r="H43" s="356"/>
      <c r="I43" s="356"/>
      <c r="J43" s="356"/>
      <c r="K43" s="356" t="str">
        <f t="shared" si="4"/>
        <v/>
      </c>
      <c r="L43" s="356" t="str">
        <f t="shared" si="4"/>
        <v/>
      </c>
      <c r="M43" s="356" t="str">
        <f t="shared" si="4"/>
        <v/>
      </c>
      <c r="N43" s="356" t="str">
        <f t="shared" si="4"/>
        <v/>
      </c>
      <c r="O43" s="356" t="str">
        <f t="shared" si="5"/>
        <v/>
      </c>
      <c r="P43" s="227"/>
    </row>
    <row r="44" spans="1:16" outlineLevel="1" x14ac:dyDescent="0.25">
      <c r="A44" s="12">
        <v>20</v>
      </c>
      <c r="B44" s="349" t="str">
        <f>IF(Faturas!C45=0,"",Faturas!C45)</f>
        <v/>
      </c>
      <c r="C44" s="351">
        <v>0</v>
      </c>
      <c r="D44" s="1219" t="str">
        <f>IF(Faturas!E45=0,"",Faturas!E45)</f>
        <v/>
      </c>
      <c r="E44" s="355"/>
      <c r="F44" s="356"/>
      <c r="G44" s="356"/>
      <c r="H44" s="356"/>
      <c r="I44" s="356"/>
      <c r="J44" s="356"/>
      <c r="K44" s="356" t="str">
        <f t="shared" si="4"/>
        <v/>
      </c>
      <c r="L44" s="356" t="str">
        <f t="shared" si="4"/>
        <v/>
      </c>
      <c r="M44" s="356" t="str">
        <f t="shared" si="4"/>
        <v/>
      </c>
      <c r="N44" s="356" t="str">
        <f t="shared" si="4"/>
        <v/>
      </c>
      <c r="O44" s="356" t="str">
        <f t="shared" si="5"/>
        <v/>
      </c>
      <c r="P44" s="227"/>
    </row>
    <row r="45" spans="1:16" outlineLevel="1" x14ac:dyDescent="0.25">
      <c r="A45" s="12">
        <v>21</v>
      </c>
      <c r="B45" s="349" t="str">
        <f>IF(Faturas!C46=0,"",Faturas!C46)</f>
        <v/>
      </c>
      <c r="C45" s="351">
        <v>0</v>
      </c>
      <c r="D45" s="1219" t="str">
        <f>IF(Faturas!E46=0,"",Faturas!E46)</f>
        <v/>
      </c>
      <c r="E45" s="355"/>
      <c r="F45" s="356"/>
      <c r="G45" s="356"/>
      <c r="H45" s="356"/>
      <c r="I45" s="356"/>
      <c r="J45" s="356"/>
      <c r="K45" s="356" t="str">
        <f t="shared" si="4"/>
        <v/>
      </c>
      <c r="L45" s="356" t="str">
        <f t="shared" si="4"/>
        <v/>
      </c>
      <c r="M45" s="356" t="str">
        <f t="shared" si="4"/>
        <v/>
      </c>
      <c r="N45" s="356" t="str">
        <f t="shared" si="4"/>
        <v/>
      </c>
      <c r="O45" s="356" t="str">
        <f t="shared" si="5"/>
        <v/>
      </c>
      <c r="P45" s="227"/>
    </row>
    <row r="46" spans="1:16" outlineLevel="1" x14ac:dyDescent="0.25">
      <c r="A46" s="12">
        <v>22</v>
      </c>
      <c r="B46" s="349" t="str">
        <f>IF(Faturas!C47=0,"",Faturas!C47)</f>
        <v/>
      </c>
      <c r="C46" s="351">
        <v>0</v>
      </c>
      <c r="D46" s="1219" t="str">
        <f>IF(Faturas!E47=0,"",Faturas!E47)</f>
        <v/>
      </c>
      <c r="E46" s="355"/>
      <c r="F46" s="356"/>
      <c r="G46" s="356"/>
      <c r="H46" s="356"/>
      <c r="I46" s="356"/>
      <c r="J46" s="356"/>
      <c r="K46" s="356" t="str">
        <f t="shared" si="4"/>
        <v/>
      </c>
      <c r="L46" s="356" t="str">
        <f t="shared" si="4"/>
        <v/>
      </c>
      <c r="M46" s="356" t="str">
        <f t="shared" si="4"/>
        <v/>
      </c>
      <c r="N46" s="356" t="str">
        <f t="shared" si="4"/>
        <v/>
      </c>
      <c r="O46" s="356" t="str">
        <f t="shared" si="5"/>
        <v/>
      </c>
      <c r="P46" s="227"/>
    </row>
    <row r="47" spans="1:16" outlineLevel="1" x14ac:dyDescent="0.25">
      <c r="A47" s="12">
        <v>23</v>
      </c>
      <c r="B47" s="349" t="str">
        <f>IF(Faturas!C48=0,"",Faturas!C48)</f>
        <v/>
      </c>
      <c r="C47" s="351">
        <v>0</v>
      </c>
      <c r="D47" s="1219" t="str">
        <f>IF(Faturas!E48=0,"",Faturas!E48)</f>
        <v/>
      </c>
      <c r="E47" s="355"/>
      <c r="F47" s="356"/>
      <c r="G47" s="356"/>
      <c r="H47" s="356"/>
      <c r="I47" s="356"/>
      <c r="J47" s="356"/>
      <c r="K47" s="356" t="str">
        <f t="shared" si="4"/>
        <v/>
      </c>
      <c r="L47" s="356" t="str">
        <f t="shared" si="4"/>
        <v/>
      </c>
      <c r="M47" s="356" t="str">
        <f t="shared" si="4"/>
        <v/>
      </c>
      <c r="N47" s="356" t="str">
        <f t="shared" si="4"/>
        <v/>
      </c>
      <c r="O47" s="356" t="str">
        <f t="shared" si="5"/>
        <v/>
      </c>
      <c r="P47" s="227"/>
    </row>
    <row r="48" spans="1:16" outlineLevel="1" x14ac:dyDescent="0.25">
      <c r="A48" s="12">
        <v>24</v>
      </c>
      <c r="B48" s="349" t="str">
        <f>IF(Faturas!C49=0,"",Faturas!C49)</f>
        <v/>
      </c>
      <c r="C48" s="351">
        <v>0</v>
      </c>
      <c r="D48" s="1219" t="str">
        <f>IF(Faturas!E49=0,"",Faturas!E49)</f>
        <v/>
      </c>
      <c r="E48" s="355"/>
      <c r="F48" s="356"/>
      <c r="G48" s="356"/>
      <c r="H48" s="356"/>
      <c r="I48" s="356"/>
      <c r="J48" s="356"/>
      <c r="K48" s="356" t="str">
        <f t="shared" si="4"/>
        <v/>
      </c>
      <c r="L48" s="356" t="str">
        <f t="shared" si="4"/>
        <v/>
      </c>
      <c r="M48" s="356" t="str">
        <f t="shared" si="4"/>
        <v/>
      </c>
      <c r="N48" s="356" t="str">
        <f t="shared" si="4"/>
        <v/>
      </c>
      <c r="O48" s="356" t="str">
        <f t="shared" si="5"/>
        <v/>
      </c>
      <c r="P48" s="227"/>
    </row>
    <row r="49" spans="1:16" outlineLevel="1" x14ac:dyDescent="0.25">
      <c r="A49" s="12">
        <v>25</v>
      </c>
      <c r="B49" s="349" t="str">
        <f>IF(Faturas!C50=0,"",Faturas!C50)</f>
        <v/>
      </c>
      <c r="C49" s="351">
        <v>0</v>
      </c>
      <c r="D49" s="1219" t="str">
        <f>IF(Faturas!E50=0,"",Faturas!E50)</f>
        <v/>
      </c>
      <c r="E49" s="355"/>
      <c r="F49" s="356"/>
      <c r="G49" s="356"/>
      <c r="H49" s="356"/>
      <c r="I49" s="356"/>
      <c r="J49" s="356"/>
      <c r="K49" s="356" t="str">
        <f t="shared" si="4"/>
        <v/>
      </c>
      <c r="L49" s="356" t="str">
        <f t="shared" si="4"/>
        <v/>
      </c>
      <c r="M49" s="356" t="str">
        <f t="shared" si="4"/>
        <v/>
      </c>
      <c r="N49" s="356" t="str">
        <f t="shared" si="4"/>
        <v/>
      </c>
      <c r="O49" s="356" t="str">
        <f t="shared" si="5"/>
        <v/>
      </c>
      <c r="P49" s="227"/>
    </row>
    <row r="50" spans="1:16" outlineLevel="1" x14ac:dyDescent="0.25">
      <c r="A50" s="12">
        <v>26</v>
      </c>
      <c r="B50" s="349" t="str">
        <f>IF(Faturas!C51=0,"",Faturas!C51)</f>
        <v/>
      </c>
      <c r="C50" s="351">
        <v>0</v>
      </c>
      <c r="D50" s="1219" t="str">
        <f>IF(Faturas!E51=0,"",Faturas!E51)</f>
        <v/>
      </c>
      <c r="E50" s="355"/>
      <c r="F50" s="356"/>
      <c r="G50" s="356"/>
      <c r="H50" s="356"/>
      <c r="I50" s="356"/>
      <c r="J50" s="356"/>
      <c r="K50" s="356" t="str">
        <f t="shared" si="4"/>
        <v/>
      </c>
      <c r="L50" s="356" t="str">
        <f t="shared" si="4"/>
        <v/>
      </c>
      <c r="M50" s="356" t="str">
        <f t="shared" si="4"/>
        <v/>
      </c>
      <c r="N50" s="356" t="str">
        <f t="shared" si="4"/>
        <v/>
      </c>
      <c r="O50" s="356" t="str">
        <f t="shared" si="5"/>
        <v/>
      </c>
      <c r="P50" s="227"/>
    </row>
    <row r="51" spans="1:16" outlineLevel="1" x14ac:dyDescent="0.25">
      <c r="A51" s="12">
        <v>27</v>
      </c>
      <c r="B51" s="349" t="str">
        <f>IF(Faturas!C52=0,"",Faturas!C52)</f>
        <v/>
      </c>
      <c r="C51" s="351">
        <v>0</v>
      </c>
      <c r="D51" s="1219" t="str">
        <f>IF(Faturas!E52=0,"",Faturas!E52)</f>
        <v/>
      </c>
      <c r="E51" s="355"/>
      <c r="F51" s="356"/>
      <c r="G51" s="356"/>
      <c r="H51" s="356"/>
      <c r="I51" s="356"/>
      <c r="J51" s="356"/>
      <c r="K51" s="356" t="str">
        <f t="shared" si="4"/>
        <v/>
      </c>
      <c r="L51" s="356" t="str">
        <f t="shared" si="4"/>
        <v/>
      </c>
      <c r="M51" s="356" t="str">
        <f t="shared" si="4"/>
        <v/>
      </c>
      <c r="N51" s="356" t="str">
        <f t="shared" si="4"/>
        <v/>
      </c>
      <c r="O51" s="356" t="str">
        <f t="shared" si="5"/>
        <v/>
      </c>
      <c r="P51" s="227"/>
    </row>
    <row r="52" spans="1:16" outlineLevel="1" x14ac:dyDescent="0.25">
      <c r="A52" s="12">
        <v>28</v>
      </c>
      <c r="B52" s="349" t="str">
        <f>IF(Faturas!C53=0,"",Faturas!C53)</f>
        <v/>
      </c>
      <c r="C52" s="351">
        <v>0</v>
      </c>
      <c r="D52" s="1219" t="str">
        <f>IF(Faturas!E53=0,"",Faturas!E53)</f>
        <v/>
      </c>
      <c r="E52" s="355"/>
      <c r="F52" s="356"/>
      <c r="G52" s="356"/>
      <c r="H52" s="356"/>
      <c r="I52" s="356"/>
      <c r="J52" s="356"/>
      <c r="K52" s="356" t="str">
        <f t="shared" si="4"/>
        <v/>
      </c>
      <c r="L52" s="356" t="str">
        <f t="shared" si="4"/>
        <v/>
      </c>
      <c r="M52" s="356" t="str">
        <f t="shared" si="4"/>
        <v/>
      </c>
      <c r="N52" s="356" t="str">
        <f t="shared" si="4"/>
        <v/>
      </c>
      <c r="O52" s="356" t="str">
        <f t="shared" si="5"/>
        <v/>
      </c>
      <c r="P52" s="227"/>
    </row>
    <row r="53" spans="1:16" outlineLevel="1" x14ac:dyDescent="0.25">
      <c r="A53" s="12">
        <v>29</v>
      </c>
      <c r="B53" s="349" t="str">
        <f>IF(Faturas!C54=0,"",Faturas!C54)</f>
        <v/>
      </c>
      <c r="C53" s="351">
        <v>0</v>
      </c>
      <c r="D53" s="1219" t="str">
        <f>IF(Faturas!E54=0,"",Faturas!E54)</f>
        <v/>
      </c>
      <c r="E53" s="355"/>
      <c r="F53" s="356"/>
      <c r="G53" s="356"/>
      <c r="H53" s="356"/>
      <c r="I53" s="356"/>
      <c r="J53" s="356"/>
      <c r="K53" s="356" t="str">
        <f t="shared" si="4"/>
        <v/>
      </c>
      <c r="L53" s="356" t="str">
        <f t="shared" si="4"/>
        <v/>
      </c>
      <c r="M53" s="356" t="str">
        <f t="shared" si="4"/>
        <v/>
      </c>
      <c r="N53" s="356" t="str">
        <f t="shared" si="4"/>
        <v/>
      </c>
      <c r="O53" s="356" t="str">
        <f t="shared" si="5"/>
        <v/>
      </c>
      <c r="P53" s="227"/>
    </row>
    <row r="54" spans="1:16" outlineLevel="1" x14ac:dyDescent="0.25">
      <c r="A54" s="12">
        <v>30</v>
      </c>
      <c r="B54" s="349" t="str">
        <f>IF(Faturas!C55=0,"",Faturas!C55)</f>
        <v/>
      </c>
      <c r="C54" s="351">
        <v>0</v>
      </c>
      <c r="D54" s="1219" t="str">
        <f>IF(Faturas!E55=0,"",Faturas!E55)</f>
        <v/>
      </c>
      <c r="E54" s="355"/>
      <c r="F54" s="356"/>
      <c r="G54" s="356"/>
      <c r="H54" s="356"/>
      <c r="I54" s="356"/>
      <c r="J54" s="356"/>
      <c r="K54" s="356" t="str">
        <f t="shared" si="4"/>
        <v/>
      </c>
      <c r="L54" s="356" t="str">
        <f t="shared" si="4"/>
        <v/>
      </c>
      <c r="M54" s="356" t="str">
        <f t="shared" si="4"/>
        <v/>
      </c>
      <c r="N54" s="356" t="str">
        <f t="shared" si="4"/>
        <v/>
      </c>
      <c r="O54" s="356" t="str">
        <f t="shared" si="5"/>
        <v/>
      </c>
      <c r="P54" s="227"/>
    </row>
    <row r="55" spans="1:16" outlineLevel="1" x14ac:dyDescent="0.25">
      <c r="A55" s="12">
        <v>31</v>
      </c>
      <c r="B55" s="349" t="str">
        <f>IF(Faturas!C56=0,"",Faturas!C56)</f>
        <v/>
      </c>
      <c r="C55" s="351">
        <v>0</v>
      </c>
      <c r="D55" s="1219" t="str">
        <f>IF(Faturas!E56=0,"",Faturas!E56)</f>
        <v/>
      </c>
      <c r="E55" s="355"/>
      <c r="F55" s="356"/>
      <c r="G55" s="356"/>
      <c r="H55" s="356"/>
      <c r="I55" s="356"/>
      <c r="J55" s="356"/>
      <c r="K55" s="356" t="str">
        <f t="shared" si="4"/>
        <v/>
      </c>
      <c r="L55" s="356" t="str">
        <f t="shared" si="4"/>
        <v/>
      </c>
      <c r="M55" s="356" t="str">
        <f t="shared" si="4"/>
        <v/>
      </c>
      <c r="N55" s="356" t="str">
        <f t="shared" si="4"/>
        <v/>
      </c>
      <c r="O55" s="356" t="str">
        <f t="shared" si="5"/>
        <v/>
      </c>
      <c r="P55" s="227"/>
    </row>
    <row r="56" spans="1:16" outlineLevel="1" x14ac:dyDescent="0.25">
      <c r="A56" s="12">
        <v>32</v>
      </c>
      <c r="B56" s="349" t="str">
        <f>IF(Faturas!C57=0,"",Faturas!C57)</f>
        <v/>
      </c>
      <c r="C56" s="351">
        <v>0</v>
      </c>
      <c r="D56" s="1219" t="str">
        <f>IF(Faturas!E57=0,"",Faturas!E57)</f>
        <v/>
      </c>
      <c r="E56" s="355"/>
      <c r="F56" s="356"/>
      <c r="G56" s="356"/>
      <c r="H56" s="356"/>
      <c r="I56" s="356"/>
      <c r="J56" s="356"/>
      <c r="K56" s="356" t="str">
        <f t="shared" si="4"/>
        <v/>
      </c>
      <c r="L56" s="356" t="str">
        <f t="shared" si="4"/>
        <v/>
      </c>
      <c r="M56" s="356" t="str">
        <f t="shared" si="4"/>
        <v/>
      </c>
      <c r="N56" s="356" t="str">
        <f t="shared" si="4"/>
        <v/>
      </c>
      <c r="O56" s="356" t="str">
        <f t="shared" si="5"/>
        <v/>
      </c>
      <c r="P56" s="227"/>
    </row>
    <row r="57" spans="1:16" outlineLevel="1" x14ac:dyDescent="0.25">
      <c r="A57" s="12">
        <v>33</v>
      </c>
      <c r="B57" s="349" t="str">
        <f>IF(Faturas!C58=0,"",Faturas!C58)</f>
        <v/>
      </c>
      <c r="C57" s="351">
        <v>0</v>
      </c>
      <c r="D57" s="1219" t="str">
        <f>IF(Faturas!E58=0,"",Faturas!E58)</f>
        <v/>
      </c>
      <c r="E57" s="355"/>
      <c r="F57" s="356"/>
      <c r="G57" s="356"/>
      <c r="H57" s="356"/>
      <c r="I57" s="356"/>
      <c r="J57" s="356"/>
      <c r="K57" s="356" t="str">
        <f t="shared" ref="K57:N59" si="7">IF($B57="","",IF($C57=0,0,IF(K$3-$E$3&lt;1/$C57,$D57*$C57,0)))</f>
        <v/>
      </c>
      <c r="L57" s="356" t="str">
        <f t="shared" si="7"/>
        <v/>
      </c>
      <c r="M57" s="356" t="str">
        <f t="shared" si="7"/>
        <v/>
      </c>
      <c r="N57" s="356" t="str">
        <f t="shared" si="7"/>
        <v/>
      </c>
      <c r="O57" s="356" t="str">
        <f t="shared" si="5"/>
        <v/>
      </c>
      <c r="P57" s="227"/>
    </row>
    <row r="58" spans="1:16" outlineLevel="1" x14ac:dyDescent="0.25">
      <c r="A58" s="12">
        <v>34</v>
      </c>
      <c r="B58" s="349" t="str">
        <f>IF(Faturas!C59=0,"",Faturas!C59)</f>
        <v/>
      </c>
      <c r="C58" s="351">
        <v>0</v>
      </c>
      <c r="D58" s="1219" t="str">
        <f>IF(Faturas!E59=0,"",Faturas!E59)</f>
        <v/>
      </c>
      <c r="E58" s="355"/>
      <c r="F58" s="356"/>
      <c r="G58" s="356"/>
      <c r="H58" s="356"/>
      <c r="I58" s="356"/>
      <c r="J58" s="356"/>
      <c r="K58" s="356" t="str">
        <f t="shared" si="7"/>
        <v/>
      </c>
      <c r="L58" s="356" t="str">
        <f t="shared" si="7"/>
        <v/>
      </c>
      <c r="M58" s="356" t="str">
        <f t="shared" si="7"/>
        <v/>
      </c>
      <c r="N58" s="356" t="str">
        <f t="shared" si="7"/>
        <v/>
      </c>
      <c r="O58" s="356" t="str">
        <f t="shared" si="5"/>
        <v/>
      </c>
      <c r="P58" s="227"/>
    </row>
    <row r="59" spans="1:16" outlineLevel="1" x14ac:dyDescent="0.25">
      <c r="A59" s="12">
        <v>35</v>
      </c>
      <c r="B59" s="350" t="str">
        <f>IF(Faturas!C60=0,"",Faturas!C60)</f>
        <v/>
      </c>
      <c r="C59" s="352">
        <v>0</v>
      </c>
      <c r="D59" s="1220" t="str">
        <f>IF(Faturas!E60=0,"",Faturas!E60)</f>
        <v/>
      </c>
      <c r="E59" s="357"/>
      <c r="F59" s="358"/>
      <c r="G59" s="358"/>
      <c r="H59" s="358"/>
      <c r="I59" s="358"/>
      <c r="J59" s="358"/>
      <c r="K59" s="358" t="str">
        <f t="shared" si="7"/>
        <v/>
      </c>
      <c r="L59" s="358" t="str">
        <f t="shared" si="7"/>
        <v/>
      </c>
      <c r="M59" s="358" t="str">
        <f t="shared" si="7"/>
        <v/>
      </c>
      <c r="N59" s="358" t="str">
        <f t="shared" si="7"/>
        <v/>
      </c>
      <c r="O59" s="358" t="str">
        <f t="shared" si="5"/>
        <v/>
      </c>
      <c r="P59" s="227"/>
    </row>
    <row r="60" spans="1:16" x14ac:dyDescent="0.25">
      <c r="A60" s="12"/>
      <c r="B60" s="362" t="s">
        <v>177</v>
      </c>
      <c r="C60" s="363"/>
      <c r="D60" s="1222">
        <f>SUM(D25:D59)</f>
        <v>40000</v>
      </c>
      <c r="E60" s="364">
        <f>SUM(E25:E59)</f>
        <v>0</v>
      </c>
      <c r="F60" s="365">
        <f t="shared" ref="F60:O60" si="8">SUM(F25:F59)</f>
        <v>10000</v>
      </c>
      <c r="G60" s="365">
        <f t="shared" si="8"/>
        <v>10000</v>
      </c>
      <c r="H60" s="365">
        <f t="shared" si="8"/>
        <v>10000</v>
      </c>
      <c r="I60" s="365">
        <f t="shared" si="8"/>
        <v>10000</v>
      </c>
      <c r="J60" s="365">
        <f t="shared" si="8"/>
        <v>0</v>
      </c>
      <c r="K60" s="365">
        <f t="shared" si="8"/>
        <v>0</v>
      </c>
      <c r="L60" s="365">
        <f t="shared" si="8"/>
        <v>0</v>
      </c>
      <c r="M60" s="365">
        <f t="shared" si="8"/>
        <v>0</v>
      </c>
      <c r="N60" s="365">
        <f t="shared" si="8"/>
        <v>0</v>
      </c>
      <c r="O60" s="365" t="e">
        <f t="shared" si="8"/>
        <v>#VALUE!</v>
      </c>
      <c r="P60" s="227"/>
    </row>
    <row r="61" spans="1:16" x14ac:dyDescent="0.25">
      <c r="A61" s="12"/>
      <c r="B61" s="252"/>
      <c r="C61" s="374"/>
      <c r="D61" s="253"/>
      <c r="E61" s="248"/>
      <c r="F61" s="249"/>
      <c r="G61" s="249"/>
      <c r="H61" s="249"/>
      <c r="I61" s="249"/>
      <c r="J61" s="249"/>
      <c r="K61" s="249"/>
      <c r="L61" s="254"/>
      <c r="M61" s="254"/>
      <c r="N61" s="254"/>
      <c r="O61" s="249"/>
      <c r="P61" s="227"/>
    </row>
    <row r="62" spans="1:16" x14ac:dyDescent="0.25">
      <c r="A62" s="12"/>
      <c r="B62" s="236" t="s">
        <v>146</v>
      </c>
      <c r="C62" s="375"/>
      <c r="D62" s="246"/>
      <c r="E62" s="242"/>
      <c r="F62" s="243"/>
      <c r="G62" s="243"/>
      <c r="H62" s="243"/>
      <c r="I62" s="243"/>
      <c r="J62" s="243"/>
      <c r="K62" s="243"/>
      <c r="L62" s="247"/>
      <c r="M62" s="247"/>
      <c r="N62" s="247"/>
      <c r="O62" s="243"/>
      <c r="P62" s="227"/>
    </row>
    <row r="63" spans="1:16" s="251" customFormat="1" hidden="1" outlineLevel="1" x14ac:dyDescent="0.25">
      <c r="A63" s="12">
        <v>1</v>
      </c>
      <c r="B63" s="342" t="str">
        <f>IF(Faturas!C64=0,"",Faturas!C64)</f>
        <v/>
      </c>
      <c r="C63" s="369">
        <v>0.3333333</v>
      </c>
      <c r="D63" s="371" t="str">
        <f>IF(Faturas!E64=0,"",Faturas!E64)</f>
        <v/>
      </c>
      <c r="E63" s="353"/>
      <c r="F63" s="354"/>
      <c r="G63" s="354"/>
      <c r="H63" s="354"/>
      <c r="I63" s="354"/>
      <c r="J63" s="354"/>
      <c r="K63" s="354" t="str">
        <f t="shared" ref="K63:N78" si="9">IF($B63="","",IF($C63=0,0,IF(K$3-$E$3&lt;1/$C63,$D63*$C63,0)))</f>
        <v/>
      </c>
      <c r="L63" s="354" t="str">
        <f t="shared" si="9"/>
        <v/>
      </c>
      <c r="M63" s="354" t="str">
        <f t="shared" si="9"/>
        <v/>
      </c>
      <c r="N63" s="354" t="str">
        <f t="shared" si="9"/>
        <v/>
      </c>
      <c r="O63" s="354" t="str">
        <f t="shared" ref="O63:O78" si="10">IF($B63="","",D63-SUM(E63:N63))</f>
        <v/>
      </c>
      <c r="P63" s="250"/>
    </row>
    <row r="64" spans="1:16" s="251" customFormat="1" hidden="1" outlineLevel="1" x14ac:dyDescent="0.25">
      <c r="A64" s="12">
        <v>2</v>
      </c>
      <c r="B64" s="343" t="str">
        <f>IF(Faturas!C65=0,"",Faturas!C65)</f>
        <v/>
      </c>
      <c r="C64" s="369">
        <v>0</v>
      </c>
      <c r="D64" s="372" t="str">
        <f>IF(Faturas!E65=0,"",Faturas!E65)</f>
        <v/>
      </c>
      <c r="E64" s="355"/>
      <c r="F64" s="356"/>
      <c r="G64" s="356"/>
      <c r="H64" s="356"/>
      <c r="I64" s="356"/>
      <c r="J64" s="356"/>
      <c r="K64" s="356" t="str">
        <f t="shared" si="9"/>
        <v/>
      </c>
      <c r="L64" s="356" t="str">
        <f t="shared" si="9"/>
        <v/>
      </c>
      <c r="M64" s="356" t="str">
        <f t="shared" si="9"/>
        <v/>
      </c>
      <c r="N64" s="356" t="str">
        <f t="shared" si="9"/>
        <v/>
      </c>
      <c r="O64" s="356" t="str">
        <f t="shared" si="10"/>
        <v/>
      </c>
      <c r="P64" s="250"/>
    </row>
    <row r="65" spans="1:16" s="251" customFormat="1" hidden="1" outlineLevel="1" x14ac:dyDescent="0.25">
      <c r="A65" s="12">
        <v>3</v>
      </c>
      <c r="B65" s="343" t="str">
        <f>IF(Faturas!C66=0,"",Faturas!C66)</f>
        <v/>
      </c>
      <c r="C65" s="369">
        <v>0</v>
      </c>
      <c r="D65" s="372" t="str">
        <f>IF(Faturas!E66=0,"",Faturas!E66)</f>
        <v/>
      </c>
      <c r="E65" s="355"/>
      <c r="F65" s="356"/>
      <c r="G65" s="356"/>
      <c r="H65" s="356"/>
      <c r="I65" s="356"/>
      <c r="J65" s="356"/>
      <c r="K65" s="356" t="str">
        <f t="shared" si="9"/>
        <v/>
      </c>
      <c r="L65" s="356" t="str">
        <f t="shared" si="9"/>
        <v/>
      </c>
      <c r="M65" s="356" t="str">
        <f t="shared" si="9"/>
        <v/>
      </c>
      <c r="N65" s="356" t="str">
        <f t="shared" si="9"/>
        <v/>
      </c>
      <c r="O65" s="356" t="str">
        <f t="shared" si="10"/>
        <v/>
      </c>
      <c r="P65" s="250"/>
    </row>
    <row r="66" spans="1:16" s="251" customFormat="1" hidden="1" outlineLevel="1" x14ac:dyDescent="0.25">
      <c r="A66" s="12">
        <v>4</v>
      </c>
      <c r="B66" s="343" t="str">
        <f>IF(Faturas!C67=0,"",Faturas!C67)</f>
        <v/>
      </c>
      <c r="C66" s="369">
        <v>0</v>
      </c>
      <c r="D66" s="372" t="str">
        <f>IF(Faturas!E67=0,"",Faturas!E67)</f>
        <v/>
      </c>
      <c r="E66" s="355"/>
      <c r="F66" s="356"/>
      <c r="G66" s="356"/>
      <c r="H66" s="356"/>
      <c r="I66" s="356"/>
      <c r="J66" s="356"/>
      <c r="K66" s="356" t="str">
        <f t="shared" si="9"/>
        <v/>
      </c>
      <c r="L66" s="356" t="str">
        <f t="shared" si="9"/>
        <v/>
      </c>
      <c r="M66" s="356" t="str">
        <f t="shared" si="9"/>
        <v/>
      </c>
      <c r="N66" s="356" t="str">
        <f t="shared" si="9"/>
        <v/>
      </c>
      <c r="O66" s="356" t="str">
        <f t="shared" si="10"/>
        <v/>
      </c>
      <c r="P66" s="250"/>
    </row>
    <row r="67" spans="1:16" s="251" customFormat="1" hidden="1" outlineLevel="1" x14ac:dyDescent="0.25">
      <c r="A67" s="12">
        <v>5</v>
      </c>
      <c r="B67" s="343" t="str">
        <f>IF(Faturas!C68=0,"",Faturas!C68)</f>
        <v/>
      </c>
      <c r="C67" s="369">
        <v>0</v>
      </c>
      <c r="D67" s="372" t="str">
        <f>IF(Faturas!E68=0,"",Faturas!E68)</f>
        <v/>
      </c>
      <c r="E67" s="355"/>
      <c r="F67" s="356"/>
      <c r="G67" s="356"/>
      <c r="H67" s="356"/>
      <c r="I67" s="356"/>
      <c r="J67" s="356"/>
      <c r="K67" s="356" t="str">
        <f t="shared" si="9"/>
        <v/>
      </c>
      <c r="L67" s="356" t="str">
        <f t="shared" si="9"/>
        <v/>
      </c>
      <c r="M67" s="356" t="str">
        <f t="shared" si="9"/>
        <v/>
      </c>
      <c r="N67" s="356" t="str">
        <f t="shared" si="9"/>
        <v/>
      </c>
      <c r="O67" s="356" t="str">
        <f t="shared" si="10"/>
        <v/>
      </c>
      <c r="P67" s="250"/>
    </row>
    <row r="68" spans="1:16" s="251" customFormat="1" hidden="1" outlineLevel="1" x14ac:dyDescent="0.25">
      <c r="A68" s="12">
        <v>6</v>
      </c>
      <c r="B68" s="343" t="str">
        <f>IF(Faturas!C69=0,"",Faturas!C69)</f>
        <v/>
      </c>
      <c r="C68" s="369">
        <v>0</v>
      </c>
      <c r="D68" s="372" t="str">
        <f>IF(Faturas!E69=0,"",Faturas!E69)</f>
        <v/>
      </c>
      <c r="E68" s="355"/>
      <c r="F68" s="356"/>
      <c r="G68" s="356"/>
      <c r="H68" s="356"/>
      <c r="I68" s="356"/>
      <c r="J68" s="356"/>
      <c r="K68" s="356" t="str">
        <f t="shared" si="9"/>
        <v/>
      </c>
      <c r="L68" s="356" t="str">
        <f t="shared" si="9"/>
        <v/>
      </c>
      <c r="M68" s="356" t="str">
        <f t="shared" si="9"/>
        <v/>
      </c>
      <c r="N68" s="356" t="str">
        <f t="shared" si="9"/>
        <v/>
      </c>
      <c r="O68" s="356" t="str">
        <f t="shared" si="10"/>
        <v/>
      </c>
      <c r="P68" s="250"/>
    </row>
    <row r="69" spans="1:16" s="251" customFormat="1" hidden="1" outlineLevel="1" x14ac:dyDescent="0.25">
      <c r="A69" s="12">
        <v>7</v>
      </c>
      <c r="B69" s="343" t="str">
        <f>IF(Faturas!C70=0,"",Faturas!C70)</f>
        <v/>
      </c>
      <c r="C69" s="369">
        <v>0</v>
      </c>
      <c r="D69" s="372" t="str">
        <f>IF(Faturas!E70=0,"",Faturas!E70)</f>
        <v/>
      </c>
      <c r="E69" s="355"/>
      <c r="F69" s="356"/>
      <c r="G69" s="356"/>
      <c r="H69" s="356"/>
      <c r="I69" s="356"/>
      <c r="J69" s="356"/>
      <c r="K69" s="356" t="str">
        <f t="shared" si="9"/>
        <v/>
      </c>
      <c r="L69" s="356" t="str">
        <f t="shared" si="9"/>
        <v/>
      </c>
      <c r="M69" s="356" t="str">
        <f t="shared" si="9"/>
        <v/>
      </c>
      <c r="N69" s="356" t="str">
        <f t="shared" si="9"/>
        <v/>
      </c>
      <c r="O69" s="356" t="str">
        <f t="shared" si="10"/>
        <v/>
      </c>
      <c r="P69" s="250"/>
    </row>
    <row r="70" spans="1:16" s="251" customFormat="1" hidden="1" outlineLevel="1" x14ac:dyDescent="0.25">
      <c r="A70" s="12">
        <v>8</v>
      </c>
      <c r="B70" s="343" t="str">
        <f>IF(Faturas!C71=0,"",Faturas!C71)</f>
        <v/>
      </c>
      <c r="C70" s="369">
        <v>0</v>
      </c>
      <c r="D70" s="372" t="str">
        <f>IF(Faturas!E71=0,"",Faturas!E71)</f>
        <v/>
      </c>
      <c r="E70" s="355"/>
      <c r="F70" s="356"/>
      <c r="G70" s="356"/>
      <c r="H70" s="356"/>
      <c r="I70" s="356"/>
      <c r="J70" s="356"/>
      <c r="K70" s="356" t="str">
        <f t="shared" si="9"/>
        <v/>
      </c>
      <c r="L70" s="356" t="str">
        <f t="shared" si="9"/>
        <v/>
      </c>
      <c r="M70" s="356" t="str">
        <f t="shared" si="9"/>
        <v/>
      </c>
      <c r="N70" s="356" t="str">
        <f t="shared" si="9"/>
        <v/>
      </c>
      <c r="O70" s="356" t="str">
        <f t="shared" si="10"/>
        <v/>
      </c>
      <c r="P70" s="250"/>
    </row>
    <row r="71" spans="1:16" s="251" customFormat="1" hidden="1" outlineLevel="1" x14ac:dyDescent="0.25">
      <c r="A71" s="12">
        <v>9</v>
      </c>
      <c r="B71" s="343" t="str">
        <f>IF(Faturas!C72=0,"",Faturas!C72)</f>
        <v/>
      </c>
      <c r="C71" s="369">
        <v>0</v>
      </c>
      <c r="D71" s="372" t="str">
        <f>IF(Faturas!E72=0,"",Faturas!E72)</f>
        <v/>
      </c>
      <c r="E71" s="355"/>
      <c r="F71" s="356"/>
      <c r="G71" s="356"/>
      <c r="H71" s="356"/>
      <c r="I71" s="356"/>
      <c r="J71" s="356"/>
      <c r="K71" s="356" t="str">
        <f t="shared" si="9"/>
        <v/>
      </c>
      <c r="L71" s="356" t="str">
        <f t="shared" si="9"/>
        <v/>
      </c>
      <c r="M71" s="356" t="str">
        <f t="shared" si="9"/>
        <v/>
      </c>
      <c r="N71" s="356" t="str">
        <f t="shared" si="9"/>
        <v/>
      </c>
      <c r="O71" s="356" t="str">
        <f t="shared" si="10"/>
        <v/>
      </c>
      <c r="P71" s="250"/>
    </row>
    <row r="72" spans="1:16" s="251" customFormat="1" hidden="1" outlineLevel="1" x14ac:dyDescent="0.25">
      <c r="A72" s="12">
        <v>10</v>
      </c>
      <c r="B72" s="343" t="str">
        <f>IF(Faturas!C73=0,"",Faturas!C73)</f>
        <v/>
      </c>
      <c r="C72" s="369">
        <v>0</v>
      </c>
      <c r="D72" s="372" t="str">
        <f>IF(Faturas!E73=0,"",Faturas!E73)</f>
        <v/>
      </c>
      <c r="E72" s="355"/>
      <c r="F72" s="356"/>
      <c r="G72" s="356"/>
      <c r="H72" s="356"/>
      <c r="I72" s="356"/>
      <c r="J72" s="356"/>
      <c r="K72" s="356" t="str">
        <f t="shared" si="9"/>
        <v/>
      </c>
      <c r="L72" s="356" t="str">
        <f t="shared" si="9"/>
        <v/>
      </c>
      <c r="M72" s="356" t="str">
        <f t="shared" si="9"/>
        <v/>
      </c>
      <c r="N72" s="356" t="str">
        <f t="shared" si="9"/>
        <v/>
      </c>
      <c r="O72" s="356" t="str">
        <f t="shared" si="10"/>
        <v/>
      </c>
      <c r="P72" s="250"/>
    </row>
    <row r="73" spans="1:16" s="251" customFormat="1" hidden="1" outlineLevel="1" x14ac:dyDescent="0.25">
      <c r="A73" s="12">
        <v>11</v>
      </c>
      <c r="B73" s="343" t="str">
        <f>IF(Faturas!C74=0,"",Faturas!C74)</f>
        <v/>
      </c>
      <c r="C73" s="369">
        <v>0</v>
      </c>
      <c r="D73" s="372" t="str">
        <f>IF(Faturas!E74=0,"",Faturas!E74)</f>
        <v/>
      </c>
      <c r="E73" s="355"/>
      <c r="F73" s="356"/>
      <c r="G73" s="356"/>
      <c r="H73" s="356"/>
      <c r="I73" s="356"/>
      <c r="J73" s="356"/>
      <c r="K73" s="356" t="str">
        <f t="shared" si="9"/>
        <v/>
      </c>
      <c r="L73" s="356" t="str">
        <f t="shared" si="9"/>
        <v/>
      </c>
      <c r="M73" s="356" t="str">
        <f t="shared" si="9"/>
        <v/>
      </c>
      <c r="N73" s="356" t="str">
        <f t="shared" si="9"/>
        <v/>
      </c>
      <c r="O73" s="356" t="str">
        <f t="shared" si="10"/>
        <v/>
      </c>
      <c r="P73" s="250"/>
    </row>
    <row r="74" spans="1:16" s="251" customFormat="1" hidden="1" outlineLevel="1" x14ac:dyDescent="0.25">
      <c r="A74" s="12">
        <v>12</v>
      </c>
      <c r="B74" s="343" t="str">
        <f>IF(Faturas!C75=0,"",Faturas!C75)</f>
        <v/>
      </c>
      <c r="C74" s="369">
        <v>0</v>
      </c>
      <c r="D74" s="372" t="str">
        <f>IF(Faturas!E75=0,"",Faturas!E75)</f>
        <v/>
      </c>
      <c r="E74" s="355"/>
      <c r="F74" s="356"/>
      <c r="G74" s="356"/>
      <c r="H74" s="356"/>
      <c r="I74" s="356"/>
      <c r="J74" s="356"/>
      <c r="K74" s="356" t="str">
        <f t="shared" si="9"/>
        <v/>
      </c>
      <c r="L74" s="356" t="str">
        <f t="shared" si="9"/>
        <v/>
      </c>
      <c r="M74" s="356" t="str">
        <f t="shared" si="9"/>
        <v/>
      </c>
      <c r="N74" s="356" t="str">
        <f t="shared" si="9"/>
        <v/>
      </c>
      <c r="O74" s="356" t="str">
        <f t="shared" si="10"/>
        <v/>
      </c>
      <c r="P74" s="250"/>
    </row>
    <row r="75" spans="1:16" s="251" customFormat="1" hidden="1" outlineLevel="1" x14ac:dyDescent="0.25">
      <c r="A75" s="12">
        <v>13</v>
      </c>
      <c r="B75" s="343" t="str">
        <f>IF(Faturas!C76=0,"",Faturas!C76)</f>
        <v/>
      </c>
      <c r="C75" s="369">
        <v>0</v>
      </c>
      <c r="D75" s="372" t="str">
        <f>IF(Faturas!E76=0,"",Faturas!E76)</f>
        <v/>
      </c>
      <c r="E75" s="355"/>
      <c r="F75" s="356"/>
      <c r="G75" s="356"/>
      <c r="H75" s="356"/>
      <c r="I75" s="356"/>
      <c r="J75" s="356"/>
      <c r="K75" s="356" t="str">
        <f t="shared" si="9"/>
        <v/>
      </c>
      <c r="L75" s="356" t="str">
        <f t="shared" si="9"/>
        <v/>
      </c>
      <c r="M75" s="356" t="str">
        <f t="shared" si="9"/>
        <v/>
      </c>
      <c r="N75" s="356" t="str">
        <f t="shared" si="9"/>
        <v/>
      </c>
      <c r="O75" s="356" t="str">
        <f t="shared" si="10"/>
        <v/>
      </c>
      <c r="P75" s="250"/>
    </row>
    <row r="76" spans="1:16" s="251" customFormat="1" hidden="1" outlineLevel="1" x14ac:dyDescent="0.25">
      <c r="A76" s="12">
        <v>14</v>
      </c>
      <c r="B76" s="343" t="str">
        <f>IF(Faturas!C77=0,"",Faturas!C77)</f>
        <v/>
      </c>
      <c r="C76" s="369">
        <v>0</v>
      </c>
      <c r="D76" s="372" t="str">
        <f>IF(Faturas!E77=0,"",Faturas!E77)</f>
        <v/>
      </c>
      <c r="E76" s="355"/>
      <c r="F76" s="356"/>
      <c r="G76" s="356"/>
      <c r="H76" s="356"/>
      <c r="I76" s="356"/>
      <c r="J76" s="356"/>
      <c r="K76" s="356" t="str">
        <f t="shared" si="9"/>
        <v/>
      </c>
      <c r="L76" s="356" t="str">
        <f t="shared" si="9"/>
        <v/>
      </c>
      <c r="M76" s="356" t="str">
        <f t="shared" si="9"/>
        <v/>
      </c>
      <c r="N76" s="356" t="str">
        <f t="shared" si="9"/>
        <v/>
      </c>
      <c r="O76" s="356" t="str">
        <f t="shared" si="10"/>
        <v/>
      </c>
      <c r="P76" s="250"/>
    </row>
    <row r="77" spans="1:16" s="251" customFormat="1" hidden="1" outlineLevel="1" x14ac:dyDescent="0.25">
      <c r="A77" s="12">
        <v>15</v>
      </c>
      <c r="B77" s="343" t="str">
        <f>IF(Faturas!C78=0,"",Faturas!C78)</f>
        <v/>
      </c>
      <c r="C77" s="369">
        <v>0</v>
      </c>
      <c r="D77" s="372" t="str">
        <f>IF(Faturas!E78=0,"",Faturas!E78)</f>
        <v/>
      </c>
      <c r="E77" s="355"/>
      <c r="F77" s="356"/>
      <c r="G77" s="356"/>
      <c r="H77" s="356"/>
      <c r="I77" s="356"/>
      <c r="J77" s="356"/>
      <c r="K77" s="356" t="str">
        <f t="shared" si="9"/>
        <v/>
      </c>
      <c r="L77" s="356" t="str">
        <f t="shared" si="9"/>
        <v/>
      </c>
      <c r="M77" s="356" t="str">
        <f t="shared" si="9"/>
        <v/>
      </c>
      <c r="N77" s="356" t="str">
        <f t="shared" si="9"/>
        <v/>
      </c>
      <c r="O77" s="356" t="str">
        <f t="shared" si="10"/>
        <v/>
      </c>
      <c r="P77" s="250"/>
    </row>
    <row r="78" spans="1:16" s="251" customFormat="1" hidden="1" outlineLevel="1" x14ac:dyDescent="0.25">
      <c r="A78" s="12">
        <v>16</v>
      </c>
      <c r="B78" s="344" t="str">
        <f>IF(Faturas!C79=0,"",Faturas!C79)</f>
        <v/>
      </c>
      <c r="C78" s="370">
        <v>0</v>
      </c>
      <c r="D78" s="373" t="str">
        <f>IF(Faturas!E79=0,"",Faturas!E79)</f>
        <v/>
      </c>
      <c r="E78" s="357"/>
      <c r="F78" s="358"/>
      <c r="G78" s="358"/>
      <c r="H78" s="358"/>
      <c r="I78" s="358"/>
      <c r="J78" s="358"/>
      <c r="K78" s="358" t="str">
        <f t="shared" si="9"/>
        <v/>
      </c>
      <c r="L78" s="358" t="str">
        <f t="shared" si="9"/>
        <v/>
      </c>
      <c r="M78" s="358" t="str">
        <f t="shared" si="9"/>
        <v/>
      </c>
      <c r="N78" s="358" t="str">
        <f t="shared" si="9"/>
        <v/>
      </c>
      <c r="O78" s="358" t="str">
        <f t="shared" si="10"/>
        <v/>
      </c>
      <c r="P78" s="250"/>
    </row>
    <row r="79" spans="1:16" collapsed="1" x14ac:dyDescent="0.25">
      <c r="A79" s="227"/>
      <c r="B79" s="362" t="s">
        <v>178</v>
      </c>
      <c r="C79" s="376"/>
      <c r="D79" s="1223"/>
      <c r="E79" s="377">
        <f>SUM(E63:E78)</f>
        <v>0</v>
      </c>
      <c r="F79" s="377">
        <f t="shared" ref="F79:O79" si="11">SUM(F63:F78)</f>
        <v>0</v>
      </c>
      <c r="G79" s="377">
        <f t="shared" si="11"/>
        <v>0</v>
      </c>
      <c r="H79" s="377">
        <f t="shared" si="11"/>
        <v>0</v>
      </c>
      <c r="I79" s="377">
        <f t="shared" si="11"/>
        <v>0</v>
      </c>
      <c r="J79" s="377">
        <f t="shared" si="11"/>
        <v>0</v>
      </c>
      <c r="K79" s="377">
        <f t="shared" si="11"/>
        <v>0</v>
      </c>
      <c r="L79" s="377">
        <f t="shared" si="11"/>
        <v>0</v>
      </c>
      <c r="M79" s="377">
        <f t="shared" si="11"/>
        <v>0</v>
      </c>
      <c r="N79" s="377">
        <f t="shared" si="11"/>
        <v>0</v>
      </c>
      <c r="O79" s="377">
        <f t="shared" si="11"/>
        <v>0</v>
      </c>
      <c r="P79" s="227"/>
    </row>
    <row r="80" spans="1:16" x14ac:dyDescent="0.25">
      <c r="A80" s="227"/>
      <c r="B80" s="255"/>
      <c r="C80" s="256"/>
      <c r="D80" s="257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27"/>
    </row>
    <row r="81" spans="1:16" x14ac:dyDescent="0.25">
      <c r="A81" s="12"/>
      <c r="B81" s="258" t="s">
        <v>166</v>
      </c>
      <c r="C81" s="259"/>
      <c r="D81" s="1224"/>
      <c r="E81" s="260">
        <f t="shared" ref="E81:N81" si="12">E3</f>
        <v>2020</v>
      </c>
      <c r="F81" s="260">
        <f t="shared" si="12"/>
        <v>2021</v>
      </c>
      <c r="G81" s="260">
        <f t="shared" si="12"/>
        <v>2022</v>
      </c>
      <c r="H81" s="260">
        <f t="shared" si="12"/>
        <v>2023</v>
      </c>
      <c r="I81" s="260">
        <f t="shared" si="12"/>
        <v>2024</v>
      </c>
      <c r="J81" s="260">
        <f t="shared" si="12"/>
        <v>2025</v>
      </c>
      <c r="K81" s="260">
        <f t="shared" si="12"/>
        <v>2026</v>
      </c>
      <c r="L81" s="260">
        <f t="shared" si="12"/>
        <v>2027</v>
      </c>
      <c r="M81" s="260">
        <f t="shared" si="12"/>
        <v>2028</v>
      </c>
      <c r="N81" s="260">
        <f t="shared" si="12"/>
        <v>2029</v>
      </c>
      <c r="O81" s="260"/>
      <c r="P81" s="227"/>
    </row>
    <row r="82" spans="1:16" x14ac:dyDescent="0.25">
      <c r="A82" s="12"/>
      <c r="B82" s="236"/>
      <c r="C82" s="261"/>
      <c r="D82" s="262"/>
      <c r="E82" s="263"/>
      <c r="F82" s="264"/>
      <c r="G82" s="264"/>
      <c r="H82" s="264"/>
      <c r="I82" s="264"/>
      <c r="J82" s="264"/>
      <c r="K82" s="264"/>
      <c r="L82" s="265"/>
      <c r="M82" s="265"/>
      <c r="N82" s="265"/>
      <c r="O82" s="264"/>
      <c r="P82" s="227"/>
    </row>
    <row r="83" spans="1:16" x14ac:dyDescent="0.25">
      <c r="A83" s="12"/>
      <c r="B83" s="296" t="s">
        <v>167</v>
      </c>
      <c r="C83" s="306"/>
      <c r="D83" s="1225">
        <f>SUM(D84:D86)</f>
        <v>84625.24</v>
      </c>
      <c r="E83" s="305">
        <f t="shared" ref="E83:O83" si="13">SUM(E84:E86)</f>
        <v>0</v>
      </c>
      <c r="F83" s="305">
        <f t="shared" si="13"/>
        <v>0</v>
      </c>
      <c r="G83" s="305">
        <f t="shared" si="13"/>
        <v>0</v>
      </c>
      <c r="H83" s="305">
        <f t="shared" si="13"/>
        <v>0</v>
      </c>
      <c r="I83" s="305">
        <f t="shared" si="13"/>
        <v>0</v>
      </c>
      <c r="J83" s="305">
        <f t="shared" si="13"/>
        <v>0</v>
      </c>
      <c r="K83" s="305">
        <f t="shared" si="13"/>
        <v>0</v>
      </c>
      <c r="L83" s="305">
        <f t="shared" si="13"/>
        <v>0</v>
      </c>
      <c r="M83" s="305">
        <f t="shared" si="13"/>
        <v>0</v>
      </c>
      <c r="N83" s="305">
        <f t="shared" si="13"/>
        <v>0</v>
      </c>
      <c r="O83" s="305">
        <f t="shared" si="13"/>
        <v>84625.24</v>
      </c>
    </row>
    <row r="84" spans="1:16" hidden="1" outlineLevel="1" x14ac:dyDescent="0.25">
      <c r="A84" s="12"/>
      <c r="B84" s="378" t="s">
        <v>168</v>
      </c>
      <c r="C84" s="379"/>
      <c r="D84" s="1226">
        <f>Balanço!E79</f>
        <v>84625.24</v>
      </c>
      <c r="E84" s="380"/>
      <c r="F84" s="381"/>
      <c r="G84" s="381"/>
      <c r="H84" s="381"/>
      <c r="I84" s="381"/>
      <c r="J84" s="381"/>
      <c r="K84" s="381"/>
      <c r="L84" s="382"/>
      <c r="M84" s="382"/>
      <c r="N84" s="382"/>
      <c r="O84" s="381">
        <f>IF($B84="","",D84-SUM(E84:N84))</f>
        <v>84625.24</v>
      </c>
    </row>
    <row r="85" spans="1:16" hidden="1" outlineLevel="1" x14ac:dyDescent="0.25">
      <c r="A85" s="12"/>
      <c r="B85" s="267" t="s">
        <v>169</v>
      </c>
      <c r="C85" s="266"/>
      <c r="D85" s="1227">
        <f>Balanço!E80</f>
        <v>0</v>
      </c>
      <c r="E85" s="269"/>
      <c r="F85" s="270"/>
      <c r="G85" s="270"/>
      <c r="H85" s="270"/>
      <c r="I85" s="270"/>
      <c r="J85" s="270"/>
      <c r="K85" s="270"/>
      <c r="L85" s="383"/>
      <c r="M85" s="383"/>
      <c r="N85" s="383"/>
      <c r="O85" s="270">
        <f t="shared" ref="O85:O86" si="14">IF($B85="","",D85-SUM(E85:N85))</f>
        <v>0</v>
      </c>
    </row>
    <row r="86" spans="1:16" hidden="1" outlineLevel="1" x14ac:dyDescent="0.25">
      <c r="A86" s="12"/>
      <c r="B86" s="385" t="s">
        <v>170</v>
      </c>
      <c r="C86" s="386"/>
      <c r="D86" s="1228">
        <f>Balanço!E81</f>
        <v>0</v>
      </c>
      <c r="E86" s="387"/>
      <c r="F86" s="388"/>
      <c r="G86" s="388"/>
      <c r="H86" s="388"/>
      <c r="I86" s="388"/>
      <c r="J86" s="388"/>
      <c r="K86" s="388"/>
      <c r="L86" s="389"/>
      <c r="M86" s="389"/>
      <c r="N86" s="389"/>
      <c r="O86" s="388">
        <f t="shared" si="14"/>
        <v>0</v>
      </c>
    </row>
    <row r="87" spans="1:16" collapsed="1" x14ac:dyDescent="0.25">
      <c r="A87" s="12"/>
      <c r="B87" s="244"/>
      <c r="C87" s="261"/>
      <c r="D87" s="262"/>
      <c r="E87" s="263"/>
      <c r="F87" s="264"/>
      <c r="G87" s="264"/>
      <c r="H87" s="264"/>
      <c r="I87" s="264"/>
      <c r="J87" s="264"/>
      <c r="K87" s="264"/>
      <c r="L87" s="265"/>
      <c r="M87" s="265"/>
      <c r="N87" s="265"/>
      <c r="O87" s="264"/>
    </row>
    <row r="88" spans="1:16" x14ac:dyDescent="0.25">
      <c r="A88" s="12"/>
      <c r="B88" s="296" t="s">
        <v>171</v>
      </c>
      <c r="C88" s="306"/>
      <c r="D88" s="1229"/>
      <c r="E88" s="302">
        <f>SUM(E89:E91)</f>
        <v>8462.5240000000013</v>
      </c>
      <c r="F88" s="302">
        <f t="shared" ref="F88:O88" si="15">SUM(F89:F91)</f>
        <v>8462.5240000000013</v>
      </c>
      <c r="G88" s="302">
        <f t="shared" si="15"/>
        <v>8462.5240000000013</v>
      </c>
      <c r="H88" s="302">
        <f t="shared" si="15"/>
        <v>8462.5240000000013</v>
      </c>
      <c r="I88" s="302">
        <f t="shared" si="15"/>
        <v>8462.5240000000013</v>
      </c>
      <c r="J88" s="302">
        <f t="shared" si="15"/>
        <v>8462.5240000000013</v>
      </c>
      <c r="K88" s="302">
        <f t="shared" si="15"/>
        <v>8462.5240000000013</v>
      </c>
      <c r="L88" s="302">
        <f t="shared" si="15"/>
        <v>8462.5240000000013</v>
      </c>
      <c r="M88" s="302">
        <f t="shared" si="15"/>
        <v>8462.5240000000013</v>
      </c>
      <c r="N88" s="302">
        <f t="shared" si="15"/>
        <v>8462.5240000000013</v>
      </c>
      <c r="O88" s="302">
        <f t="shared" si="15"/>
        <v>-84625.240000000034</v>
      </c>
    </row>
    <row r="89" spans="1:16" hidden="1" outlineLevel="1" x14ac:dyDescent="0.25">
      <c r="A89" s="12"/>
      <c r="B89" s="391" t="s">
        <v>168</v>
      </c>
      <c r="C89" s="404">
        <v>0.1</v>
      </c>
      <c r="D89" s="1226"/>
      <c r="E89" s="406">
        <f>IF(E$81-$E$81&lt;1/$C89,($D84-$D94)*$C89,0)</f>
        <v>8462.5240000000013</v>
      </c>
      <c r="F89" s="407">
        <f t="shared" ref="F89:N91" si="16">IF(F$81-$E$81&lt;1/$C89,($D84-$D94)*$C89,0)</f>
        <v>8462.5240000000013</v>
      </c>
      <c r="G89" s="407">
        <f t="shared" si="16"/>
        <v>8462.5240000000013</v>
      </c>
      <c r="H89" s="407">
        <f t="shared" si="16"/>
        <v>8462.5240000000013</v>
      </c>
      <c r="I89" s="407">
        <f t="shared" si="16"/>
        <v>8462.5240000000013</v>
      </c>
      <c r="J89" s="407">
        <f t="shared" si="16"/>
        <v>8462.5240000000013</v>
      </c>
      <c r="K89" s="407">
        <f t="shared" si="16"/>
        <v>8462.5240000000013</v>
      </c>
      <c r="L89" s="407">
        <f t="shared" si="16"/>
        <v>8462.5240000000013</v>
      </c>
      <c r="M89" s="407">
        <f t="shared" si="16"/>
        <v>8462.5240000000013</v>
      </c>
      <c r="N89" s="407">
        <f t="shared" si="16"/>
        <v>8462.5240000000013</v>
      </c>
      <c r="O89" s="407">
        <f>IF($B89="","",D89-SUM(E89:N89))</f>
        <v>-84625.240000000034</v>
      </c>
    </row>
    <row r="90" spans="1:16" hidden="1" outlineLevel="1" x14ac:dyDescent="0.25">
      <c r="A90" s="12"/>
      <c r="B90" s="272" t="s">
        <v>169</v>
      </c>
      <c r="C90" s="271">
        <v>0.1</v>
      </c>
      <c r="D90" s="1227"/>
      <c r="E90" s="408">
        <f>IF(E$81-$E$81&lt;1/$C90,($D85-$D95)*$C90,0)</f>
        <v>0</v>
      </c>
      <c r="F90" s="409">
        <f t="shared" si="16"/>
        <v>0</v>
      </c>
      <c r="G90" s="409">
        <f t="shared" si="16"/>
        <v>0</v>
      </c>
      <c r="H90" s="409">
        <f t="shared" si="16"/>
        <v>0</v>
      </c>
      <c r="I90" s="409">
        <f t="shared" si="16"/>
        <v>0</v>
      </c>
      <c r="J90" s="409">
        <f t="shared" si="16"/>
        <v>0</v>
      </c>
      <c r="K90" s="409">
        <f t="shared" si="16"/>
        <v>0</v>
      </c>
      <c r="L90" s="409">
        <f t="shared" si="16"/>
        <v>0</v>
      </c>
      <c r="M90" s="409">
        <f t="shared" si="16"/>
        <v>0</v>
      </c>
      <c r="N90" s="409">
        <f t="shared" si="16"/>
        <v>0</v>
      </c>
      <c r="O90" s="409">
        <f t="shared" ref="O90:O91" si="17">IF($B90="","",D90-SUM(E90:N90))</f>
        <v>0</v>
      </c>
    </row>
    <row r="91" spans="1:16" hidden="1" outlineLevel="1" x14ac:dyDescent="0.25">
      <c r="A91" s="12"/>
      <c r="B91" s="287" t="s">
        <v>170</v>
      </c>
      <c r="C91" s="405">
        <v>0.1</v>
      </c>
      <c r="D91" s="1228"/>
      <c r="E91" s="410">
        <f>IF(E$81-$E$81&lt;1/$C91,($D86-$D96)*$C91,0)</f>
        <v>0</v>
      </c>
      <c r="F91" s="411">
        <f t="shared" si="16"/>
        <v>0</v>
      </c>
      <c r="G91" s="411">
        <f t="shared" si="16"/>
        <v>0</v>
      </c>
      <c r="H91" s="411">
        <f t="shared" si="16"/>
        <v>0</v>
      </c>
      <c r="I91" s="411">
        <f t="shared" si="16"/>
        <v>0</v>
      </c>
      <c r="J91" s="411">
        <f t="shared" si="16"/>
        <v>0</v>
      </c>
      <c r="K91" s="411">
        <f t="shared" si="16"/>
        <v>0</v>
      </c>
      <c r="L91" s="411">
        <f t="shared" si="16"/>
        <v>0</v>
      </c>
      <c r="M91" s="411">
        <f t="shared" si="16"/>
        <v>0</v>
      </c>
      <c r="N91" s="411">
        <f t="shared" si="16"/>
        <v>0</v>
      </c>
      <c r="O91" s="411">
        <f t="shared" si="17"/>
        <v>0</v>
      </c>
    </row>
    <row r="92" spans="1:16" collapsed="1" x14ac:dyDescent="0.25">
      <c r="A92" s="12"/>
      <c r="B92" s="244"/>
      <c r="C92" s="275"/>
      <c r="D92" s="262"/>
      <c r="E92" s="263"/>
      <c r="F92" s="264"/>
      <c r="G92" s="264"/>
      <c r="H92" s="264"/>
      <c r="I92" s="264"/>
      <c r="J92" s="264"/>
      <c r="K92" s="264"/>
      <c r="L92" s="265"/>
      <c r="M92" s="265"/>
      <c r="N92" s="265"/>
      <c r="O92" s="264"/>
    </row>
    <row r="93" spans="1:16" x14ac:dyDescent="0.25">
      <c r="A93" s="12"/>
      <c r="B93" s="296" t="s">
        <v>172</v>
      </c>
      <c r="C93" s="304"/>
      <c r="D93" s="1225">
        <f>SUM(D94:D96)</f>
        <v>0</v>
      </c>
      <c r="E93" s="302">
        <f>SUM(E94:E96)</f>
        <v>8462.5240000000013</v>
      </c>
      <c r="F93" s="303">
        <f t="shared" ref="F93:O93" si="18">SUM(F94:F96)</f>
        <v>16925.048000000003</v>
      </c>
      <c r="G93" s="303">
        <f t="shared" si="18"/>
        <v>25387.572000000004</v>
      </c>
      <c r="H93" s="303">
        <f t="shared" si="18"/>
        <v>33850.096000000005</v>
      </c>
      <c r="I93" s="303">
        <f t="shared" si="18"/>
        <v>42312.62000000001</v>
      </c>
      <c r="J93" s="303">
        <f t="shared" si="18"/>
        <v>50775.144000000015</v>
      </c>
      <c r="K93" s="303">
        <f t="shared" si="18"/>
        <v>59237.66800000002</v>
      </c>
      <c r="L93" s="303">
        <f t="shared" si="18"/>
        <v>67700.192000000025</v>
      </c>
      <c r="M93" s="303">
        <f t="shared" si="18"/>
        <v>76162.716000000029</v>
      </c>
      <c r="N93" s="303">
        <f t="shared" si="18"/>
        <v>84625.240000000034</v>
      </c>
      <c r="O93" s="303">
        <f t="shared" si="18"/>
        <v>-465438.82000000018</v>
      </c>
    </row>
    <row r="94" spans="1:16" hidden="1" outlineLevel="1" x14ac:dyDescent="0.25">
      <c r="A94" s="12"/>
      <c r="B94" s="391" t="s">
        <v>168</v>
      </c>
      <c r="C94" s="392"/>
      <c r="D94" s="1226">
        <f>Balanço!E84</f>
        <v>0</v>
      </c>
      <c r="E94" s="393">
        <f>D94+E89</f>
        <v>8462.5240000000013</v>
      </c>
      <c r="F94" s="394">
        <f t="shared" ref="F94:N96" si="19">E94+F89</f>
        <v>16925.048000000003</v>
      </c>
      <c r="G94" s="394">
        <f t="shared" si="19"/>
        <v>25387.572000000004</v>
      </c>
      <c r="H94" s="394">
        <f t="shared" si="19"/>
        <v>33850.096000000005</v>
      </c>
      <c r="I94" s="394">
        <f t="shared" si="19"/>
        <v>42312.62000000001</v>
      </c>
      <c r="J94" s="394">
        <f t="shared" si="19"/>
        <v>50775.144000000015</v>
      </c>
      <c r="K94" s="394">
        <f t="shared" si="19"/>
        <v>59237.66800000002</v>
      </c>
      <c r="L94" s="394">
        <f t="shared" si="19"/>
        <v>67700.192000000025</v>
      </c>
      <c r="M94" s="394">
        <f t="shared" si="19"/>
        <v>76162.716000000029</v>
      </c>
      <c r="N94" s="394">
        <f t="shared" si="19"/>
        <v>84625.240000000034</v>
      </c>
      <c r="O94" s="394">
        <f>IF($B94="","",D94-SUM(E94:N94))</f>
        <v>-465438.82000000018</v>
      </c>
    </row>
    <row r="95" spans="1:16" hidden="1" outlineLevel="1" x14ac:dyDescent="0.25">
      <c r="A95" s="12"/>
      <c r="B95" s="272" t="s">
        <v>169</v>
      </c>
      <c r="C95" s="276"/>
      <c r="D95" s="1226">
        <f>Balanço!E85</f>
        <v>0</v>
      </c>
      <c r="E95" s="277">
        <f>D95+E90</f>
        <v>0</v>
      </c>
      <c r="F95" s="278">
        <f t="shared" si="19"/>
        <v>0</v>
      </c>
      <c r="G95" s="278">
        <f t="shared" si="19"/>
        <v>0</v>
      </c>
      <c r="H95" s="278">
        <f t="shared" si="19"/>
        <v>0</v>
      </c>
      <c r="I95" s="278">
        <f t="shared" si="19"/>
        <v>0</v>
      </c>
      <c r="J95" s="278">
        <f t="shared" si="19"/>
        <v>0</v>
      </c>
      <c r="K95" s="278">
        <f t="shared" si="19"/>
        <v>0</v>
      </c>
      <c r="L95" s="278">
        <f t="shared" si="19"/>
        <v>0</v>
      </c>
      <c r="M95" s="278">
        <f t="shared" si="19"/>
        <v>0</v>
      </c>
      <c r="N95" s="278">
        <f t="shared" si="19"/>
        <v>0</v>
      </c>
      <c r="O95" s="295">
        <f t="shared" ref="O95:O96" si="20">IF($B95="","",D95-SUM(E95:N95))</f>
        <v>0</v>
      </c>
    </row>
    <row r="96" spans="1:16" hidden="1" outlineLevel="1" x14ac:dyDescent="0.25">
      <c r="A96" s="12"/>
      <c r="B96" s="287" t="s">
        <v>170</v>
      </c>
      <c r="C96" s="287"/>
      <c r="D96" s="1226">
        <f>Balanço!E86</f>
        <v>0</v>
      </c>
      <c r="E96" s="395">
        <f>D96+E91</f>
        <v>0</v>
      </c>
      <c r="F96" s="396">
        <f t="shared" si="19"/>
        <v>0</v>
      </c>
      <c r="G96" s="396">
        <f t="shared" si="19"/>
        <v>0</v>
      </c>
      <c r="H96" s="396">
        <f t="shared" si="19"/>
        <v>0</v>
      </c>
      <c r="I96" s="396">
        <f t="shared" si="19"/>
        <v>0</v>
      </c>
      <c r="J96" s="396">
        <f t="shared" si="19"/>
        <v>0</v>
      </c>
      <c r="K96" s="396">
        <f t="shared" si="19"/>
        <v>0</v>
      </c>
      <c r="L96" s="396">
        <f t="shared" si="19"/>
        <v>0</v>
      </c>
      <c r="M96" s="396">
        <f t="shared" si="19"/>
        <v>0</v>
      </c>
      <c r="N96" s="396">
        <f t="shared" si="19"/>
        <v>0</v>
      </c>
      <c r="O96" s="397">
        <f t="shared" si="20"/>
        <v>0</v>
      </c>
      <c r="P96" s="279"/>
    </row>
    <row r="97" spans="1:17" collapsed="1" x14ac:dyDescent="0.25">
      <c r="A97" s="12"/>
      <c r="B97" s="244"/>
      <c r="C97" s="237"/>
      <c r="D97" s="262"/>
      <c r="E97" s="263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80"/>
    </row>
    <row r="98" spans="1:17" x14ac:dyDescent="0.25">
      <c r="A98" s="12"/>
      <c r="B98" s="296" t="s">
        <v>173</v>
      </c>
      <c r="C98" s="297"/>
      <c r="D98" s="1229"/>
      <c r="E98" s="302">
        <f t="shared" ref="E98:O98" si="21">SUM(E99:E101)</f>
        <v>0</v>
      </c>
      <c r="F98" s="303">
        <f t="shared" si="21"/>
        <v>10000</v>
      </c>
      <c r="G98" s="303">
        <f t="shared" si="21"/>
        <v>10000</v>
      </c>
      <c r="H98" s="303">
        <f t="shared" si="21"/>
        <v>10000</v>
      </c>
      <c r="I98" s="303">
        <f t="shared" si="21"/>
        <v>10000</v>
      </c>
      <c r="J98" s="303">
        <f t="shared" si="21"/>
        <v>0</v>
      </c>
      <c r="K98" s="303">
        <f t="shared" si="21"/>
        <v>0</v>
      </c>
      <c r="L98" s="303">
        <f t="shared" si="21"/>
        <v>0</v>
      </c>
      <c r="M98" s="303">
        <f t="shared" si="21"/>
        <v>0</v>
      </c>
      <c r="N98" s="303">
        <f t="shared" si="21"/>
        <v>0</v>
      </c>
      <c r="O98" s="303">
        <f t="shared" si="21"/>
        <v>-40000</v>
      </c>
      <c r="P98" s="280"/>
    </row>
    <row r="99" spans="1:17" hidden="1" outlineLevel="1" x14ac:dyDescent="0.25">
      <c r="A99" s="12"/>
      <c r="B99" s="391" t="s">
        <v>168</v>
      </c>
      <c r="C99" s="398"/>
      <c r="D99" s="1226"/>
      <c r="E99" s="399">
        <f>SUM(E6:E21)+SUMIF(Faturas!$G$26:$G$60,"Não",E25:E59)</f>
        <v>0</v>
      </c>
      <c r="F99" s="399">
        <f>SUM(F6:F21)+SUMIF(Faturas!$G$26:$G$60,"Não",F25:F59)</f>
        <v>10000</v>
      </c>
      <c r="G99" s="399">
        <f>SUM(G6:G21)+SUMIF(Faturas!$G$26:$G$60,"Não",G25:G59)</f>
        <v>10000</v>
      </c>
      <c r="H99" s="399">
        <f>SUM(H6:H21)+SUMIF(Faturas!$G$26:$G$60,"Não",H25:H59)</f>
        <v>10000</v>
      </c>
      <c r="I99" s="399">
        <f>SUM(I6:I21)+SUMIF(Faturas!$G$26:$G$60,"Não",I25:I59)</f>
        <v>10000</v>
      </c>
      <c r="J99" s="399">
        <f>SUM(J6:J21)+SUMIF(Faturas!$G$26:$G$60,"Não",J25:J59)</f>
        <v>0</v>
      </c>
      <c r="K99" s="399">
        <f>SUM(K6:K21)+SUMIF(Faturas!$G$26:$G$60,"Não",K25:K59)</f>
        <v>0</v>
      </c>
      <c r="L99" s="399">
        <f>SUM(L6:L21)+SUMIF(Faturas!$G$26:$G$60,"Não",L25:L59)</f>
        <v>0</v>
      </c>
      <c r="M99" s="399">
        <f>SUM(M6:M21)+SUMIF(Faturas!$G$26:$G$60,"Não",M25:M59)</f>
        <v>0</v>
      </c>
      <c r="N99" s="399">
        <f>SUM(N6:N21)+SUMIF(Faturas!$G$26:$G$60,"Não",N25:N59)</f>
        <v>0</v>
      </c>
      <c r="O99" s="399">
        <f>IF($B99="","",D99-SUM(E99:N99))</f>
        <v>-40000</v>
      </c>
      <c r="P99" s="280"/>
    </row>
    <row r="100" spans="1:17" hidden="1" outlineLevel="1" x14ac:dyDescent="0.25">
      <c r="A100" s="12"/>
      <c r="B100" s="272" t="s">
        <v>169</v>
      </c>
      <c r="C100" s="281"/>
      <c r="D100" s="1227"/>
      <c r="E100" s="273">
        <f>SUMIF(Faturas!$G$26:$G$60,"Sim",E25:E59)</f>
        <v>0</v>
      </c>
      <c r="F100" s="273">
        <f>SUMIF(Faturas!$G$26:$G$60,"Sim",F25:F59)</f>
        <v>0</v>
      </c>
      <c r="G100" s="273">
        <f>SUMIF(Faturas!$G$26:$G$60,"Sim",G25:G59)</f>
        <v>0</v>
      </c>
      <c r="H100" s="273">
        <f>SUMIF(Faturas!$G$26:$G$60,"Sim",H25:H59)</f>
        <v>0</v>
      </c>
      <c r="I100" s="273">
        <f>SUMIF(Faturas!$G$26:$G$60,"Sim",I25:I59)</f>
        <v>0</v>
      </c>
      <c r="J100" s="273">
        <f>SUMIF(Faturas!$G$26:$G$60,"Sim",J25:J59)</f>
        <v>0</v>
      </c>
      <c r="K100" s="273">
        <f>SUMIF(Faturas!$G$26:$G$60,"Sim",K25:K59)</f>
        <v>0</v>
      </c>
      <c r="L100" s="273">
        <f>SUMIF(Faturas!$G$26:$G$60,"Sim",L25:L59)</f>
        <v>0</v>
      </c>
      <c r="M100" s="273">
        <f>SUMIF(Faturas!$G$26:$G$60,"Sim",M25:M59)</f>
        <v>0</v>
      </c>
      <c r="N100" s="273">
        <f>SUMIF(Faturas!$G$26:$G$60,"Sim",N25:N59)</f>
        <v>0</v>
      </c>
      <c r="O100" s="300">
        <f t="shared" ref="O100:O101" si="22">IF($B100="","",D100-SUM(E100:N100))</f>
        <v>0</v>
      </c>
      <c r="P100" s="280"/>
    </row>
    <row r="101" spans="1:17" hidden="1" outlineLevel="1" x14ac:dyDescent="0.25">
      <c r="A101" s="12"/>
      <c r="B101" s="287" t="s">
        <v>170</v>
      </c>
      <c r="C101" s="288"/>
      <c r="D101" s="1228"/>
      <c r="E101" s="290">
        <f>SUM(E63:E78)</f>
        <v>0</v>
      </c>
      <c r="F101" s="290">
        <f t="shared" ref="F101:N101" si="23">SUM(F63:F78)</f>
        <v>0</v>
      </c>
      <c r="G101" s="290">
        <f t="shared" si="23"/>
        <v>0</v>
      </c>
      <c r="H101" s="290">
        <f t="shared" si="23"/>
        <v>0</v>
      </c>
      <c r="I101" s="290">
        <f t="shared" si="23"/>
        <v>0</v>
      </c>
      <c r="J101" s="290">
        <f t="shared" si="23"/>
        <v>0</v>
      </c>
      <c r="K101" s="290">
        <f t="shared" si="23"/>
        <v>0</v>
      </c>
      <c r="L101" s="290">
        <f t="shared" si="23"/>
        <v>0</v>
      </c>
      <c r="M101" s="290">
        <f t="shared" si="23"/>
        <v>0</v>
      </c>
      <c r="N101" s="290">
        <f t="shared" si="23"/>
        <v>0</v>
      </c>
      <c r="O101" s="400">
        <f t="shared" si="22"/>
        <v>0</v>
      </c>
      <c r="P101" s="280"/>
    </row>
    <row r="102" spans="1:17" collapsed="1" x14ac:dyDescent="0.25">
      <c r="A102" s="12"/>
      <c r="B102" s="244"/>
      <c r="C102" s="237"/>
      <c r="D102" s="262"/>
      <c r="E102" s="263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80"/>
    </row>
    <row r="103" spans="1:17" x14ac:dyDescent="0.25">
      <c r="A103" s="12"/>
      <c r="B103" s="296" t="s">
        <v>174</v>
      </c>
      <c r="C103" s="297"/>
      <c r="D103" s="1229"/>
      <c r="E103" s="302">
        <f t="shared" ref="E103:O103" si="24">SUM(E104:E106)</f>
        <v>0</v>
      </c>
      <c r="F103" s="303">
        <f t="shared" si="24"/>
        <v>10000</v>
      </c>
      <c r="G103" s="303">
        <f t="shared" si="24"/>
        <v>20000</v>
      </c>
      <c r="H103" s="303">
        <f t="shared" si="24"/>
        <v>30000</v>
      </c>
      <c r="I103" s="303">
        <f t="shared" si="24"/>
        <v>40000</v>
      </c>
      <c r="J103" s="303">
        <f t="shared" si="24"/>
        <v>40000</v>
      </c>
      <c r="K103" s="303">
        <f t="shared" si="24"/>
        <v>40000</v>
      </c>
      <c r="L103" s="303">
        <f t="shared" si="24"/>
        <v>40000</v>
      </c>
      <c r="M103" s="303">
        <f t="shared" si="24"/>
        <v>40000</v>
      </c>
      <c r="N103" s="303">
        <f t="shared" si="24"/>
        <v>40000</v>
      </c>
      <c r="O103" s="303">
        <f t="shared" si="24"/>
        <v>-300000</v>
      </c>
      <c r="P103" s="280"/>
    </row>
    <row r="104" spans="1:17" hidden="1" outlineLevel="1" x14ac:dyDescent="0.25">
      <c r="A104" s="12"/>
      <c r="B104" s="391" t="s">
        <v>168</v>
      </c>
      <c r="C104" s="398"/>
      <c r="D104" s="1226"/>
      <c r="E104" s="399">
        <f t="shared" ref="E104:N106" si="25">D104+E99</f>
        <v>0</v>
      </c>
      <c r="F104" s="401">
        <f t="shared" si="25"/>
        <v>10000</v>
      </c>
      <c r="G104" s="401">
        <f t="shared" si="25"/>
        <v>20000</v>
      </c>
      <c r="H104" s="401">
        <f t="shared" si="25"/>
        <v>30000</v>
      </c>
      <c r="I104" s="401">
        <f t="shared" si="25"/>
        <v>40000</v>
      </c>
      <c r="J104" s="401">
        <f t="shared" si="25"/>
        <v>40000</v>
      </c>
      <c r="K104" s="401">
        <f t="shared" si="25"/>
        <v>40000</v>
      </c>
      <c r="L104" s="401">
        <f t="shared" si="25"/>
        <v>40000</v>
      </c>
      <c r="M104" s="401">
        <f t="shared" si="25"/>
        <v>40000</v>
      </c>
      <c r="N104" s="401">
        <f t="shared" si="25"/>
        <v>40000</v>
      </c>
      <c r="O104" s="401">
        <f>IF($B104="","",D104-SUM(E104:N104))</f>
        <v>-300000</v>
      </c>
      <c r="P104" s="280"/>
    </row>
    <row r="105" spans="1:17" hidden="1" outlineLevel="1" x14ac:dyDescent="0.25">
      <c r="A105" s="12"/>
      <c r="B105" s="272" t="s">
        <v>169</v>
      </c>
      <c r="C105" s="281"/>
      <c r="D105" s="1227"/>
      <c r="E105" s="273">
        <f t="shared" si="25"/>
        <v>0</v>
      </c>
      <c r="F105" s="274">
        <f t="shared" si="25"/>
        <v>0</v>
      </c>
      <c r="G105" s="274">
        <f t="shared" si="25"/>
        <v>0</v>
      </c>
      <c r="H105" s="274">
        <f t="shared" si="25"/>
        <v>0</v>
      </c>
      <c r="I105" s="274">
        <f t="shared" si="25"/>
        <v>0</v>
      </c>
      <c r="J105" s="274">
        <f t="shared" si="25"/>
        <v>0</v>
      </c>
      <c r="K105" s="274">
        <f t="shared" si="25"/>
        <v>0</v>
      </c>
      <c r="L105" s="274">
        <f t="shared" si="25"/>
        <v>0</v>
      </c>
      <c r="M105" s="274">
        <f t="shared" si="25"/>
        <v>0</v>
      </c>
      <c r="N105" s="274">
        <f t="shared" si="25"/>
        <v>0</v>
      </c>
      <c r="O105" s="301">
        <f t="shared" ref="O105:O106" si="26">IF($B105="","",D105-SUM(E105:N105))</f>
        <v>0</v>
      </c>
      <c r="P105" s="280"/>
    </row>
    <row r="106" spans="1:17" hidden="1" outlineLevel="1" x14ac:dyDescent="0.25">
      <c r="A106" s="12"/>
      <c r="B106" s="287" t="s">
        <v>170</v>
      </c>
      <c r="C106" s="288"/>
      <c r="D106" s="1228"/>
      <c r="E106" s="290">
        <f t="shared" si="25"/>
        <v>0</v>
      </c>
      <c r="F106" s="291">
        <f t="shared" si="25"/>
        <v>0</v>
      </c>
      <c r="G106" s="291">
        <f t="shared" si="25"/>
        <v>0</v>
      </c>
      <c r="H106" s="291">
        <f t="shared" si="25"/>
        <v>0</v>
      </c>
      <c r="I106" s="291">
        <f t="shared" si="25"/>
        <v>0</v>
      </c>
      <c r="J106" s="291">
        <f t="shared" si="25"/>
        <v>0</v>
      </c>
      <c r="K106" s="291">
        <f t="shared" si="25"/>
        <v>0</v>
      </c>
      <c r="L106" s="291">
        <f t="shared" si="25"/>
        <v>0</v>
      </c>
      <c r="M106" s="291">
        <f t="shared" si="25"/>
        <v>0</v>
      </c>
      <c r="N106" s="291">
        <f t="shared" si="25"/>
        <v>0</v>
      </c>
      <c r="O106" s="402">
        <f t="shared" si="26"/>
        <v>0</v>
      </c>
      <c r="P106" s="280"/>
    </row>
    <row r="107" spans="1:17" collapsed="1" x14ac:dyDescent="0.25">
      <c r="A107" s="12"/>
      <c r="B107" s="282"/>
      <c r="C107" s="283"/>
      <c r="D107" s="284"/>
      <c r="E107" s="285"/>
      <c r="F107" s="286"/>
      <c r="G107" s="286"/>
      <c r="H107" s="286"/>
      <c r="I107" s="286"/>
      <c r="J107" s="286"/>
      <c r="K107" s="286"/>
      <c r="L107" s="286"/>
      <c r="M107" s="286"/>
      <c r="N107" s="286"/>
      <c r="O107" s="286"/>
    </row>
    <row r="108" spans="1:17" s="251" customFormat="1" x14ac:dyDescent="0.25">
      <c r="B108" s="296" t="s">
        <v>175</v>
      </c>
      <c r="C108" s="297"/>
      <c r="D108" s="1230">
        <f>SUM(D109:D111)</f>
        <v>0</v>
      </c>
      <c r="E108" s="298">
        <f>SUM(E109:E111)</f>
        <v>8462.5240000000013</v>
      </c>
      <c r="F108" s="299">
        <f t="shared" ref="F108:O108" si="27">SUM(F109:F111)</f>
        <v>26925.048000000003</v>
      </c>
      <c r="G108" s="299">
        <f t="shared" si="27"/>
        <v>45387.572</v>
      </c>
      <c r="H108" s="299">
        <f t="shared" si="27"/>
        <v>63850.096000000005</v>
      </c>
      <c r="I108" s="299">
        <f t="shared" si="27"/>
        <v>82312.62000000001</v>
      </c>
      <c r="J108" s="299">
        <f t="shared" si="27"/>
        <v>90775.144000000015</v>
      </c>
      <c r="K108" s="299">
        <f t="shared" si="27"/>
        <v>99237.66800000002</v>
      </c>
      <c r="L108" s="299">
        <f t="shared" si="27"/>
        <v>107700.19200000002</v>
      </c>
      <c r="M108" s="299">
        <f t="shared" si="27"/>
        <v>116162.71600000003</v>
      </c>
      <c r="N108" s="299">
        <f t="shared" si="27"/>
        <v>124625.24000000003</v>
      </c>
      <c r="O108" s="299">
        <f t="shared" si="27"/>
        <v>-765438.82000000007</v>
      </c>
      <c r="P108" s="12"/>
      <c r="Q108" s="12"/>
    </row>
    <row r="109" spans="1:17" s="251" customFormat="1" hidden="1" outlineLevel="1" x14ac:dyDescent="0.25">
      <c r="B109" s="292" t="s">
        <v>168</v>
      </c>
      <c r="C109" s="293"/>
      <c r="D109" s="1231">
        <f t="shared" ref="D109:N111" si="28">D94+D104</f>
        <v>0</v>
      </c>
      <c r="E109" s="294">
        <f t="shared" si="28"/>
        <v>8462.5240000000013</v>
      </c>
      <c r="F109" s="295">
        <f t="shared" si="28"/>
        <v>26925.048000000003</v>
      </c>
      <c r="G109" s="295">
        <f t="shared" si="28"/>
        <v>45387.572</v>
      </c>
      <c r="H109" s="295">
        <f t="shared" si="28"/>
        <v>63850.096000000005</v>
      </c>
      <c r="I109" s="295">
        <f t="shared" si="28"/>
        <v>82312.62000000001</v>
      </c>
      <c r="J109" s="295">
        <f t="shared" si="28"/>
        <v>90775.144000000015</v>
      </c>
      <c r="K109" s="295">
        <f t="shared" si="28"/>
        <v>99237.66800000002</v>
      </c>
      <c r="L109" s="295">
        <f t="shared" si="28"/>
        <v>107700.19200000002</v>
      </c>
      <c r="M109" s="295">
        <f t="shared" si="28"/>
        <v>116162.71600000003</v>
      </c>
      <c r="N109" s="295">
        <f t="shared" si="28"/>
        <v>124625.24000000003</v>
      </c>
      <c r="O109" s="295">
        <f>IF($B109="","",D109-SUM(E109:N109))</f>
        <v>-765438.82000000007</v>
      </c>
      <c r="P109" s="12"/>
      <c r="Q109" s="12"/>
    </row>
    <row r="110" spans="1:17" s="251" customFormat="1" hidden="1" outlineLevel="1" x14ac:dyDescent="0.25">
      <c r="B110" s="272" t="s">
        <v>169</v>
      </c>
      <c r="C110" s="281"/>
      <c r="D110" s="1232">
        <f t="shared" si="28"/>
        <v>0</v>
      </c>
      <c r="E110" s="277">
        <f t="shared" si="28"/>
        <v>0</v>
      </c>
      <c r="F110" s="278">
        <f t="shared" si="28"/>
        <v>0</v>
      </c>
      <c r="G110" s="278">
        <f t="shared" si="28"/>
        <v>0</v>
      </c>
      <c r="H110" s="278">
        <f t="shared" si="28"/>
        <v>0</v>
      </c>
      <c r="I110" s="278">
        <f t="shared" si="28"/>
        <v>0</v>
      </c>
      <c r="J110" s="278">
        <f t="shared" si="28"/>
        <v>0</v>
      </c>
      <c r="K110" s="278">
        <f t="shared" si="28"/>
        <v>0</v>
      </c>
      <c r="L110" s="278">
        <f t="shared" si="28"/>
        <v>0</v>
      </c>
      <c r="M110" s="278">
        <f t="shared" si="28"/>
        <v>0</v>
      </c>
      <c r="N110" s="278">
        <f t="shared" si="28"/>
        <v>0</v>
      </c>
      <c r="O110" s="295">
        <f t="shared" ref="O110:O111" si="29">IF($B110="","",D110-SUM(E110:N110))</f>
        <v>0</v>
      </c>
      <c r="P110" s="12"/>
      <c r="Q110" s="12"/>
    </row>
    <row r="111" spans="1:17" s="251" customFormat="1" hidden="1" outlineLevel="1" x14ac:dyDescent="0.25">
      <c r="B111" s="287" t="s">
        <v>170</v>
      </c>
      <c r="C111" s="288"/>
      <c r="D111" s="1228">
        <f t="shared" si="28"/>
        <v>0</v>
      </c>
      <c r="E111" s="290">
        <f t="shared" si="28"/>
        <v>0</v>
      </c>
      <c r="F111" s="291">
        <f t="shared" si="28"/>
        <v>0</v>
      </c>
      <c r="G111" s="291">
        <f t="shared" si="28"/>
        <v>0</v>
      </c>
      <c r="H111" s="291">
        <f t="shared" si="28"/>
        <v>0</v>
      </c>
      <c r="I111" s="291">
        <f t="shared" si="28"/>
        <v>0</v>
      </c>
      <c r="J111" s="291">
        <f t="shared" si="28"/>
        <v>0</v>
      </c>
      <c r="K111" s="291">
        <f t="shared" si="28"/>
        <v>0</v>
      </c>
      <c r="L111" s="291">
        <f t="shared" si="28"/>
        <v>0</v>
      </c>
      <c r="M111" s="291">
        <f t="shared" si="28"/>
        <v>0</v>
      </c>
      <c r="N111" s="291">
        <f t="shared" si="28"/>
        <v>0</v>
      </c>
      <c r="O111" s="291">
        <f t="shared" si="29"/>
        <v>0</v>
      </c>
      <c r="P111" s="12"/>
      <c r="Q111" s="12"/>
    </row>
    <row r="112" spans="1:17" s="12" customFormat="1" collapsed="1" x14ac:dyDescent="0.25"/>
    <row r="113" s="12" customFormat="1" x14ac:dyDescent="0.25"/>
    <row r="114" s="12" customFormat="1" x14ac:dyDescent="0.25"/>
    <row r="115" s="12" customFormat="1" x14ac:dyDescent="0.25"/>
    <row r="116" s="12" customFormat="1" x14ac:dyDescent="0.25"/>
    <row r="117" s="12" customFormat="1" x14ac:dyDescent="0.25"/>
    <row r="118" s="12" customFormat="1" x14ac:dyDescent="0.25"/>
    <row r="119" s="12" customFormat="1" x14ac:dyDescent="0.25"/>
    <row r="120" s="12" customFormat="1" x14ac:dyDescent="0.25"/>
    <row r="121" s="12" customFormat="1" x14ac:dyDescent="0.25"/>
    <row r="122" s="12" customFormat="1" x14ac:dyDescent="0.25"/>
    <row r="123" s="12" customFormat="1" x14ac:dyDescent="0.25"/>
    <row r="124" s="12" customFormat="1" x14ac:dyDescent="0.25"/>
    <row r="125" s="12" customFormat="1" x14ac:dyDescent="0.25"/>
    <row r="126" s="12" customFormat="1" x14ac:dyDescent="0.25"/>
    <row r="127" s="12" customFormat="1" x14ac:dyDescent="0.25"/>
    <row r="128" s="12" customFormat="1" x14ac:dyDescent="0.25"/>
    <row r="129" s="12" customFormat="1" x14ac:dyDescent="0.25"/>
    <row r="130" s="12" customFormat="1" x14ac:dyDescent="0.25"/>
    <row r="131" s="12" customFormat="1" x14ac:dyDescent="0.25"/>
    <row r="132" s="12" customFormat="1" x14ac:dyDescent="0.25"/>
    <row r="133" s="12" customFormat="1" x14ac:dyDescent="0.25"/>
    <row r="134" s="12" customFormat="1" x14ac:dyDescent="0.25"/>
    <row r="135" s="12" customFormat="1" x14ac:dyDescent="0.25"/>
    <row r="136" s="12" customFormat="1" x14ac:dyDescent="0.25"/>
    <row r="137" s="12" customFormat="1" x14ac:dyDescent="0.25"/>
    <row r="138" s="12" customFormat="1" x14ac:dyDescent="0.25"/>
    <row r="139" s="12" customFormat="1" x14ac:dyDescent="0.25"/>
    <row r="140" s="12" customFormat="1" x14ac:dyDescent="0.25"/>
    <row r="141" s="12" customFormat="1" x14ac:dyDescent="0.25"/>
    <row r="142" s="12" customFormat="1" x14ac:dyDescent="0.25"/>
    <row r="143" s="12" customFormat="1" x14ac:dyDescent="0.25"/>
    <row r="144" s="12" customFormat="1" x14ac:dyDescent="0.25"/>
    <row r="145" s="12" customFormat="1" x14ac:dyDescent="0.25"/>
    <row r="146" s="12" customFormat="1" x14ac:dyDescent="0.25"/>
    <row r="147" s="12" customFormat="1" x14ac:dyDescent="0.25"/>
    <row r="148" s="12" customFormat="1" x14ac:dyDescent="0.25"/>
    <row r="149" s="12" customFormat="1" x14ac:dyDescent="0.25"/>
    <row r="150" s="12" customFormat="1" x14ac:dyDescent="0.25"/>
    <row r="151" s="12" customFormat="1" x14ac:dyDescent="0.25"/>
    <row r="152" s="12" customFormat="1" x14ac:dyDescent="0.25"/>
    <row r="153" s="12" customFormat="1" x14ac:dyDescent="0.25"/>
    <row r="154" s="12" customFormat="1" x14ac:dyDescent="0.25"/>
    <row r="155" s="12" customFormat="1" x14ac:dyDescent="0.25"/>
    <row r="156" s="12" customFormat="1" x14ac:dyDescent="0.25"/>
    <row r="157" s="12" customFormat="1" x14ac:dyDescent="0.25"/>
    <row r="158" s="12" customFormat="1" x14ac:dyDescent="0.25"/>
    <row r="159" s="12" customFormat="1" x14ac:dyDescent="0.25"/>
    <row r="160" s="12" customFormat="1" x14ac:dyDescent="0.25"/>
    <row r="161" s="12" customFormat="1" x14ac:dyDescent="0.25"/>
    <row r="162" s="12" customFormat="1" x14ac:dyDescent="0.25"/>
    <row r="163" s="12" customFormat="1" x14ac:dyDescent="0.25"/>
    <row r="164" s="12" customFormat="1" x14ac:dyDescent="0.25"/>
    <row r="165" s="12" customFormat="1" x14ac:dyDescent="0.25"/>
    <row r="166" s="12" customFormat="1" x14ac:dyDescent="0.25"/>
    <row r="167" s="12" customFormat="1" x14ac:dyDescent="0.25"/>
    <row r="168" s="12" customFormat="1" x14ac:dyDescent="0.25"/>
    <row r="169" s="12" customFormat="1" x14ac:dyDescent="0.25"/>
    <row r="170" s="12" customFormat="1" x14ac:dyDescent="0.25"/>
    <row r="171" s="12" customFormat="1" x14ac:dyDescent="0.25"/>
    <row r="172" s="12" customFormat="1" x14ac:dyDescent="0.25"/>
    <row r="173" s="12" customFormat="1" x14ac:dyDescent="0.25"/>
    <row r="174" s="12" customFormat="1" x14ac:dyDescent="0.25"/>
    <row r="175" s="12" customFormat="1" x14ac:dyDescent="0.25"/>
    <row r="176" s="12" customFormat="1" x14ac:dyDescent="0.25"/>
    <row r="177" s="12" customFormat="1" x14ac:dyDescent="0.25"/>
    <row r="178" s="12" customFormat="1" x14ac:dyDescent="0.25"/>
    <row r="179" s="12" customFormat="1" x14ac:dyDescent="0.25"/>
    <row r="180" s="12" customFormat="1" x14ac:dyDescent="0.25"/>
    <row r="181" s="12" customFormat="1" x14ac:dyDescent="0.25"/>
    <row r="182" s="12" customFormat="1" x14ac:dyDescent="0.25"/>
    <row r="183" s="12" customFormat="1" x14ac:dyDescent="0.25"/>
    <row r="184" s="12" customFormat="1" x14ac:dyDescent="0.25"/>
    <row r="185" s="12" customFormat="1" x14ac:dyDescent="0.25"/>
    <row r="186" s="12" customFormat="1" x14ac:dyDescent="0.25"/>
    <row r="187" s="12" customFormat="1" x14ac:dyDescent="0.25"/>
    <row r="188" s="12" customFormat="1" x14ac:dyDescent="0.25"/>
    <row r="189" s="12" customFormat="1" x14ac:dyDescent="0.25"/>
    <row r="190" s="12" customFormat="1" x14ac:dyDescent="0.25"/>
    <row r="191" s="12" customFormat="1" x14ac:dyDescent="0.25"/>
    <row r="192" s="12" customFormat="1" x14ac:dyDescent="0.25"/>
    <row r="193" s="12" customFormat="1" x14ac:dyDescent="0.25"/>
    <row r="194" s="12" customFormat="1" x14ac:dyDescent="0.25"/>
    <row r="195" s="12" customFormat="1" x14ac:dyDescent="0.25"/>
    <row r="196" s="12" customFormat="1" x14ac:dyDescent="0.25"/>
    <row r="197" s="12" customFormat="1" x14ac:dyDescent="0.25"/>
    <row r="198" s="12" customFormat="1" x14ac:dyDescent="0.25"/>
    <row r="199" s="12" customFormat="1" x14ac:dyDescent="0.25"/>
    <row r="200" s="12" customFormat="1" x14ac:dyDescent="0.25"/>
    <row r="201" s="12" customFormat="1" x14ac:dyDescent="0.25"/>
    <row r="202" s="12" customFormat="1" x14ac:dyDescent="0.25"/>
    <row r="203" s="12" customFormat="1" x14ac:dyDescent="0.25"/>
    <row r="204" s="12" customFormat="1" x14ac:dyDescent="0.25"/>
    <row r="205" s="12" customFormat="1" x14ac:dyDescent="0.25"/>
    <row r="206" s="12" customFormat="1" x14ac:dyDescent="0.25"/>
    <row r="207" s="12" customFormat="1" x14ac:dyDescent="0.25"/>
    <row r="208" s="12" customFormat="1" x14ac:dyDescent="0.25"/>
    <row r="209" s="12" customFormat="1" x14ac:dyDescent="0.25"/>
    <row r="210" s="12" customFormat="1" x14ac:dyDescent="0.25"/>
    <row r="211" s="12" customFormat="1" x14ac:dyDescent="0.25"/>
    <row r="212" s="12" customFormat="1" x14ac:dyDescent="0.25"/>
    <row r="213" s="12" customFormat="1" x14ac:dyDescent="0.25"/>
    <row r="214" s="12" customFormat="1" x14ac:dyDescent="0.25"/>
    <row r="215" s="12" customFormat="1" x14ac:dyDescent="0.25"/>
    <row r="216" s="12" customFormat="1" x14ac:dyDescent="0.25"/>
    <row r="217" s="12" customFormat="1" x14ac:dyDescent="0.25"/>
    <row r="218" s="12" customFormat="1" x14ac:dyDescent="0.25"/>
    <row r="219" s="12" customFormat="1" x14ac:dyDescent="0.25"/>
    <row r="220" s="12" customFormat="1" x14ac:dyDescent="0.25"/>
    <row r="221" s="12" customFormat="1" x14ac:dyDescent="0.25"/>
    <row r="222" s="12" customFormat="1" x14ac:dyDescent="0.25"/>
    <row r="223" s="12" customFormat="1" x14ac:dyDescent="0.25"/>
    <row r="224" s="12" customFormat="1" x14ac:dyDescent="0.25"/>
    <row r="225" s="12" customFormat="1" x14ac:dyDescent="0.25"/>
    <row r="226" s="12" customFormat="1" x14ac:dyDescent="0.25"/>
    <row r="227" s="12" customFormat="1" x14ac:dyDescent="0.25"/>
    <row r="228" s="12" customFormat="1" x14ac:dyDescent="0.25"/>
    <row r="229" s="12" customFormat="1" x14ac:dyDescent="0.25"/>
    <row r="230" s="12" customFormat="1" x14ac:dyDescent="0.25"/>
    <row r="231" s="12" customFormat="1" x14ac:dyDescent="0.25"/>
    <row r="232" s="12" customFormat="1" x14ac:dyDescent="0.25"/>
    <row r="233" s="12" customFormat="1" x14ac:dyDescent="0.25"/>
    <row r="234" s="12" customFormat="1" x14ac:dyDescent="0.25"/>
    <row r="235" s="12" customFormat="1" x14ac:dyDescent="0.25"/>
    <row r="236" s="12" customFormat="1" x14ac:dyDescent="0.25"/>
    <row r="237" s="12" customFormat="1" x14ac:dyDescent="0.25"/>
    <row r="238" s="12" customFormat="1" x14ac:dyDescent="0.25"/>
    <row r="239" s="12" customFormat="1" x14ac:dyDescent="0.25"/>
    <row r="240" s="12" customFormat="1" x14ac:dyDescent="0.25"/>
    <row r="241" s="12" customFormat="1" x14ac:dyDescent="0.25"/>
    <row r="242" s="12" customFormat="1" x14ac:dyDescent="0.25"/>
    <row r="243" s="12" customFormat="1" x14ac:dyDescent="0.25"/>
    <row r="244" s="12" customFormat="1" x14ac:dyDescent="0.25"/>
    <row r="245" s="12" customFormat="1" x14ac:dyDescent="0.25"/>
    <row r="246" s="12" customFormat="1" x14ac:dyDescent="0.25"/>
    <row r="247" s="12" customFormat="1" x14ac:dyDescent="0.25"/>
    <row r="248" s="12" customFormat="1" x14ac:dyDescent="0.25"/>
    <row r="249" s="12" customFormat="1" x14ac:dyDescent="0.25"/>
    <row r="250" s="12" customFormat="1" x14ac:dyDescent="0.25"/>
    <row r="251" s="12" customFormat="1" x14ac:dyDescent="0.25"/>
    <row r="252" s="12" customFormat="1" x14ac:dyDescent="0.25"/>
    <row r="253" s="12" customFormat="1" x14ac:dyDescent="0.25"/>
    <row r="254" s="12" customFormat="1" x14ac:dyDescent="0.25"/>
    <row r="255" s="12" customFormat="1" x14ac:dyDescent="0.25"/>
    <row r="256" s="12" customFormat="1" x14ac:dyDescent="0.25"/>
    <row r="257" s="12" customFormat="1" x14ac:dyDescent="0.25"/>
    <row r="258" s="12" customFormat="1" x14ac:dyDescent="0.25"/>
    <row r="259" s="12" customFormat="1" x14ac:dyDescent="0.25"/>
    <row r="260" s="12" customFormat="1" x14ac:dyDescent="0.25"/>
    <row r="261" s="12" customFormat="1" x14ac:dyDescent="0.25"/>
    <row r="262" s="12" customFormat="1" x14ac:dyDescent="0.25"/>
    <row r="263" s="12" customFormat="1" x14ac:dyDescent="0.25"/>
    <row r="264" s="12" customFormat="1" x14ac:dyDescent="0.25"/>
    <row r="265" s="12" customFormat="1" x14ac:dyDescent="0.25"/>
    <row r="266" s="12" customFormat="1" x14ac:dyDescent="0.25"/>
    <row r="267" s="12" customFormat="1" x14ac:dyDescent="0.25"/>
    <row r="268" s="12" customFormat="1" x14ac:dyDescent="0.25"/>
    <row r="269" s="12" customFormat="1" x14ac:dyDescent="0.25"/>
    <row r="270" s="12" customFormat="1" x14ac:dyDescent="0.25"/>
    <row r="271" s="12" customFormat="1" x14ac:dyDescent="0.25"/>
    <row r="272" s="12" customFormat="1" x14ac:dyDescent="0.25"/>
    <row r="273" s="12" customFormat="1" x14ac:dyDescent="0.25"/>
    <row r="274" s="12" customFormat="1" x14ac:dyDescent="0.25"/>
    <row r="275" s="12" customFormat="1" x14ac:dyDescent="0.25"/>
    <row r="276" s="12" customFormat="1" x14ac:dyDescent="0.25"/>
    <row r="277" s="12" customFormat="1" x14ac:dyDescent="0.25"/>
    <row r="278" s="12" customFormat="1" x14ac:dyDescent="0.25"/>
    <row r="279" s="12" customFormat="1" x14ac:dyDescent="0.25"/>
    <row r="280" s="12" customFormat="1" x14ac:dyDescent="0.25"/>
    <row r="281" s="12" customFormat="1" x14ac:dyDescent="0.25"/>
    <row r="282" s="12" customFormat="1" x14ac:dyDescent="0.25"/>
    <row r="283" s="12" customFormat="1" x14ac:dyDescent="0.25"/>
    <row r="284" s="12" customFormat="1" x14ac:dyDescent="0.25"/>
    <row r="285" s="12" customFormat="1" x14ac:dyDescent="0.25"/>
    <row r="286" s="12" customFormat="1" x14ac:dyDescent="0.25"/>
    <row r="287" s="12" customFormat="1" x14ac:dyDescent="0.25"/>
    <row r="288" s="12" customFormat="1" x14ac:dyDescent="0.25"/>
    <row r="289" s="12" customFormat="1" x14ac:dyDescent="0.25"/>
    <row r="290" s="12" customFormat="1" x14ac:dyDescent="0.25"/>
    <row r="291" s="12" customFormat="1" x14ac:dyDescent="0.25"/>
    <row r="292" s="12" customFormat="1" x14ac:dyDescent="0.25"/>
    <row r="293" s="12" customFormat="1" x14ac:dyDescent="0.25"/>
    <row r="294" s="12" customFormat="1" x14ac:dyDescent="0.25"/>
    <row r="295" s="12" customFormat="1" x14ac:dyDescent="0.25"/>
    <row r="296" s="12" customFormat="1" x14ac:dyDescent="0.25"/>
    <row r="297" s="12" customFormat="1" x14ac:dyDescent="0.25"/>
    <row r="298" s="12" customFormat="1" x14ac:dyDescent="0.25"/>
    <row r="299" s="12" customFormat="1" x14ac:dyDescent="0.25"/>
    <row r="300" s="12" customFormat="1" x14ac:dyDescent="0.25"/>
    <row r="301" s="12" customFormat="1" x14ac:dyDescent="0.25"/>
    <row r="302" s="12" customFormat="1" x14ac:dyDescent="0.25"/>
    <row r="303" s="12" customFormat="1" x14ac:dyDescent="0.25"/>
    <row r="304" s="12" customFormat="1" x14ac:dyDescent="0.25"/>
    <row r="305" s="12" customFormat="1" x14ac:dyDescent="0.25"/>
    <row r="306" s="12" customFormat="1" x14ac:dyDescent="0.25"/>
    <row r="307" s="12" customFormat="1" x14ac:dyDescent="0.25"/>
    <row r="308" s="12" customFormat="1" x14ac:dyDescent="0.25"/>
    <row r="309" s="12" customFormat="1" x14ac:dyDescent="0.25"/>
    <row r="310" s="12" customFormat="1" x14ac:dyDescent="0.25"/>
    <row r="311" s="12" customFormat="1" x14ac:dyDescent="0.25"/>
    <row r="312" s="12" customFormat="1" x14ac:dyDescent="0.25"/>
    <row r="313" s="12" customFormat="1" x14ac:dyDescent="0.25"/>
    <row r="314" s="12" customFormat="1" x14ac:dyDescent="0.25"/>
    <row r="315" s="12" customFormat="1" x14ac:dyDescent="0.25"/>
    <row r="316" s="12" customFormat="1" x14ac:dyDescent="0.25"/>
    <row r="317" s="12" customFormat="1" x14ac:dyDescent="0.25"/>
    <row r="318" s="12" customFormat="1" x14ac:dyDescent="0.25"/>
    <row r="319" s="12" customFormat="1" x14ac:dyDescent="0.25"/>
    <row r="320" s="12" customFormat="1" x14ac:dyDescent="0.25"/>
    <row r="321" s="12" customFormat="1" x14ac:dyDescent="0.25"/>
    <row r="322" s="12" customFormat="1" x14ac:dyDescent="0.25"/>
    <row r="323" s="12" customFormat="1" x14ac:dyDescent="0.25"/>
    <row r="324" s="12" customFormat="1" x14ac:dyDescent="0.25"/>
    <row r="325" s="12" customFormat="1" x14ac:dyDescent="0.25"/>
    <row r="326" s="12" customFormat="1" x14ac:dyDescent="0.25"/>
    <row r="327" s="12" customFormat="1" x14ac:dyDescent="0.25"/>
    <row r="328" s="12" customFormat="1" x14ac:dyDescent="0.25"/>
    <row r="329" s="12" customFormat="1" x14ac:dyDescent="0.25"/>
    <row r="330" s="12" customFormat="1" x14ac:dyDescent="0.25"/>
    <row r="331" s="12" customFormat="1" x14ac:dyDescent="0.25"/>
    <row r="332" s="12" customFormat="1" x14ac:dyDescent="0.25"/>
    <row r="333" s="12" customFormat="1" x14ac:dyDescent="0.25"/>
    <row r="334" s="12" customFormat="1" x14ac:dyDescent="0.25"/>
    <row r="335" s="12" customFormat="1" x14ac:dyDescent="0.25"/>
    <row r="336" s="12" customFormat="1" x14ac:dyDescent="0.25"/>
    <row r="337" s="12" customFormat="1" x14ac:dyDescent="0.25"/>
    <row r="338" s="12" customFormat="1" x14ac:dyDescent="0.25"/>
    <row r="339" s="12" customFormat="1" x14ac:dyDescent="0.25"/>
    <row r="340" s="12" customFormat="1" x14ac:dyDescent="0.25"/>
    <row r="341" s="12" customFormat="1" x14ac:dyDescent="0.25"/>
    <row r="342" s="12" customFormat="1" x14ac:dyDescent="0.25"/>
    <row r="343" s="12" customFormat="1" x14ac:dyDescent="0.25"/>
    <row r="344" s="12" customFormat="1" x14ac:dyDescent="0.25"/>
    <row r="345" s="12" customFormat="1" x14ac:dyDescent="0.25"/>
    <row r="346" s="12" customFormat="1" x14ac:dyDescent="0.25"/>
    <row r="347" s="12" customFormat="1" x14ac:dyDescent="0.25"/>
    <row r="348" s="12" customFormat="1" x14ac:dyDescent="0.25"/>
    <row r="349" s="12" customFormat="1" x14ac:dyDescent="0.25"/>
    <row r="350" s="12" customFormat="1" x14ac:dyDescent="0.25"/>
    <row r="351" s="12" customFormat="1" x14ac:dyDescent="0.25"/>
    <row r="352" s="12" customFormat="1" x14ac:dyDescent="0.25"/>
    <row r="353" s="12" customFormat="1" x14ac:dyDescent="0.25"/>
    <row r="354" s="12" customFormat="1" x14ac:dyDescent="0.25"/>
    <row r="355" s="12" customFormat="1" x14ac:dyDescent="0.25"/>
    <row r="356" s="12" customFormat="1" x14ac:dyDescent="0.25"/>
    <row r="357" s="12" customFormat="1" x14ac:dyDescent="0.25"/>
    <row r="358" s="12" customFormat="1" x14ac:dyDescent="0.25"/>
    <row r="359" s="12" customFormat="1" x14ac:dyDescent="0.25"/>
    <row r="360" s="12" customFormat="1" x14ac:dyDescent="0.25"/>
    <row r="361" s="12" customFormat="1" x14ac:dyDescent="0.25"/>
    <row r="362" s="12" customFormat="1" x14ac:dyDescent="0.25"/>
    <row r="363" s="12" customFormat="1" x14ac:dyDescent="0.25"/>
    <row r="364" s="12" customFormat="1" x14ac:dyDescent="0.25"/>
    <row r="365" s="12" customFormat="1" x14ac:dyDescent="0.25"/>
    <row r="366" s="12" customFormat="1" x14ac:dyDescent="0.25"/>
    <row r="367" s="12" customFormat="1" x14ac:dyDescent="0.25"/>
    <row r="368" s="12" customFormat="1" x14ac:dyDescent="0.25"/>
    <row r="369" s="12" customFormat="1" x14ac:dyDescent="0.25"/>
    <row r="370" s="12" customFormat="1" x14ac:dyDescent="0.25"/>
    <row r="371" s="12" customFormat="1" x14ac:dyDescent="0.25"/>
    <row r="372" s="12" customFormat="1" x14ac:dyDescent="0.25"/>
    <row r="373" s="12" customFormat="1" x14ac:dyDescent="0.25"/>
    <row r="374" s="12" customFormat="1" x14ac:dyDescent="0.25"/>
    <row r="375" s="12" customFormat="1" x14ac:dyDescent="0.25"/>
    <row r="376" s="12" customFormat="1" x14ac:dyDescent="0.25"/>
    <row r="377" s="12" customFormat="1" x14ac:dyDescent="0.25"/>
    <row r="378" s="12" customFormat="1" x14ac:dyDescent="0.25"/>
    <row r="379" s="12" customFormat="1" x14ac:dyDescent="0.25"/>
    <row r="380" s="12" customFormat="1" x14ac:dyDescent="0.25"/>
    <row r="381" s="12" customFormat="1" x14ac:dyDescent="0.25"/>
    <row r="382" s="12" customFormat="1" x14ac:dyDescent="0.25"/>
    <row r="383" s="12" customFormat="1" x14ac:dyDescent="0.25"/>
    <row r="384" s="12" customFormat="1" x14ac:dyDescent="0.25"/>
    <row r="385" s="12" customFormat="1" x14ac:dyDescent="0.25"/>
    <row r="386" s="12" customFormat="1" x14ac:dyDescent="0.25"/>
    <row r="387" s="12" customFormat="1" x14ac:dyDescent="0.25"/>
    <row r="388" s="12" customFormat="1" x14ac:dyDescent="0.25"/>
    <row r="389" s="12" customFormat="1" x14ac:dyDescent="0.25"/>
    <row r="390" s="12" customFormat="1" x14ac:dyDescent="0.25"/>
    <row r="391" s="12" customFormat="1" x14ac:dyDescent="0.25"/>
    <row r="392" s="12" customFormat="1" x14ac:dyDescent="0.25"/>
    <row r="393" s="12" customFormat="1" x14ac:dyDescent="0.25"/>
    <row r="394" s="12" customFormat="1" x14ac:dyDescent="0.25"/>
    <row r="395" s="12" customFormat="1" x14ac:dyDescent="0.25"/>
    <row r="396" s="12" customFormat="1" x14ac:dyDescent="0.25"/>
    <row r="397" s="12" customFormat="1" x14ac:dyDescent="0.25"/>
    <row r="398" s="12" customFormat="1" x14ac:dyDescent="0.25"/>
    <row r="399" s="12" customFormat="1" x14ac:dyDescent="0.25"/>
    <row r="400" s="12" customFormat="1" x14ac:dyDescent="0.25"/>
    <row r="401" s="12" customFormat="1" x14ac:dyDescent="0.25"/>
    <row r="402" s="12" customFormat="1" x14ac:dyDescent="0.25"/>
    <row r="403" s="12" customFormat="1" x14ac:dyDescent="0.25"/>
    <row r="404" s="12" customFormat="1" x14ac:dyDescent="0.25"/>
    <row r="405" s="12" customFormat="1" x14ac:dyDescent="0.25"/>
    <row r="406" s="12" customFormat="1" x14ac:dyDescent="0.25"/>
    <row r="407" s="12" customFormat="1" x14ac:dyDescent="0.25"/>
    <row r="408" s="12" customFormat="1" x14ac:dyDescent="0.25"/>
    <row r="409" s="12" customFormat="1" x14ac:dyDescent="0.25"/>
    <row r="410" s="12" customFormat="1" x14ac:dyDescent="0.25"/>
    <row r="411" s="12" customFormat="1" x14ac:dyDescent="0.25"/>
    <row r="412" s="12" customFormat="1" x14ac:dyDescent="0.25"/>
    <row r="413" s="12" customFormat="1" x14ac:dyDescent="0.25"/>
    <row r="414" s="12" customFormat="1" x14ac:dyDescent="0.25"/>
    <row r="415" s="12" customFormat="1" x14ac:dyDescent="0.25"/>
    <row r="416" s="12" customFormat="1" x14ac:dyDescent="0.25"/>
    <row r="417" s="12" customFormat="1" x14ac:dyDescent="0.25"/>
    <row r="418" s="12" customFormat="1" x14ac:dyDescent="0.25"/>
    <row r="419" s="12" customFormat="1" x14ac:dyDescent="0.25"/>
    <row r="420" s="12" customFormat="1" x14ac:dyDescent="0.25"/>
    <row r="421" s="12" customFormat="1" x14ac:dyDescent="0.25"/>
    <row r="422" s="12" customFormat="1" x14ac:dyDescent="0.25"/>
    <row r="423" s="12" customFormat="1" x14ac:dyDescent="0.25"/>
    <row r="424" s="12" customFormat="1" x14ac:dyDescent="0.25"/>
    <row r="425" s="12" customFormat="1" x14ac:dyDescent="0.25"/>
    <row r="426" s="12" customFormat="1" x14ac:dyDescent="0.25"/>
    <row r="427" s="12" customFormat="1" x14ac:dyDescent="0.25"/>
    <row r="428" s="12" customFormat="1" x14ac:dyDescent="0.25"/>
    <row r="429" s="12" customFormat="1" x14ac:dyDescent="0.25"/>
    <row r="430" s="12" customFormat="1" x14ac:dyDescent="0.25"/>
    <row r="431" s="12" customFormat="1" x14ac:dyDescent="0.25"/>
    <row r="432" s="12" customFormat="1" x14ac:dyDescent="0.25"/>
    <row r="433" s="12" customFormat="1" x14ac:dyDescent="0.25"/>
    <row r="434" s="12" customFormat="1" x14ac:dyDescent="0.25"/>
    <row r="435" s="12" customFormat="1" x14ac:dyDescent="0.25"/>
    <row r="436" s="12" customFormat="1" x14ac:dyDescent="0.25"/>
    <row r="437" s="12" customFormat="1" x14ac:dyDescent="0.25"/>
    <row r="438" s="12" customFormat="1" x14ac:dyDescent="0.25"/>
    <row r="439" s="12" customFormat="1" x14ac:dyDescent="0.25"/>
    <row r="440" s="12" customFormat="1" x14ac:dyDescent="0.25"/>
    <row r="441" s="12" customFormat="1" x14ac:dyDescent="0.25"/>
    <row r="442" s="12" customFormat="1" x14ac:dyDescent="0.25"/>
    <row r="443" s="12" customFormat="1" x14ac:dyDescent="0.25"/>
    <row r="444" s="12" customFormat="1" x14ac:dyDescent="0.25"/>
    <row r="445" s="12" customFormat="1" x14ac:dyDescent="0.25"/>
    <row r="446" s="12" customFormat="1" x14ac:dyDescent="0.25"/>
    <row r="447" s="12" customFormat="1" x14ac:dyDescent="0.25"/>
    <row r="448" s="12" customFormat="1" x14ac:dyDescent="0.25"/>
    <row r="449" s="12" customFormat="1" x14ac:dyDescent="0.25"/>
    <row r="450" s="12" customFormat="1" x14ac:dyDescent="0.25"/>
    <row r="451" s="12" customFormat="1" x14ac:dyDescent="0.25"/>
    <row r="452" s="12" customFormat="1" x14ac:dyDescent="0.25"/>
    <row r="453" s="12" customFormat="1" x14ac:dyDescent="0.25"/>
    <row r="454" s="12" customFormat="1" x14ac:dyDescent="0.25"/>
    <row r="455" s="12" customFormat="1" x14ac:dyDescent="0.25"/>
    <row r="456" s="12" customFormat="1" x14ac:dyDescent="0.25"/>
    <row r="457" s="12" customFormat="1" x14ac:dyDescent="0.25"/>
    <row r="458" s="12" customFormat="1" x14ac:dyDescent="0.25"/>
    <row r="459" s="12" customFormat="1" x14ac:dyDescent="0.25"/>
    <row r="460" s="12" customFormat="1" x14ac:dyDescent="0.25"/>
    <row r="461" s="12" customFormat="1" x14ac:dyDescent="0.25"/>
    <row r="462" s="12" customFormat="1" x14ac:dyDescent="0.25"/>
    <row r="463" s="12" customFormat="1" x14ac:dyDescent="0.25"/>
    <row r="464" s="12" customFormat="1" x14ac:dyDescent="0.25"/>
    <row r="465" s="12" customFormat="1" x14ac:dyDescent="0.25"/>
    <row r="466" s="12" customFormat="1" x14ac:dyDescent="0.25"/>
    <row r="467" s="12" customFormat="1" x14ac:dyDescent="0.25"/>
    <row r="468" s="12" customFormat="1" x14ac:dyDescent="0.25"/>
    <row r="469" s="12" customFormat="1" x14ac:dyDescent="0.25"/>
    <row r="470" s="12" customFormat="1" x14ac:dyDescent="0.25"/>
    <row r="471" s="12" customFormat="1" x14ac:dyDescent="0.25"/>
    <row r="472" s="12" customFormat="1" x14ac:dyDescent="0.25"/>
    <row r="473" s="12" customFormat="1" x14ac:dyDescent="0.25"/>
    <row r="474" s="12" customFormat="1" x14ac:dyDescent="0.25"/>
    <row r="475" s="12" customFormat="1" x14ac:dyDescent="0.25"/>
    <row r="476" s="12" customFormat="1" x14ac:dyDescent="0.25"/>
    <row r="477" s="12" customFormat="1" x14ac:dyDescent="0.25"/>
    <row r="478" s="12" customFormat="1" x14ac:dyDescent="0.25"/>
    <row r="479" s="12" customFormat="1" x14ac:dyDescent="0.25"/>
    <row r="480" s="12" customFormat="1" x14ac:dyDescent="0.25"/>
    <row r="481" s="12" customFormat="1" x14ac:dyDescent="0.25"/>
    <row r="482" s="12" customFormat="1" x14ac:dyDescent="0.25"/>
    <row r="483" s="12" customFormat="1" x14ac:dyDescent="0.25"/>
    <row r="484" s="12" customFormat="1" x14ac:dyDescent="0.25"/>
    <row r="485" s="12" customFormat="1" x14ac:dyDescent="0.25"/>
    <row r="486" s="12" customFormat="1" x14ac:dyDescent="0.25"/>
    <row r="487" s="12" customFormat="1" x14ac:dyDescent="0.25"/>
    <row r="488" s="12" customFormat="1" x14ac:dyDescent="0.25"/>
    <row r="489" s="12" customFormat="1" x14ac:dyDescent="0.25"/>
    <row r="490" s="12" customFormat="1" x14ac:dyDescent="0.25"/>
    <row r="491" s="12" customFormat="1" x14ac:dyDescent="0.25"/>
    <row r="492" s="12" customFormat="1" x14ac:dyDescent="0.25"/>
    <row r="493" s="12" customFormat="1" x14ac:dyDescent="0.25"/>
    <row r="494" s="12" customFormat="1" x14ac:dyDescent="0.25"/>
    <row r="495" s="12" customFormat="1" x14ac:dyDescent="0.25"/>
    <row r="496" s="12" customFormat="1" x14ac:dyDescent="0.25"/>
    <row r="497" s="12" customFormat="1" x14ac:dyDescent="0.25"/>
    <row r="498" s="12" customFormat="1" x14ac:dyDescent="0.25"/>
    <row r="499" s="12" customFormat="1" x14ac:dyDescent="0.25"/>
    <row r="500" s="12" customFormat="1" x14ac:dyDescent="0.25"/>
    <row r="501" s="12" customFormat="1" x14ac:dyDescent="0.25"/>
    <row r="502" s="12" customFormat="1" x14ac:dyDescent="0.25"/>
    <row r="503" s="12" customFormat="1" x14ac:dyDescent="0.25"/>
    <row r="504" s="12" customFormat="1" x14ac:dyDescent="0.25"/>
    <row r="505" s="12" customFormat="1" x14ac:dyDescent="0.25"/>
    <row r="506" s="12" customFormat="1" x14ac:dyDescent="0.25"/>
    <row r="507" s="12" customFormat="1" x14ac:dyDescent="0.25"/>
    <row r="508" s="12" customFormat="1" x14ac:dyDescent="0.25"/>
    <row r="509" s="12" customFormat="1" x14ac:dyDescent="0.25"/>
    <row r="510" s="12" customFormat="1" x14ac:dyDescent="0.25"/>
    <row r="511" s="12" customFormat="1" x14ac:dyDescent="0.25"/>
    <row r="512" s="12" customFormat="1" x14ac:dyDescent="0.25"/>
    <row r="513" s="12" customFormat="1" x14ac:dyDescent="0.25"/>
    <row r="514" s="12" customFormat="1" x14ac:dyDescent="0.25"/>
    <row r="515" s="12" customFormat="1" x14ac:dyDescent="0.25"/>
    <row r="516" s="12" customFormat="1" x14ac:dyDescent="0.25"/>
    <row r="517" s="12" customFormat="1" x14ac:dyDescent="0.25"/>
    <row r="518" s="12" customFormat="1" x14ac:dyDescent="0.25"/>
    <row r="519" s="12" customFormat="1" x14ac:dyDescent="0.25"/>
    <row r="520" s="12" customFormat="1" x14ac:dyDescent="0.25"/>
    <row r="521" s="12" customFormat="1" x14ac:dyDescent="0.25"/>
    <row r="522" s="12" customFormat="1" x14ac:dyDescent="0.25"/>
    <row r="523" s="12" customFormat="1" x14ac:dyDescent="0.25"/>
    <row r="524" s="12" customFormat="1" x14ac:dyDescent="0.25"/>
    <row r="525" s="12" customFormat="1" x14ac:dyDescent="0.25"/>
    <row r="526" s="12" customFormat="1" x14ac:dyDescent="0.25"/>
    <row r="527" s="12" customFormat="1" x14ac:dyDescent="0.25"/>
    <row r="528" s="12" customFormat="1" x14ac:dyDescent="0.25"/>
    <row r="529" s="12" customFormat="1" x14ac:dyDescent="0.25"/>
    <row r="530" s="12" customFormat="1" x14ac:dyDescent="0.25"/>
    <row r="531" s="12" customFormat="1" x14ac:dyDescent="0.25"/>
    <row r="532" s="12" customFormat="1" x14ac:dyDescent="0.25"/>
    <row r="533" s="12" customFormat="1" x14ac:dyDescent="0.25"/>
    <row r="534" s="12" customFormat="1" x14ac:dyDescent="0.25"/>
    <row r="535" s="12" customFormat="1" x14ac:dyDescent="0.25"/>
    <row r="536" s="12" customFormat="1" x14ac:dyDescent="0.25"/>
    <row r="537" s="12" customFormat="1" x14ac:dyDescent="0.25"/>
    <row r="538" s="12" customFormat="1" x14ac:dyDescent="0.25"/>
    <row r="539" s="12" customFormat="1" x14ac:dyDescent="0.25"/>
    <row r="540" s="12" customFormat="1" x14ac:dyDescent="0.25"/>
    <row r="541" s="12" customFormat="1" x14ac:dyDescent="0.25"/>
    <row r="542" s="12" customFormat="1" x14ac:dyDescent="0.25"/>
    <row r="543" s="12" customFormat="1" x14ac:dyDescent="0.25"/>
    <row r="544" s="12" customFormat="1" x14ac:dyDescent="0.25"/>
    <row r="545" s="12" customFormat="1" x14ac:dyDescent="0.25"/>
    <row r="546" s="12" customFormat="1" x14ac:dyDescent="0.25"/>
    <row r="547" s="12" customFormat="1" x14ac:dyDescent="0.25"/>
    <row r="548" s="12" customFormat="1" x14ac:dyDescent="0.25"/>
    <row r="549" s="12" customFormat="1" x14ac:dyDescent="0.25"/>
    <row r="550" s="12" customFormat="1" x14ac:dyDescent="0.25"/>
    <row r="551" s="12" customFormat="1" x14ac:dyDescent="0.25"/>
    <row r="552" s="12" customFormat="1" x14ac:dyDescent="0.25"/>
    <row r="553" s="12" customFormat="1" x14ac:dyDescent="0.25"/>
    <row r="554" s="12" customFormat="1" x14ac:dyDescent="0.25"/>
    <row r="555" s="12" customFormat="1" x14ac:dyDescent="0.25"/>
    <row r="556" s="12" customFormat="1" x14ac:dyDescent="0.25"/>
    <row r="557" s="12" customFormat="1" x14ac:dyDescent="0.25"/>
    <row r="558" s="12" customFormat="1" x14ac:dyDescent="0.25"/>
    <row r="559" s="12" customFormat="1" x14ac:dyDescent="0.25"/>
    <row r="560" s="12" customFormat="1" x14ac:dyDescent="0.25"/>
    <row r="561" s="12" customFormat="1" x14ac:dyDescent="0.25"/>
    <row r="562" s="12" customFormat="1" x14ac:dyDescent="0.25"/>
    <row r="563" s="12" customFormat="1" x14ac:dyDescent="0.25"/>
    <row r="564" s="12" customFormat="1" x14ac:dyDescent="0.25"/>
    <row r="565" s="12" customFormat="1" x14ac:dyDescent="0.25"/>
    <row r="566" s="12" customFormat="1" x14ac:dyDescent="0.25"/>
    <row r="567" s="12" customFormat="1" x14ac:dyDescent="0.25"/>
    <row r="568" s="12" customFormat="1" x14ac:dyDescent="0.25"/>
    <row r="569" s="12" customFormat="1" x14ac:dyDescent="0.25"/>
    <row r="570" s="12" customFormat="1" x14ac:dyDescent="0.25"/>
    <row r="571" s="12" customFormat="1" x14ac:dyDescent="0.25"/>
    <row r="572" s="12" customFormat="1" x14ac:dyDescent="0.25"/>
    <row r="573" s="12" customFormat="1" x14ac:dyDescent="0.25"/>
    <row r="574" s="12" customFormat="1" x14ac:dyDescent="0.25"/>
    <row r="575" s="12" customFormat="1" x14ac:dyDescent="0.25"/>
    <row r="576" s="12" customFormat="1" x14ac:dyDescent="0.25"/>
    <row r="577" s="12" customFormat="1" x14ac:dyDescent="0.25"/>
    <row r="578" s="12" customFormat="1" x14ac:dyDescent="0.25"/>
    <row r="579" s="12" customFormat="1" x14ac:dyDescent="0.25"/>
    <row r="580" s="12" customFormat="1" x14ac:dyDescent="0.25"/>
    <row r="581" s="12" customFormat="1" x14ac:dyDescent="0.25"/>
    <row r="582" s="12" customFormat="1" x14ac:dyDescent="0.25"/>
    <row r="583" s="12" customFormat="1" x14ac:dyDescent="0.25"/>
    <row r="584" s="12" customFormat="1" x14ac:dyDescent="0.25"/>
    <row r="585" s="12" customFormat="1" x14ac:dyDescent="0.25"/>
    <row r="586" s="12" customFormat="1" x14ac:dyDescent="0.25"/>
    <row r="587" s="12" customFormat="1" x14ac:dyDescent="0.25"/>
    <row r="588" s="12" customFormat="1" x14ac:dyDescent="0.25"/>
    <row r="589" s="12" customFormat="1" x14ac:dyDescent="0.25"/>
    <row r="590" s="12" customFormat="1" x14ac:dyDescent="0.25"/>
    <row r="591" s="12" customFormat="1" x14ac:dyDescent="0.25"/>
    <row r="592" s="12" customFormat="1" x14ac:dyDescent="0.25"/>
    <row r="593" s="12" customFormat="1" x14ac:dyDescent="0.25"/>
    <row r="594" s="12" customFormat="1" x14ac:dyDescent="0.25"/>
    <row r="595" s="12" customFormat="1" x14ac:dyDescent="0.25"/>
    <row r="596" s="12" customFormat="1" x14ac:dyDescent="0.25"/>
    <row r="597" s="12" customFormat="1" x14ac:dyDescent="0.25"/>
    <row r="598" s="12" customFormat="1" x14ac:dyDescent="0.25"/>
    <row r="599" s="12" customFormat="1" x14ac:dyDescent="0.25"/>
    <row r="600" s="12" customFormat="1" x14ac:dyDescent="0.25"/>
    <row r="601" s="12" customFormat="1" x14ac:dyDescent="0.25"/>
    <row r="602" s="12" customFormat="1" x14ac:dyDescent="0.25"/>
    <row r="603" s="12" customFormat="1" x14ac:dyDescent="0.25"/>
    <row r="604" s="12" customFormat="1" x14ac:dyDescent="0.25"/>
    <row r="605" s="12" customFormat="1" x14ac:dyDescent="0.25"/>
    <row r="606" s="12" customFormat="1" x14ac:dyDescent="0.25"/>
    <row r="607" s="12" customFormat="1" x14ac:dyDescent="0.25"/>
    <row r="608" s="12" customFormat="1" x14ac:dyDescent="0.25"/>
    <row r="609" s="12" customFormat="1" x14ac:dyDescent="0.25"/>
    <row r="610" s="12" customFormat="1" x14ac:dyDescent="0.25"/>
    <row r="611" s="12" customFormat="1" x14ac:dyDescent="0.25"/>
    <row r="612" s="12" customFormat="1" x14ac:dyDescent="0.25"/>
    <row r="613" s="12" customFormat="1" x14ac:dyDescent="0.25"/>
    <row r="614" s="12" customFormat="1" x14ac:dyDescent="0.25"/>
    <row r="615" s="12" customFormat="1" x14ac:dyDescent="0.25"/>
    <row r="616" s="12" customFormat="1" x14ac:dyDescent="0.25"/>
    <row r="617" s="12" customFormat="1" x14ac:dyDescent="0.25"/>
    <row r="618" s="12" customFormat="1" x14ac:dyDescent="0.25"/>
    <row r="619" s="12" customFormat="1" x14ac:dyDescent="0.25"/>
    <row r="620" s="12" customFormat="1" x14ac:dyDescent="0.25"/>
    <row r="621" s="12" customFormat="1" x14ac:dyDescent="0.25"/>
    <row r="622" s="12" customFormat="1" x14ac:dyDescent="0.25"/>
    <row r="623" s="12" customFormat="1" x14ac:dyDescent="0.25"/>
    <row r="624" s="12" customFormat="1" x14ac:dyDescent="0.25"/>
    <row r="625" s="12" customFormat="1" x14ac:dyDescent="0.25"/>
    <row r="626" s="12" customFormat="1" x14ac:dyDescent="0.25"/>
    <row r="627" s="12" customFormat="1" x14ac:dyDescent="0.25"/>
    <row r="628" s="12" customFormat="1" x14ac:dyDescent="0.25"/>
    <row r="629" s="12" customFormat="1" x14ac:dyDescent="0.25"/>
    <row r="630" s="12" customFormat="1" x14ac:dyDescent="0.25"/>
    <row r="631" s="12" customFormat="1" x14ac:dyDescent="0.25"/>
    <row r="632" s="12" customFormat="1" x14ac:dyDescent="0.25"/>
    <row r="633" s="12" customFormat="1" x14ac:dyDescent="0.25"/>
    <row r="634" s="12" customFormat="1" x14ac:dyDescent="0.25"/>
    <row r="635" s="12" customFormat="1" x14ac:dyDescent="0.25"/>
    <row r="636" s="12" customFormat="1" x14ac:dyDescent="0.25"/>
    <row r="637" s="12" customFormat="1" x14ac:dyDescent="0.25"/>
    <row r="638" s="12" customFormat="1" x14ac:dyDescent="0.25"/>
    <row r="639" s="12" customFormat="1" x14ac:dyDescent="0.25"/>
    <row r="640" s="12" customFormat="1" x14ac:dyDescent="0.25"/>
    <row r="641" s="12" customFormat="1" x14ac:dyDescent="0.25"/>
    <row r="642" s="12" customFormat="1" x14ac:dyDescent="0.25"/>
    <row r="643" s="12" customFormat="1" x14ac:dyDescent="0.25"/>
    <row r="644" s="12" customFormat="1" x14ac:dyDescent="0.25"/>
    <row r="645" s="12" customFormat="1" x14ac:dyDescent="0.25"/>
    <row r="646" s="12" customFormat="1" x14ac:dyDescent="0.25"/>
    <row r="647" s="12" customFormat="1" x14ac:dyDescent="0.25"/>
    <row r="648" s="12" customFormat="1" x14ac:dyDescent="0.25"/>
    <row r="649" s="12" customFormat="1" x14ac:dyDescent="0.25"/>
    <row r="650" s="12" customFormat="1" x14ac:dyDescent="0.25"/>
    <row r="651" s="12" customFormat="1" x14ac:dyDescent="0.25"/>
    <row r="652" s="12" customFormat="1" x14ac:dyDescent="0.25"/>
    <row r="653" s="12" customFormat="1" x14ac:dyDescent="0.25"/>
    <row r="654" s="12" customFormat="1" x14ac:dyDescent="0.25"/>
    <row r="655" s="12" customFormat="1" x14ac:dyDescent="0.25"/>
    <row r="656" s="12" customFormat="1" x14ac:dyDescent="0.25"/>
    <row r="657" s="12" customFormat="1" x14ac:dyDescent="0.25"/>
    <row r="658" s="12" customFormat="1" x14ac:dyDescent="0.25"/>
    <row r="659" s="12" customFormat="1" x14ac:dyDescent="0.25"/>
    <row r="660" s="12" customFormat="1" x14ac:dyDescent="0.25"/>
    <row r="661" s="12" customFormat="1" x14ac:dyDescent="0.25"/>
    <row r="662" s="12" customFormat="1" x14ac:dyDescent="0.25"/>
    <row r="663" s="12" customFormat="1" x14ac:dyDescent="0.25"/>
    <row r="664" s="12" customFormat="1" x14ac:dyDescent="0.25"/>
    <row r="665" s="12" customFormat="1" x14ac:dyDescent="0.25"/>
    <row r="666" s="12" customFormat="1" x14ac:dyDescent="0.25"/>
    <row r="667" s="12" customFormat="1" x14ac:dyDescent="0.25"/>
    <row r="668" s="12" customFormat="1" x14ac:dyDescent="0.25"/>
    <row r="669" s="12" customFormat="1" x14ac:dyDescent="0.25"/>
    <row r="670" s="12" customFormat="1" x14ac:dyDescent="0.25"/>
    <row r="671" s="12" customFormat="1" x14ac:dyDescent="0.25"/>
    <row r="672" s="12" customFormat="1" x14ac:dyDescent="0.25"/>
    <row r="673" s="12" customFormat="1" x14ac:dyDescent="0.25"/>
    <row r="674" s="12" customFormat="1" x14ac:dyDescent="0.25"/>
    <row r="675" s="12" customFormat="1" x14ac:dyDescent="0.25"/>
    <row r="676" s="12" customFormat="1" x14ac:dyDescent="0.25"/>
    <row r="677" s="12" customFormat="1" x14ac:dyDescent="0.25"/>
    <row r="678" s="12" customFormat="1" x14ac:dyDescent="0.25"/>
    <row r="679" s="12" customFormat="1" x14ac:dyDescent="0.25"/>
    <row r="680" s="12" customFormat="1" x14ac:dyDescent="0.25"/>
    <row r="681" s="12" customFormat="1" x14ac:dyDescent="0.25"/>
    <row r="682" s="12" customFormat="1" x14ac:dyDescent="0.25"/>
    <row r="683" s="12" customFormat="1" x14ac:dyDescent="0.25"/>
    <row r="684" s="12" customFormat="1" x14ac:dyDescent="0.25"/>
    <row r="685" s="12" customFormat="1" x14ac:dyDescent="0.25"/>
    <row r="686" s="12" customFormat="1" x14ac:dyDescent="0.25"/>
    <row r="687" s="12" customFormat="1" x14ac:dyDescent="0.25"/>
    <row r="688" s="12" customFormat="1" x14ac:dyDescent="0.25"/>
    <row r="689" s="12" customFormat="1" x14ac:dyDescent="0.25"/>
    <row r="690" s="12" customFormat="1" x14ac:dyDescent="0.25"/>
    <row r="691" s="12" customFormat="1" x14ac:dyDescent="0.25"/>
    <row r="692" s="12" customFormat="1" x14ac:dyDescent="0.25"/>
    <row r="693" s="12" customFormat="1" x14ac:dyDescent="0.25"/>
    <row r="694" s="12" customFormat="1" x14ac:dyDescent="0.25"/>
    <row r="695" s="12" customFormat="1" x14ac:dyDescent="0.25"/>
    <row r="696" s="12" customFormat="1" x14ac:dyDescent="0.25"/>
    <row r="697" s="12" customFormat="1" x14ac:dyDescent="0.25"/>
    <row r="698" s="12" customFormat="1" x14ac:dyDescent="0.25"/>
    <row r="699" s="12" customFormat="1" x14ac:dyDescent="0.25"/>
    <row r="700" s="12" customFormat="1" x14ac:dyDescent="0.25"/>
    <row r="701" s="12" customFormat="1" x14ac:dyDescent="0.25"/>
    <row r="702" s="12" customFormat="1" x14ac:dyDescent="0.25"/>
    <row r="703" s="12" customFormat="1" x14ac:dyDescent="0.25"/>
    <row r="704" s="12" customFormat="1" x14ac:dyDescent="0.25"/>
    <row r="705" s="12" customFormat="1" x14ac:dyDescent="0.25"/>
    <row r="706" s="12" customFormat="1" x14ac:dyDescent="0.25"/>
    <row r="707" s="12" customFormat="1" x14ac:dyDescent="0.25"/>
    <row r="708" s="12" customFormat="1" x14ac:dyDescent="0.25"/>
    <row r="709" s="12" customFormat="1" x14ac:dyDescent="0.25"/>
    <row r="710" s="12" customFormat="1" x14ac:dyDescent="0.25"/>
    <row r="711" s="12" customFormat="1" x14ac:dyDescent="0.25"/>
    <row r="712" s="12" customFormat="1" x14ac:dyDescent="0.25"/>
    <row r="713" s="12" customFormat="1" x14ac:dyDescent="0.25"/>
    <row r="714" s="12" customFormat="1" x14ac:dyDescent="0.25"/>
    <row r="715" s="12" customFormat="1" x14ac:dyDescent="0.25"/>
    <row r="716" s="12" customFormat="1" x14ac:dyDescent="0.25"/>
    <row r="717" s="12" customFormat="1" x14ac:dyDescent="0.25"/>
    <row r="718" s="12" customFormat="1" x14ac:dyDescent="0.25"/>
    <row r="719" s="12" customFormat="1" x14ac:dyDescent="0.25"/>
    <row r="720" s="12" customFormat="1" x14ac:dyDescent="0.25"/>
    <row r="721" s="12" customFormat="1" x14ac:dyDescent="0.25"/>
    <row r="722" s="12" customFormat="1" x14ac:dyDescent="0.25"/>
    <row r="723" s="12" customFormat="1" x14ac:dyDescent="0.25"/>
    <row r="724" s="12" customFormat="1" x14ac:dyDescent="0.25"/>
    <row r="725" s="12" customFormat="1" x14ac:dyDescent="0.25"/>
    <row r="726" s="12" customFormat="1" x14ac:dyDescent="0.25"/>
    <row r="727" s="12" customFormat="1" x14ac:dyDescent="0.25"/>
    <row r="728" s="12" customFormat="1" x14ac:dyDescent="0.25"/>
    <row r="729" s="12" customFormat="1" x14ac:dyDescent="0.25"/>
    <row r="730" s="12" customFormat="1" x14ac:dyDescent="0.25"/>
    <row r="731" s="12" customFormat="1" x14ac:dyDescent="0.25"/>
    <row r="732" s="12" customFormat="1" x14ac:dyDescent="0.25"/>
    <row r="733" s="12" customFormat="1" x14ac:dyDescent="0.25"/>
    <row r="734" s="12" customFormat="1" x14ac:dyDescent="0.25"/>
    <row r="735" s="12" customFormat="1" x14ac:dyDescent="0.25"/>
    <row r="736" s="12" customFormat="1" x14ac:dyDescent="0.25"/>
    <row r="737" s="12" customFormat="1" x14ac:dyDescent="0.25"/>
    <row r="738" s="12" customFormat="1" x14ac:dyDescent="0.25"/>
    <row r="739" s="12" customFormat="1" x14ac:dyDescent="0.25"/>
    <row r="740" s="12" customFormat="1" x14ac:dyDescent="0.25"/>
    <row r="741" s="12" customFormat="1" x14ac:dyDescent="0.25"/>
    <row r="742" s="12" customFormat="1" x14ac:dyDescent="0.25"/>
    <row r="743" s="12" customFormat="1" x14ac:dyDescent="0.25"/>
    <row r="744" s="12" customFormat="1" x14ac:dyDescent="0.25"/>
    <row r="745" s="12" customFormat="1" x14ac:dyDescent="0.25"/>
    <row r="746" s="12" customFormat="1" x14ac:dyDescent="0.25"/>
    <row r="747" s="12" customFormat="1" x14ac:dyDescent="0.25"/>
    <row r="748" s="12" customFormat="1" x14ac:dyDescent="0.25"/>
    <row r="749" s="12" customFormat="1" x14ac:dyDescent="0.25"/>
    <row r="750" s="12" customFormat="1" x14ac:dyDescent="0.25"/>
    <row r="751" s="12" customFormat="1" x14ac:dyDescent="0.25"/>
    <row r="752" s="12" customFormat="1" x14ac:dyDescent="0.25"/>
    <row r="753" s="12" customFormat="1" x14ac:dyDescent="0.25"/>
    <row r="754" s="12" customFormat="1" x14ac:dyDescent="0.25"/>
    <row r="755" s="12" customFormat="1" x14ac:dyDescent="0.25"/>
    <row r="756" s="12" customFormat="1" x14ac:dyDescent="0.25"/>
    <row r="757" s="12" customFormat="1" x14ac:dyDescent="0.25"/>
    <row r="758" s="12" customFormat="1" x14ac:dyDescent="0.25"/>
    <row r="759" s="12" customFormat="1" x14ac:dyDescent="0.25"/>
    <row r="760" s="12" customFormat="1" x14ac:dyDescent="0.25"/>
    <row r="761" s="12" customFormat="1" x14ac:dyDescent="0.25"/>
    <row r="762" s="12" customFormat="1" x14ac:dyDescent="0.25"/>
    <row r="763" s="12" customFormat="1" x14ac:dyDescent="0.25"/>
    <row r="764" s="12" customFormat="1" x14ac:dyDescent="0.25"/>
    <row r="765" s="12" customFormat="1" x14ac:dyDescent="0.25"/>
    <row r="766" s="12" customFormat="1" x14ac:dyDescent="0.25"/>
    <row r="767" s="12" customFormat="1" x14ac:dyDescent="0.25"/>
    <row r="768" s="12" customFormat="1" x14ac:dyDescent="0.25"/>
    <row r="769" s="12" customFormat="1" x14ac:dyDescent="0.25"/>
    <row r="770" s="12" customFormat="1" x14ac:dyDescent="0.25"/>
    <row r="771" s="12" customFormat="1" x14ac:dyDescent="0.25"/>
    <row r="772" s="12" customFormat="1" x14ac:dyDescent="0.25"/>
    <row r="773" s="12" customFormat="1" x14ac:dyDescent="0.25"/>
    <row r="774" s="12" customFormat="1" x14ac:dyDescent="0.25"/>
    <row r="775" s="12" customFormat="1" x14ac:dyDescent="0.25"/>
    <row r="776" s="12" customFormat="1" x14ac:dyDescent="0.25"/>
    <row r="777" s="12" customFormat="1" x14ac:dyDescent="0.25"/>
    <row r="778" s="12" customFormat="1" x14ac:dyDescent="0.25"/>
    <row r="779" s="12" customFormat="1" x14ac:dyDescent="0.25"/>
    <row r="780" s="12" customFormat="1" x14ac:dyDescent="0.25"/>
    <row r="781" s="12" customFormat="1" x14ac:dyDescent="0.25"/>
    <row r="782" s="12" customFormat="1" x14ac:dyDescent="0.25"/>
    <row r="783" s="12" customFormat="1" x14ac:dyDescent="0.25"/>
    <row r="784" s="12" customFormat="1" x14ac:dyDescent="0.25"/>
    <row r="785" s="12" customFormat="1" x14ac:dyDescent="0.25"/>
    <row r="786" s="12" customFormat="1" x14ac:dyDescent="0.25"/>
    <row r="787" s="12" customFormat="1" x14ac:dyDescent="0.25"/>
    <row r="788" s="12" customFormat="1" x14ac:dyDescent="0.25"/>
    <row r="789" s="12" customFormat="1" x14ac:dyDescent="0.25"/>
    <row r="790" s="12" customFormat="1" x14ac:dyDescent="0.25"/>
    <row r="791" s="12" customFormat="1" x14ac:dyDescent="0.25"/>
    <row r="792" s="12" customFormat="1" x14ac:dyDescent="0.25"/>
    <row r="793" s="12" customFormat="1" x14ac:dyDescent="0.25"/>
    <row r="794" s="12" customFormat="1" x14ac:dyDescent="0.25"/>
    <row r="795" s="12" customFormat="1" x14ac:dyDescent="0.25"/>
    <row r="796" s="12" customFormat="1" x14ac:dyDescent="0.25"/>
    <row r="797" s="12" customFormat="1" x14ac:dyDescent="0.25"/>
    <row r="798" s="12" customFormat="1" x14ac:dyDescent="0.25"/>
    <row r="799" s="12" customFormat="1" x14ac:dyDescent="0.25"/>
    <row r="800" s="12" customFormat="1" x14ac:dyDescent="0.25"/>
    <row r="801" s="12" customFormat="1" x14ac:dyDescent="0.25"/>
    <row r="802" s="12" customFormat="1" x14ac:dyDescent="0.25"/>
    <row r="803" s="12" customFormat="1" x14ac:dyDescent="0.25"/>
    <row r="804" s="12" customFormat="1" x14ac:dyDescent="0.25"/>
    <row r="805" s="12" customFormat="1" x14ac:dyDescent="0.25"/>
    <row r="806" s="12" customFormat="1" x14ac:dyDescent="0.25"/>
    <row r="807" s="12" customFormat="1" x14ac:dyDescent="0.25"/>
    <row r="808" s="12" customFormat="1" x14ac:dyDescent="0.25"/>
    <row r="809" s="12" customFormat="1" x14ac:dyDescent="0.25"/>
    <row r="810" s="12" customFormat="1" x14ac:dyDescent="0.25"/>
    <row r="811" s="12" customFormat="1" x14ac:dyDescent="0.25"/>
    <row r="812" s="12" customFormat="1" x14ac:dyDescent="0.25"/>
    <row r="813" s="12" customFormat="1" x14ac:dyDescent="0.25"/>
    <row r="814" s="12" customFormat="1" x14ac:dyDescent="0.25"/>
    <row r="815" s="12" customFormat="1" x14ac:dyDescent="0.25"/>
    <row r="816" s="12" customFormat="1" x14ac:dyDescent="0.25"/>
    <row r="817" s="12" customFormat="1" x14ac:dyDescent="0.25"/>
    <row r="818" s="12" customFormat="1" x14ac:dyDescent="0.25"/>
    <row r="819" s="12" customFormat="1" x14ac:dyDescent="0.25"/>
    <row r="820" s="12" customFormat="1" x14ac:dyDescent="0.25"/>
    <row r="821" s="12" customFormat="1" x14ac:dyDescent="0.25"/>
    <row r="822" s="12" customFormat="1" x14ac:dyDescent="0.25"/>
    <row r="823" s="12" customFormat="1" x14ac:dyDescent="0.25"/>
    <row r="824" s="12" customFormat="1" x14ac:dyDescent="0.25"/>
    <row r="825" s="12" customFormat="1" x14ac:dyDescent="0.25"/>
    <row r="826" s="12" customFormat="1" x14ac:dyDescent="0.25"/>
    <row r="827" s="12" customFormat="1" x14ac:dyDescent="0.25"/>
    <row r="828" s="12" customFormat="1" x14ac:dyDescent="0.25"/>
    <row r="829" s="12" customFormat="1" x14ac:dyDescent="0.25"/>
    <row r="830" s="12" customFormat="1" x14ac:dyDescent="0.25"/>
    <row r="831" s="12" customFormat="1" x14ac:dyDescent="0.25"/>
    <row r="832" s="12" customFormat="1" x14ac:dyDescent="0.25"/>
    <row r="833" s="12" customFormat="1" x14ac:dyDescent="0.25"/>
    <row r="834" s="12" customFormat="1" x14ac:dyDescent="0.25"/>
    <row r="835" s="12" customFormat="1" x14ac:dyDescent="0.25"/>
    <row r="836" s="12" customFormat="1" x14ac:dyDescent="0.25"/>
    <row r="837" s="12" customFormat="1" x14ac:dyDescent="0.25"/>
    <row r="838" s="12" customFormat="1" x14ac:dyDescent="0.25"/>
    <row r="839" s="12" customFormat="1" x14ac:dyDescent="0.25"/>
    <row r="840" s="12" customFormat="1" x14ac:dyDescent="0.25"/>
    <row r="841" s="12" customFormat="1" x14ac:dyDescent="0.25"/>
    <row r="842" s="12" customFormat="1" x14ac:dyDescent="0.25"/>
    <row r="843" s="12" customFormat="1" x14ac:dyDescent="0.25"/>
    <row r="844" s="12" customFormat="1" x14ac:dyDescent="0.25"/>
    <row r="845" s="12" customFormat="1" x14ac:dyDescent="0.25"/>
    <row r="846" s="12" customFormat="1" x14ac:dyDescent="0.25"/>
    <row r="847" s="12" customFormat="1" x14ac:dyDescent="0.25"/>
    <row r="848" s="12" customFormat="1" x14ac:dyDescent="0.25"/>
    <row r="849" s="12" customFormat="1" x14ac:dyDescent="0.25"/>
    <row r="850" s="12" customFormat="1" x14ac:dyDescent="0.25"/>
    <row r="851" s="12" customFormat="1" x14ac:dyDescent="0.25"/>
    <row r="852" s="12" customFormat="1" x14ac:dyDescent="0.25"/>
    <row r="853" s="12" customFormat="1" x14ac:dyDescent="0.25"/>
    <row r="854" s="12" customFormat="1" x14ac:dyDescent="0.25"/>
    <row r="855" s="12" customFormat="1" x14ac:dyDescent="0.25"/>
    <row r="856" s="12" customFormat="1" x14ac:dyDescent="0.25"/>
    <row r="857" s="12" customFormat="1" x14ac:dyDescent="0.25"/>
    <row r="858" s="12" customFormat="1" x14ac:dyDescent="0.25"/>
    <row r="859" s="12" customFormat="1" x14ac:dyDescent="0.25"/>
    <row r="860" s="12" customFormat="1" x14ac:dyDescent="0.25"/>
    <row r="861" s="12" customFormat="1" x14ac:dyDescent="0.25"/>
    <row r="862" s="12" customFormat="1" x14ac:dyDescent="0.25"/>
    <row r="863" s="12" customFormat="1" x14ac:dyDescent="0.25"/>
    <row r="864" s="12" customFormat="1" x14ac:dyDescent="0.25"/>
    <row r="865" s="12" customFormat="1" x14ac:dyDescent="0.25"/>
    <row r="866" s="12" customFormat="1" x14ac:dyDescent="0.25"/>
    <row r="867" s="12" customFormat="1" x14ac:dyDescent="0.25"/>
    <row r="868" s="12" customFormat="1" x14ac:dyDescent="0.25"/>
    <row r="869" s="12" customFormat="1" x14ac:dyDescent="0.25"/>
    <row r="870" s="12" customFormat="1" x14ac:dyDescent="0.25"/>
    <row r="871" s="12" customFormat="1" x14ac:dyDescent="0.25"/>
    <row r="872" s="12" customFormat="1" x14ac:dyDescent="0.25"/>
    <row r="873" s="12" customFormat="1" x14ac:dyDescent="0.25"/>
    <row r="874" s="12" customFormat="1" x14ac:dyDescent="0.25"/>
    <row r="875" s="12" customFormat="1" x14ac:dyDescent="0.25"/>
    <row r="876" s="12" customFormat="1" x14ac:dyDescent="0.25"/>
    <row r="877" s="12" customFormat="1" x14ac:dyDescent="0.25"/>
    <row r="878" s="12" customFormat="1" x14ac:dyDescent="0.25"/>
    <row r="879" s="12" customFormat="1" x14ac:dyDescent="0.25"/>
    <row r="880" s="12" customFormat="1" x14ac:dyDescent="0.25"/>
    <row r="881" s="12" customFormat="1" x14ac:dyDescent="0.25"/>
    <row r="882" s="12" customFormat="1" x14ac:dyDescent="0.25"/>
    <row r="883" s="12" customFormat="1" x14ac:dyDescent="0.25"/>
    <row r="884" s="12" customFormat="1" x14ac:dyDescent="0.25"/>
    <row r="885" s="12" customFormat="1" x14ac:dyDescent="0.25"/>
    <row r="886" s="12" customFormat="1" x14ac:dyDescent="0.25"/>
    <row r="887" s="12" customFormat="1" x14ac:dyDescent="0.25"/>
    <row r="888" s="12" customFormat="1" x14ac:dyDescent="0.25"/>
    <row r="889" s="12" customFormat="1" x14ac:dyDescent="0.25"/>
    <row r="890" s="12" customFormat="1" x14ac:dyDescent="0.25"/>
    <row r="891" s="12" customFormat="1" x14ac:dyDescent="0.25"/>
    <row r="892" s="12" customFormat="1" x14ac:dyDescent="0.25"/>
    <row r="893" s="12" customFormat="1" x14ac:dyDescent="0.25"/>
    <row r="894" s="12" customFormat="1" x14ac:dyDescent="0.25"/>
    <row r="895" s="12" customFormat="1" x14ac:dyDescent="0.25"/>
    <row r="896" s="12" customFormat="1" x14ac:dyDescent="0.25"/>
    <row r="897" s="12" customFormat="1" x14ac:dyDescent="0.25"/>
    <row r="898" s="12" customFormat="1" x14ac:dyDescent="0.25"/>
    <row r="899" s="12" customFormat="1" x14ac:dyDescent="0.25"/>
    <row r="900" s="12" customFormat="1" x14ac:dyDescent="0.25"/>
    <row r="901" s="12" customFormat="1" x14ac:dyDescent="0.25"/>
    <row r="902" s="12" customFormat="1" x14ac:dyDescent="0.25"/>
    <row r="903" s="12" customFormat="1" x14ac:dyDescent="0.25"/>
    <row r="904" s="12" customFormat="1" x14ac:dyDescent="0.25"/>
    <row r="905" s="12" customFormat="1" x14ac:dyDescent="0.25"/>
    <row r="906" s="12" customFormat="1" x14ac:dyDescent="0.25"/>
    <row r="907" s="12" customFormat="1" x14ac:dyDescent="0.25"/>
    <row r="908" s="12" customFormat="1" x14ac:dyDescent="0.25"/>
    <row r="909" s="12" customFormat="1" x14ac:dyDescent="0.25"/>
    <row r="910" s="12" customFormat="1" x14ac:dyDescent="0.25"/>
    <row r="911" s="12" customFormat="1" x14ac:dyDescent="0.25"/>
    <row r="912" s="12" customFormat="1" x14ac:dyDescent="0.25"/>
    <row r="913" s="12" customFormat="1" x14ac:dyDescent="0.25"/>
    <row r="914" s="12" customFormat="1" x14ac:dyDescent="0.25"/>
    <row r="915" s="12" customFormat="1" x14ac:dyDescent="0.25"/>
    <row r="916" s="12" customFormat="1" x14ac:dyDescent="0.25"/>
    <row r="917" s="12" customFormat="1" x14ac:dyDescent="0.25"/>
    <row r="918" s="12" customFormat="1" x14ac:dyDescent="0.25"/>
    <row r="919" s="12" customFormat="1" x14ac:dyDescent="0.25"/>
    <row r="920" s="12" customFormat="1" x14ac:dyDescent="0.25"/>
    <row r="921" s="12" customFormat="1" x14ac:dyDescent="0.25"/>
    <row r="922" s="12" customFormat="1" x14ac:dyDescent="0.25"/>
    <row r="923" s="12" customFormat="1" x14ac:dyDescent="0.25"/>
    <row r="924" s="12" customFormat="1" x14ac:dyDescent="0.25"/>
    <row r="925" s="12" customFormat="1" x14ac:dyDescent="0.25"/>
    <row r="926" s="12" customFormat="1" x14ac:dyDescent="0.25"/>
    <row r="927" s="12" customFormat="1" x14ac:dyDescent="0.25"/>
    <row r="928" s="12" customFormat="1" x14ac:dyDescent="0.25"/>
    <row r="929" s="12" customFormat="1" x14ac:dyDescent="0.25"/>
    <row r="930" s="12" customFormat="1" x14ac:dyDescent="0.25"/>
    <row r="931" s="12" customFormat="1" x14ac:dyDescent="0.25"/>
    <row r="932" s="12" customFormat="1" x14ac:dyDescent="0.25"/>
    <row r="933" s="12" customFormat="1" x14ac:dyDescent="0.25"/>
    <row r="934" s="12" customFormat="1" x14ac:dyDescent="0.25"/>
    <row r="935" s="12" customFormat="1" x14ac:dyDescent="0.25"/>
    <row r="936" s="12" customFormat="1" x14ac:dyDescent="0.25"/>
    <row r="937" s="12" customFormat="1" x14ac:dyDescent="0.25"/>
    <row r="938" s="12" customFormat="1" x14ac:dyDescent="0.25"/>
    <row r="939" s="12" customFormat="1" x14ac:dyDescent="0.25"/>
    <row r="940" s="12" customFormat="1" x14ac:dyDescent="0.25"/>
    <row r="941" s="12" customFormat="1" x14ac:dyDescent="0.25"/>
    <row r="942" s="12" customFormat="1" x14ac:dyDescent="0.25"/>
    <row r="943" s="12" customFormat="1" x14ac:dyDescent="0.25"/>
    <row r="944" s="12" customFormat="1" x14ac:dyDescent="0.25"/>
    <row r="945" s="12" customFormat="1" x14ac:dyDescent="0.25"/>
    <row r="946" s="12" customFormat="1" x14ac:dyDescent="0.25"/>
    <row r="947" s="12" customFormat="1" x14ac:dyDescent="0.25"/>
    <row r="948" s="12" customFormat="1" x14ac:dyDescent="0.25"/>
    <row r="949" s="12" customFormat="1" x14ac:dyDescent="0.25"/>
    <row r="950" s="12" customFormat="1" x14ac:dyDescent="0.25"/>
    <row r="951" s="12" customFormat="1" x14ac:dyDescent="0.25"/>
    <row r="952" s="12" customFormat="1" x14ac:dyDescent="0.25"/>
    <row r="953" s="12" customFormat="1" x14ac:dyDescent="0.25"/>
    <row r="954" s="12" customFormat="1" x14ac:dyDescent="0.25"/>
    <row r="955" s="12" customFormat="1" x14ac:dyDescent="0.25"/>
    <row r="956" s="12" customFormat="1" x14ac:dyDescent="0.25"/>
    <row r="957" s="12" customFormat="1" x14ac:dyDescent="0.25"/>
    <row r="958" s="12" customFormat="1" x14ac:dyDescent="0.25"/>
    <row r="959" s="12" customFormat="1" x14ac:dyDescent="0.25"/>
    <row r="960" s="12" customFormat="1" x14ac:dyDescent="0.25"/>
    <row r="961" s="12" customFormat="1" x14ac:dyDescent="0.25"/>
    <row r="962" s="12" customFormat="1" x14ac:dyDescent="0.25"/>
  </sheetData>
  <mergeCells count="1">
    <mergeCell ref="K2:O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C248"/>
  <sheetViews>
    <sheetView zoomScale="90" zoomScaleNormal="90" workbookViewId="0">
      <selection activeCell="J38" sqref="J38"/>
    </sheetView>
  </sheetViews>
  <sheetFormatPr defaultColWidth="8.85546875" defaultRowHeight="12" x14ac:dyDescent="0.25"/>
  <cols>
    <col min="1" max="1" width="2.85546875" style="1598" customWidth="1"/>
    <col min="2" max="2" width="22.5703125" style="1598" bestFit="1" customWidth="1"/>
    <col min="3" max="3" width="14.5703125" style="1598" customWidth="1"/>
    <col min="4" max="4" width="10.85546875" style="1598" customWidth="1"/>
    <col min="5" max="5" width="12.42578125" style="1598" bestFit="1" customWidth="1"/>
    <col min="6" max="6" width="18.5703125" style="1598" bestFit="1" customWidth="1"/>
    <col min="7" max="7" width="16.140625" style="1598" bestFit="1" customWidth="1"/>
    <col min="8" max="8" width="3" style="1598" customWidth="1"/>
    <col min="9" max="9" width="8.85546875" style="1598" customWidth="1"/>
    <col min="10" max="10" width="14" style="1598" customWidth="1"/>
    <col min="11" max="11" width="16.85546875" style="1598" bestFit="1" customWidth="1"/>
    <col min="12" max="12" width="5.5703125" style="1598" bestFit="1" customWidth="1"/>
    <col min="13" max="13" width="13.140625" style="1598" customWidth="1"/>
    <col min="14" max="14" width="5.5703125" style="1598" bestFit="1" customWidth="1"/>
    <col min="15" max="15" width="12.5703125" style="1598" customWidth="1"/>
    <col min="16" max="16" width="19" style="1598" customWidth="1"/>
    <col min="17" max="17" width="18.140625" style="1598" bestFit="1" customWidth="1"/>
    <col min="18" max="18" width="8.85546875" style="1598" customWidth="1"/>
    <col min="19" max="19" width="8.140625" style="1598" customWidth="1"/>
    <col min="20" max="20" width="12.5703125" style="1598" bestFit="1" customWidth="1"/>
    <col min="21" max="21" width="9.85546875" style="1598" customWidth="1"/>
    <col min="22" max="22" width="8.85546875" style="1598" customWidth="1"/>
    <col min="23" max="26" width="8.85546875" style="1598"/>
    <col min="27" max="27" width="8.85546875" style="1598" customWidth="1"/>
    <col min="28" max="28" width="180.140625" style="1598" customWidth="1"/>
    <col min="29" max="29" width="38.140625" style="1598" customWidth="1"/>
    <col min="30" max="16384" width="8.85546875" style="1598"/>
  </cols>
  <sheetData>
    <row r="1" spans="1:29" x14ac:dyDescent="0.25">
      <c r="A1" s="1618"/>
      <c r="B1" s="1618"/>
      <c r="C1" s="1618"/>
      <c r="D1" s="1618"/>
      <c r="E1" s="1618"/>
      <c r="F1" s="1618"/>
      <c r="G1" s="1618"/>
      <c r="H1" s="1618"/>
      <c r="I1" s="1618"/>
      <c r="J1" s="1618"/>
      <c r="K1" s="1618"/>
      <c r="L1" s="1618"/>
      <c r="M1" s="1618"/>
      <c r="N1" s="1618"/>
      <c r="O1" s="1618"/>
      <c r="P1" s="1618"/>
      <c r="Q1" s="1618"/>
      <c r="R1" s="1618"/>
      <c r="S1" s="1618"/>
      <c r="T1" s="1618"/>
      <c r="U1" s="1618"/>
      <c r="V1" s="1618"/>
      <c r="W1" s="1618"/>
      <c r="X1" s="1618"/>
      <c r="Y1" s="1618"/>
      <c r="Z1" s="1618"/>
    </row>
    <row r="2" spans="1:29" ht="15" x14ac:dyDescent="0.25">
      <c r="A2" s="1618"/>
      <c r="B2" s="1948" t="s">
        <v>682</v>
      </c>
      <c r="C2" s="1948"/>
      <c r="D2" s="1948"/>
      <c r="E2" s="1948"/>
      <c r="F2" s="1948"/>
      <c r="G2" s="1618"/>
      <c r="H2" s="1618"/>
      <c r="N2" s="1618"/>
      <c r="V2" s="1618"/>
      <c r="W2" s="1618"/>
      <c r="X2" s="1618"/>
      <c r="Y2" s="1618"/>
      <c r="Z2" s="1618"/>
      <c r="AB2" s="1598" t="s">
        <v>6</v>
      </c>
      <c r="AC2" t="s">
        <v>473</v>
      </c>
    </row>
    <row r="3" spans="1:29" ht="15" x14ac:dyDescent="0.25">
      <c r="A3" s="1618"/>
      <c r="B3" s="1604" t="s">
        <v>252</v>
      </c>
      <c r="C3" s="1604" t="s">
        <v>685</v>
      </c>
      <c r="D3" s="1604" t="s">
        <v>684</v>
      </c>
      <c r="E3" s="1604" t="s">
        <v>688</v>
      </c>
      <c r="F3" s="1604" t="s">
        <v>683</v>
      </c>
      <c r="G3" s="1618"/>
      <c r="H3" s="1618"/>
      <c r="I3" s="1955" t="s">
        <v>1082</v>
      </c>
      <c r="J3" s="1956"/>
      <c r="K3" s="1956"/>
      <c r="L3" s="1956"/>
      <c r="M3" s="1956"/>
      <c r="N3" s="1956"/>
      <c r="O3" s="1957"/>
      <c r="V3" s="1618"/>
      <c r="W3" s="1618"/>
      <c r="X3" s="1618"/>
      <c r="Y3" s="1618"/>
      <c r="Z3" s="1618"/>
      <c r="AB3" s="1598" t="s">
        <v>64</v>
      </c>
      <c r="AC3" t="s">
        <v>841</v>
      </c>
    </row>
    <row r="4" spans="1:29" ht="15" x14ac:dyDescent="0.25">
      <c r="A4" s="1618"/>
      <c r="B4" s="1675">
        <f>Pressupostos!C10</f>
        <v>2018</v>
      </c>
      <c r="C4" s="1605">
        <f ca="1">SUMIF(DR!D4:F5,Relatório!B4,DR!D6:F6)</f>
        <v>0</v>
      </c>
      <c r="D4" s="1606"/>
      <c r="E4" s="1605">
        <f ca="1">C4-D4</f>
        <v>0</v>
      </c>
      <c r="F4" s="1761" t="e">
        <f ca="1">(C4-D4)/C4</f>
        <v>#DIV/0!</v>
      </c>
      <c r="G4" s="1618"/>
      <c r="H4" s="1618"/>
      <c r="I4" s="1958"/>
      <c r="J4" s="1959"/>
      <c r="K4" s="1959"/>
      <c r="L4" s="1959"/>
      <c r="M4" s="1959"/>
      <c r="N4" s="1959"/>
      <c r="O4" s="1960"/>
      <c r="V4" s="1618"/>
      <c r="W4" s="1618"/>
      <c r="X4" s="1618"/>
      <c r="Y4" s="1618"/>
      <c r="Z4" s="1618"/>
      <c r="AC4" t="s">
        <v>842</v>
      </c>
    </row>
    <row r="5" spans="1:29" ht="15" x14ac:dyDescent="0.25">
      <c r="A5" s="1618"/>
      <c r="B5" s="1618"/>
      <c r="C5" s="1618"/>
      <c r="D5" s="1618"/>
      <c r="E5" s="1618"/>
      <c r="F5" s="1618"/>
      <c r="G5" s="1618"/>
      <c r="H5" s="1618"/>
      <c r="I5" s="1953" t="s">
        <v>714</v>
      </c>
      <c r="J5" s="1951" t="s">
        <v>715</v>
      </c>
      <c r="K5" s="1951" t="s">
        <v>716</v>
      </c>
      <c r="L5" s="1949" t="s">
        <v>696</v>
      </c>
      <c r="M5" s="1950"/>
      <c r="N5" s="1949" t="s">
        <v>700</v>
      </c>
      <c r="O5" s="1950"/>
      <c r="V5" s="1618"/>
      <c r="W5" s="1618"/>
      <c r="X5" s="1618"/>
      <c r="Y5" s="1618"/>
      <c r="Z5" s="1618"/>
      <c r="AB5" s="1620" t="s">
        <v>719</v>
      </c>
      <c r="AC5" t="s">
        <v>843</v>
      </c>
    </row>
    <row r="6" spans="1:29" s="1620" customFormat="1" ht="15" x14ac:dyDescent="0.25">
      <c r="A6" s="1619"/>
      <c r="B6" s="1677" t="s">
        <v>680</v>
      </c>
      <c r="C6" s="1607">
        <f>Faturas!E285</f>
        <v>93765.25</v>
      </c>
      <c r="D6" s="1780"/>
      <c r="E6" s="1619"/>
      <c r="F6" s="1619"/>
      <c r="G6" s="1619"/>
      <c r="H6" s="1619"/>
      <c r="I6" s="1954"/>
      <c r="J6" s="1952"/>
      <c r="K6" s="1952"/>
      <c r="L6" s="1701" t="s">
        <v>717</v>
      </c>
      <c r="M6" s="1701" t="s">
        <v>718</v>
      </c>
      <c r="N6" s="1701" t="s">
        <v>717</v>
      </c>
      <c r="O6" s="1701" t="s">
        <v>718</v>
      </c>
      <c r="V6" s="1619"/>
      <c r="W6" s="1619"/>
      <c r="X6" s="1619"/>
      <c r="Y6" s="1619"/>
      <c r="Z6" s="1619"/>
      <c r="AB6" s="1620" t="s">
        <v>720</v>
      </c>
      <c r="AC6" t="s">
        <v>844</v>
      </c>
    </row>
    <row r="7" spans="1:29" ht="15" x14ac:dyDescent="0.25">
      <c r="A7" s="1618"/>
      <c r="B7" s="1678" t="s">
        <v>689</v>
      </c>
      <c r="C7" s="1657">
        <f>C15</f>
        <v>4401123.3814798417</v>
      </c>
      <c r="D7" s="1618"/>
      <c r="E7" s="1658"/>
      <c r="F7" s="1618"/>
      <c r="G7" s="1618"/>
      <c r="H7" s="1618"/>
      <c r="I7" s="1696"/>
      <c r="J7" s="1695"/>
      <c r="K7" s="1695"/>
      <c r="L7" s="1728"/>
      <c r="M7" s="1710">
        <f>C18</f>
        <v>0</v>
      </c>
      <c r="N7" s="1728"/>
      <c r="O7" s="1710">
        <f>G18</f>
        <v>4401123.3814798417</v>
      </c>
      <c r="V7" s="1618"/>
      <c r="W7" s="1618"/>
      <c r="X7" s="1618"/>
      <c r="Y7" s="1618"/>
      <c r="Z7" s="1618"/>
      <c r="AB7" s="1620" t="s">
        <v>721</v>
      </c>
      <c r="AC7" t="s">
        <v>845</v>
      </c>
    </row>
    <row r="8" spans="1:29" s="1620" customFormat="1" ht="15" x14ac:dyDescent="0.25">
      <c r="A8" s="1619"/>
      <c r="B8" s="1677" t="s">
        <v>681</v>
      </c>
      <c r="C8" s="1608" t="e">
        <f ca="1">C4+(C6*1.1)/C10</f>
        <v>#DIV/0!</v>
      </c>
      <c r="D8" s="1619"/>
      <c r="E8" s="1619"/>
      <c r="F8" s="1619"/>
      <c r="G8" s="1619"/>
      <c r="H8" s="1619"/>
      <c r="I8" s="1696"/>
      <c r="J8" s="1695"/>
      <c r="K8" s="1695"/>
      <c r="L8" s="1728"/>
      <c r="M8" s="1710">
        <f t="shared" ref="M8:M14" si="0">C19</f>
        <v>0</v>
      </c>
      <c r="N8" s="1728"/>
      <c r="O8" s="1710" t="e">
        <f t="shared" ref="O8:O14" si="1">G19</f>
        <v>#DIV/0!</v>
      </c>
      <c r="V8" s="1619"/>
      <c r="W8" s="1619"/>
      <c r="X8" s="1619"/>
      <c r="Y8" s="1619"/>
      <c r="Z8" s="1619"/>
      <c r="AB8" s="1620" t="s">
        <v>722</v>
      </c>
      <c r="AC8" t="s">
        <v>846</v>
      </c>
    </row>
    <row r="9" spans="1:29" s="1620" customFormat="1" ht="15" x14ac:dyDescent="0.25">
      <c r="A9" s="1619"/>
      <c r="B9" s="1679" t="s">
        <v>68</v>
      </c>
      <c r="C9" s="1608" t="e">
        <f ca="1">C7-C8</f>
        <v>#DIV/0!</v>
      </c>
      <c r="D9" s="1619"/>
      <c r="E9" s="1619"/>
      <c r="F9" s="1619"/>
      <c r="G9" s="1619"/>
      <c r="H9" s="1619"/>
      <c r="I9" s="1696"/>
      <c r="J9" s="1695"/>
      <c r="K9" s="1695"/>
      <c r="L9" s="1728"/>
      <c r="M9" s="1710">
        <f t="shared" si="0"/>
        <v>0</v>
      </c>
      <c r="N9" s="1728"/>
      <c r="O9" s="1710" t="e">
        <f t="shared" si="1"/>
        <v>#DIV/0!</v>
      </c>
      <c r="V9" s="1619"/>
      <c r="W9" s="1619"/>
      <c r="X9" s="1619"/>
      <c r="Y9" s="1619"/>
      <c r="Z9" s="1619"/>
      <c r="AB9" s="1620" t="s">
        <v>723</v>
      </c>
      <c r="AC9" t="s">
        <v>847</v>
      </c>
    </row>
    <row r="10" spans="1:29" ht="15" x14ac:dyDescent="0.25">
      <c r="A10" s="1618"/>
      <c r="B10" s="1680" t="s">
        <v>687</v>
      </c>
      <c r="C10" s="1656"/>
      <c r="D10" s="1618"/>
      <c r="E10" s="1618"/>
      <c r="F10" s="1779"/>
      <c r="G10" s="1618"/>
      <c r="H10" s="1618"/>
      <c r="I10" s="1696"/>
      <c r="J10" s="1695"/>
      <c r="K10" s="1698"/>
      <c r="L10" s="1729"/>
      <c r="M10" s="1710">
        <f t="shared" si="0"/>
        <v>0</v>
      </c>
      <c r="N10" s="1729"/>
      <c r="O10" s="1710" t="e">
        <f t="shared" si="1"/>
        <v>#DIV/0!</v>
      </c>
      <c r="V10" s="1618"/>
      <c r="W10" s="1618"/>
      <c r="X10" s="1618"/>
      <c r="Y10" s="1618"/>
      <c r="Z10" s="1618"/>
      <c r="AB10" s="1620" t="s">
        <v>724</v>
      </c>
      <c r="AC10" t="s">
        <v>848</v>
      </c>
    </row>
    <row r="11" spans="1:29" ht="24" x14ac:dyDescent="0.25">
      <c r="A11" s="1618"/>
      <c r="B11" s="1680" t="s">
        <v>691</v>
      </c>
      <c r="C11" s="1681">
        <f ca="1">E4+C6</f>
        <v>93765.25</v>
      </c>
      <c r="D11" s="1618"/>
      <c r="E11" s="1618"/>
      <c r="F11" s="1618"/>
      <c r="G11" s="1618"/>
      <c r="H11" s="1618"/>
      <c r="I11" s="1696"/>
      <c r="J11" s="1695"/>
      <c r="K11" s="1698"/>
      <c r="L11" s="1729"/>
      <c r="M11" s="1710">
        <f t="shared" si="0"/>
        <v>0</v>
      </c>
      <c r="N11" s="1729"/>
      <c r="O11" s="1710" t="e">
        <f t="shared" si="1"/>
        <v>#DIV/0!</v>
      </c>
      <c r="V11" s="1618"/>
      <c r="W11" s="1618"/>
      <c r="X11" s="1618"/>
      <c r="Y11" s="1618"/>
      <c r="Z11" s="1618"/>
      <c r="AB11" s="1620" t="s">
        <v>725</v>
      </c>
      <c r="AC11" t="s">
        <v>849</v>
      </c>
    </row>
    <row r="12" spans="1:29" ht="15" x14ac:dyDescent="0.25">
      <c r="A12" s="1618"/>
      <c r="B12" s="1618"/>
      <c r="C12" s="1618"/>
      <c r="D12" s="1618"/>
      <c r="E12" s="1618"/>
      <c r="F12" s="1618"/>
      <c r="G12" s="1618"/>
      <c r="H12" s="1618"/>
      <c r="I12" s="1696"/>
      <c r="J12" s="1695"/>
      <c r="K12" s="1698"/>
      <c r="L12" s="1729"/>
      <c r="M12" s="1710">
        <f t="shared" si="0"/>
        <v>0</v>
      </c>
      <c r="N12" s="1729"/>
      <c r="O12" s="1710" t="e">
        <f t="shared" si="1"/>
        <v>#DIV/0!</v>
      </c>
      <c r="V12" s="1618"/>
      <c r="W12" s="1618"/>
      <c r="X12" s="1618"/>
      <c r="Y12" s="1618"/>
      <c r="Z12" s="1618"/>
      <c r="AB12" s="1620" t="s">
        <v>726</v>
      </c>
      <c r="AC12" t="s">
        <v>850</v>
      </c>
    </row>
    <row r="13" spans="1:29" ht="15" x14ac:dyDescent="0.25">
      <c r="A13" s="1618"/>
      <c r="B13" s="1659" t="s">
        <v>686</v>
      </c>
      <c r="C13" s="1660"/>
      <c r="D13" s="1660"/>
      <c r="E13" s="1660"/>
      <c r="F13" s="1661"/>
      <c r="G13" s="1618"/>
      <c r="H13" s="1618"/>
      <c r="I13" s="1696"/>
      <c r="J13" s="1695"/>
      <c r="K13" s="1698"/>
      <c r="L13" s="1729"/>
      <c r="M13" s="1710">
        <f t="shared" si="0"/>
        <v>0</v>
      </c>
      <c r="N13" s="1729"/>
      <c r="O13" s="1710" t="e">
        <f t="shared" si="1"/>
        <v>#DIV/0!</v>
      </c>
      <c r="V13" s="1618"/>
      <c r="W13" s="1618"/>
      <c r="X13" s="1618"/>
      <c r="Y13" s="1618"/>
      <c r="Z13" s="1618"/>
      <c r="AB13" s="1620" t="s">
        <v>727</v>
      </c>
      <c r="AC13" t="s">
        <v>851</v>
      </c>
    </row>
    <row r="14" spans="1:29" ht="15" x14ac:dyDescent="0.25">
      <c r="A14" s="1618"/>
      <c r="B14" s="1604" t="s">
        <v>252</v>
      </c>
      <c r="C14" s="1604" t="s">
        <v>685</v>
      </c>
      <c r="D14" s="1604" t="s">
        <v>684</v>
      </c>
      <c r="E14" s="1604" t="s">
        <v>688</v>
      </c>
      <c r="F14" s="1604" t="s">
        <v>683</v>
      </c>
      <c r="G14" s="1618"/>
      <c r="H14" s="1618"/>
      <c r="I14" s="1697"/>
      <c r="J14" s="1695"/>
      <c r="K14" s="1698"/>
      <c r="L14" s="1729"/>
      <c r="M14" s="1710">
        <f t="shared" si="0"/>
        <v>0</v>
      </c>
      <c r="N14" s="1729"/>
      <c r="O14" s="1710" t="e">
        <f t="shared" si="1"/>
        <v>#DIV/0!</v>
      </c>
      <c r="V14" s="1618"/>
      <c r="W14" s="1618"/>
      <c r="X14" s="1618"/>
      <c r="Y14" s="1618"/>
      <c r="Z14" s="1618"/>
      <c r="AB14" s="1620" t="s">
        <v>728</v>
      </c>
      <c r="AC14" t="s">
        <v>852</v>
      </c>
    </row>
    <row r="15" spans="1:29" ht="15" x14ac:dyDescent="0.25">
      <c r="A15" s="1618"/>
      <c r="B15" s="1676">
        <f>Pressupostos!C13</f>
        <v>2023</v>
      </c>
      <c r="C15" s="1605">
        <f>SUMIF('DR Empresa'!C4:L4,B15,'DR Empresa'!C5:L5)</f>
        <v>4401123.3814798417</v>
      </c>
      <c r="D15" s="1605">
        <f>C15-E15</f>
        <v>4401123.3814798417</v>
      </c>
      <c r="E15" s="1605">
        <f>C15*F15</f>
        <v>0</v>
      </c>
      <c r="F15" s="1609">
        <f>C10</f>
        <v>0</v>
      </c>
      <c r="G15" s="1618"/>
      <c r="H15" s="1618"/>
      <c r="I15" s="1699"/>
      <c r="J15" s="1698"/>
      <c r="K15" s="1698"/>
      <c r="L15" s="1729"/>
      <c r="M15" s="1710"/>
      <c r="N15" s="1729"/>
      <c r="O15" s="1710"/>
      <c r="V15" s="1618"/>
      <c r="W15" s="1618"/>
      <c r="X15" s="1618"/>
      <c r="Y15" s="1618"/>
      <c r="Z15" s="1618"/>
      <c r="AB15" s="1620" t="s">
        <v>729</v>
      </c>
      <c r="AC15" t="s">
        <v>853</v>
      </c>
    </row>
    <row r="16" spans="1:29" ht="15" x14ac:dyDescent="0.25">
      <c r="A16" s="1618"/>
      <c r="B16" s="1618"/>
      <c r="C16" s="1618"/>
      <c r="D16" s="1618"/>
      <c r="E16" s="1618"/>
      <c r="F16" s="1618"/>
      <c r="G16" s="1618"/>
      <c r="H16" s="1618"/>
      <c r="I16" s="1699"/>
      <c r="J16" s="1698"/>
      <c r="K16" s="1698"/>
      <c r="L16" s="1729"/>
      <c r="M16" s="1710"/>
      <c r="N16" s="1729"/>
      <c r="O16" s="1710"/>
      <c r="V16" s="1618"/>
      <c r="W16" s="1618"/>
      <c r="X16" s="1618"/>
      <c r="Y16" s="1618"/>
      <c r="Z16" s="1618"/>
      <c r="AB16" s="1620" t="s">
        <v>730</v>
      </c>
      <c r="AC16" t="s">
        <v>854</v>
      </c>
    </row>
    <row r="17" spans="1:29" ht="24" x14ac:dyDescent="0.25">
      <c r="A17" s="1618"/>
      <c r="B17" s="663" t="s">
        <v>676</v>
      </c>
      <c r="C17" s="663" t="s">
        <v>677</v>
      </c>
      <c r="D17" s="663" t="s">
        <v>678</v>
      </c>
      <c r="E17" s="663" t="s">
        <v>679</v>
      </c>
      <c r="F17" s="663" t="s">
        <v>1124</v>
      </c>
      <c r="G17" s="1706" t="s">
        <v>1084</v>
      </c>
      <c r="H17" s="1618"/>
      <c r="I17" s="1699"/>
      <c r="J17" s="1698"/>
      <c r="K17" s="1698"/>
      <c r="L17" s="1729"/>
      <c r="M17" s="1710"/>
      <c r="N17" s="1729"/>
      <c r="O17" s="1710"/>
      <c r="V17" s="1618"/>
      <c r="W17" s="1618"/>
      <c r="X17" s="1618"/>
      <c r="Y17" s="1618"/>
      <c r="Z17" s="1618"/>
      <c r="AB17" s="1620" t="s">
        <v>731</v>
      </c>
      <c r="AC17" t="s">
        <v>855</v>
      </c>
    </row>
    <row r="18" spans="1:29" ht="15" x14ac:dyDescent="0.25">
      <c r="A18" s="1618"/>
      <c r="B18" s="1610" t="s">
        <v>473</v>
      </c>
      <c r="C18" s="1611">
        <f>D4</f>
        <v>0</v>
      </c>
      <c r="D18" s="1611">
        <v>0</v>
      </c>
      <c r="E18" s="1611"/>
      <c r="F18" s="1611">
        <f>D15</f>
        <v>4401123.3814798417</v>
      </c>
      <c r="G18" s="1709">
        <f>F18</f>
        <v>4401123.3814798417</v>
      </c>
      <c r="H18" s="1618"/>
      <c r="I18" s="1699"/>
      <c r="J18" s="1698"/>
      <c r="K18" s="1698"/>
      <c r="L18" s="1729"/>
      <c r="M18" s="1710"/>
      <c r="N18" s="1729"/>
      <c r="O18" s="1710"/>
      <c r="V18" s="1618"/>
      <c r="W18" s="1618"/>
      <c r="X18" s="1618"/>
      <c r="Y18" s="1618"/>
      <c r="Z18" s="1618"/>
      <c r="AB18" s="1620" t="s">
        <v>732</v>
      </c>
      <c r="AC18" t="s">
        <v>856</v>
      </c>
    </row>
    <row r="19" spans="1:29" ht="15" x14ac:dyDescent="0.25">
      <c r="A19" s="1618"/>
      <c r="B19" s="1612"/>
      <c r="C19" s="1613"/>
      <c r="D19" s="1613"/>
      <c r="E19" s="1615" t="e">
        <f>D19/$D$31</f>
        <v>#DIV/0!</v>
      </c>
      <c r="F19" s="1762" t="e">
        <f>$E$15*E19</f>
        <v>#DIV/0!</v>
      </c>
      <c r="G19" s="1707" t="e">
        <f>F19</f>
        <v>#DIV/0!</v>
      </c>
      <c r="H19" s="1700"/>
      <c r="I19" s="1699"/>
      <c r="J19" s="1698"/>
      <c r="K19" s="1698"/>
      <c r="L19" s="1729"/>
      <c r="M19" s="1710"/>
      <c r="N19" s="1729"/>
      <c r="O19" s="1710"/>
      <c r="V19" s="1618"/>
      <c r="W19" s="1618"/>
      <c r="X19" s="1618"/>
      <c r="Y19" s="1618"/>
      <c r="Z19" s="1618"/>
      <c r="AB19" s="1620" t="s">
        <v>733</v>
      </c>
      <c r="AC19" t="s">
        <v>857</v>
      </c>
    </row>
    <row r="20" spans="1:29" ht="15" x14ac:dyDescent="0.25">
      <c r="A20" s="1618"/>
      <c r="B20" s="1612"/>
      <c r="C20" s="1613"/>
      <c r="D20" s="1613"/>
      <c r="E20" s="1615" t="e">
        <f t="shared" ref="E20:E30" si="2">D20/$D$31</f>
        <v>#DIV/0!</v>
      </c>
      <c r="F20" s="1762" t="e">
        <f>$E$15*E20</f>
        <v>#DIV/0!</v>
      </c>
      <c r="G20" s="1707" t="e">
        <f t="shared" ref="G20:G30" si="3">F20</f>
        <v>#DIV/0!</v>
      </c>
      <c r="H20" s="1700"/>
      <c r="I20" s="1699"/>
      <c r="J20" s="1698"/>
      <c r="K20" s="1698"/>
      <c r="L20" s="1729"/>
      <c r="M20" s="1710"/>
      <c r="N20" s="1729"/>
      <c r="O20" s="1710"/>
      <c r="V20" s="1618"/>
      <c r="W20" s="1618"/>
      <c r="X20" s="1618"/>
      <c r="Y20" s="1618"/>
      <c r="Z20" s="1618"/>
      <c r="AB20" s="1620" t="s">
        <v>734</v>
      </c>
      <c r="AC20" t="s">
        <v>858</v>
      </c>
    </row>
    <row r="21" spans="1:29" ht="15" x14ac:dyDescent="0.25">
      <c r="A21" s="1618"/>
      <c r="B21" s="1612"/>
      <c r="C21" s="1613"/>
      <c r="D21" s="1613"/>
      <c r="E21" s="1615" t="e">
        <f t="shared" si="2"/>
        <v>#DIV/0!</v>
      </c>
      <c r="F21" s="1616" t="e">
        <f t="shared" ref="F21:F30" si="4">$E$15*E21</f>
        <v>#DIV/0!</v>
      </c>
      <c r="G21" s="1707" t="e">
        <f t="shared" si="3"/>
        <v>#DIV/0!</v>
      </c>
      <c r="H21" s="1618"/>
      <c r="I21" s="1699"/>
      <c r="J21" s="1698"/>
      <c r="K21" s="1698"/>
      <c r="L21" s="1729"/>
      <c r="M21" s="1710"/>
      <c r="N21" s="1729"/>
      <c r="O21" s="1710"/>
      <c r="V21" s="1618"/>
      <c r="W21" s="1618"/>
      <c r="X21" s="1618"/>
      <c r="Y21" s="1618"/>
      <c r="Z21" s="1618"/>
      <c r="AB21" s="1620" t="s">
        <v>735</v>
      </c>
      <c r="AC21" t="s">
        <v>859</v>
      </c>
    </row>
    <row r="22" spans="1:29" ht="15" x14ac:dyDescent="0.25">
      <c r="A22" s="1618"/>
      <c r="B22" s="1612"/>
      <c r="C22" s="1613"/>
      <c r="D22" s="1613"/>
      <c r="E22" s="1615" t="e">
        <f t="shared" si="2"/>
        <v>#DIV/0!</v>
      </c>
      <c r="F22" s="1616" t="e">
        <f t="shared" si="4"/>
        <v>#DIV/0!</v>
      </c>
      <c r="G22" s="1707" t="e">
        <f t="shared" si="3"/>
        <v>#DIV/0!</v>
      </c>
      <c r="I22" s="1699"/>
      <c r="J22" s="1698"/>
      <c r="K22" s="1698"/>
      <c r="L22" s="1729"/>
      <c r="M22" s="1710"/>
      <c r="N22" s="1729"/>
      <c r="O22" s="1710"/>
      <c r="V22" s="1618"/>
      <c r="W22" s="1618"/>
      <c r="X22" s="1618"/>
      <c r="Y22" s="1618"/>
      <c r="Z22" s="1618"/>
      <c r="AB22" s="1620" t="s">
        <v>736</v>
      </c>
      <c r="AC22" t="s">
        <v>860</v>
      </c>
    </row>
    <row r="23" spans="1:29" ht="15" x14ac:dyDescent="0.25">
      <c r="A23" s="1618"/>
      <c r="B23" s="1612"/>
      <c r="C23" s="1613"/>
      <c r="D23" s="1614"/>
      <c r="E23" s="1615" t="e">
        <f t="shared" si="2"/>
        <v>#DIV/0!</v>
      </c>
      <c r="F23" s="1616" t="e">
        <f t="shared" si="4"/>
        <v>#DIV/0!</v>
      </c>
      <c r="G23" s="1707" t="e">
        <f t="shared" si="3"/>
        <v>#DIV/0!</v>
      </c>
      <c r="I23" s="1699"/>
      <c r="J23" s="1698"/>
      <c r="K23" s="1698"/>
      <c r="L23" s="1729"/>
      <c r="M23" s="1710"/>
      <c r="N23" s="1729"/>
      <c r="O23" s="1710"/>
      <c r="V23" s="1618"/>
      <c r="W23" s="1618"/>
      <c r="X23" s="1618"/>
      <c r="Y23" s="1618"/>
      <c r="Z23" s="1618"/>
      <c r="AB23" s="1620" t="s">
        <v>737</v>
      </c>
      <c r="AC23" t="s">
        <v>861</v>
      </c>
    </row>
    <row r="24" spans="1:29" ht="15" x14ac:dyDescent="0.25">
      <c r="A24" s="1618"/>
      <c r="B24" s="1612"/>
      <c r="C24" s="1613"/>
      <c r="D24" s="1614"/>
      <c r="E24" s="1615" t="e">
        <f t="shared" si="2"/>
        <v>#DIV/0!</v>
      </c>
      <c r="F24" s="1616" t="e">
        <f t="shared" si="4"/>
        <v>#DIV/0!</v>
      </c>
      <c r="G24" s="1707" t="e">
        <f t="shared" si="3"/>
        <v>#DIV/0!</v>
      </c>
      <c r="I24" s="1699"/>
      <c r="J24" s="1698"/>
      <c r="K24" s="1698"/>
      <c r="L24" s="1729"/>
      <c r="M24" s="1710"/>
      <c r="N24" s="1729"/>
      <c r="O24" s="1710"/>
      <c r="V24" s="1618"/>
      <c r="W24" s="1618"/>
      <c r="X24" s="1618"/>
      <c r="Y24" s="1618"/>
      <c r="Z24" s="1618"/>
      <c r="AB24" s="1620" t="s">
        <v>738</v>
      </c>
      <c r="AC24" t="s">
        <v>862</v>
      </c>
    </row>
    <row r="25" spans="1:29" ht="15" x14ac:dyDescent="0.25">
      <c r="A25" s="1618"/>
      <c r="B25" s="1612"/>
      <c r="C25" s="1613"/>
      <c r="D25" s="1614"/>
      <c r="E25" s="1615" t="e">
        <f t="shared" si="2"/>
        <v>#DIV/0!</v>
      </c>
      <c r="F25" s="1616" t="e">
        <f t="shared" si="4"/>
        <v>#DIV/0!</v>
      </c>
      <c r="G25" s="1707" t="e">
        <f t="shared" si="3"/>
        <v>#DIV/0!</v>
      </c>
      <c r="I25" s="1699"/>
      <c r="J25" s="1698"/>
      <c r="K25" s="1698"/>
      <c r="L25" s="1729"/>
      <c r="M25" s="1710"/>
      <c r="N25" s="1729"/>
      <c r="O25" s="1710"/>
      <c r="V25" s="1618"/>
      <c r="W25" s="1618"/>
      <c r="X25" s="1618"/>
      <c r="Y25" s="1618"/>
      <c r="Z25" s="1618"/>
      <c r="AB25" s="1620" t="s">
        <v>739</v>
      </c>
      <c r="AC25" t="s">
        <v>863</v>
      </c>
    </row>
    <row r="26" spans="1:29" ht="15" x14ac:dyDescent="0.25">
      <c r="B26" s="1612"/>
      <c r="C26" s="1613"/>
      <c r="D26" s="1614"/>
      <c r="E26" s="1615" t="e">
        <f t="shared" si="2"/>
        <v>#DIV/0!</v>
      </c>
      <c r="F26" s="1616" t="e">
        <f t="shared" si="4"/>
        <v>#DIV/0!</v>
      </c>
      <c r="G26" s="1707" t="e">
        <f t="shared" si="3"/>
        <v>#DIV/0!</v>
      </c>
      <c r="I26" s="1699"/>
      <c r="J26" s="1698"/>
      <c r="K26" s="1698"/>
      <c r="L26" s="1729"/>
      <c r="M26" s="1710"/>
      <c r="N26" s="1729"/>
      <c r="O26" s="1710"/>
      <c r="AB26" s="1620" t="s">
        <v>740</v>
      </c>
      <c r="AC26" t="s">
        <v>864</v>
      </c>
    </row>
    <row r="27" spans="1:29" ht="15" x14ac:dyDescent="0.25">
      <c r="B27" s="1612"/>
      <c r="C27" s="1613"/>
      <c r="D27" s="1614"/>
      <c r="E27" s="1615" t="e">
        <f t="shared" si="2"/>
        <v>#DIV/0!</v>
      </c>
      <c r="F27" s="1616" t="e">
        <f t="shared" si="4"/>
        <v>#DIV/0!</v>
      </c>
      <c r="G27" s="1707" t="e">
        <f t="shared" si="3"/>
        <v>#DIV/0!</v>
      </c>
      <c r="I27" s="1699"/>
      <c r="J27" s="1698"/>
      <c r="K27" s="1698"/>
      <c r="L27" s="1729"/>
      <c r="M27" s="1710"/>
      <c r="N27" s="1729"/>
      <c r="O27" s="1710"/>
      <c r="AB27" s="1620" t="s">
        <v>741</v>
      </c>
      <c r="AC27" t="s">
        <v>865</v>
      </c>
    </row>
    <row r="28" spans="1:29" ht="15" x14ac:dyDescent="0.25">
      <c r="B28" s="1612"/>
      <c r="C28" s="1613"/>
      <c r="D28" s="1614"/>
      <c r="E28" s="1615" t="e">
        <f t="shared" si="2"/>
        <v>#DIV/0!</v>
      </c>
      <c r="F28" s="1616" t="e">
        <f t="shared" si="4"/>
        <v>#DIV/0!</v>
      </c>
      <c r="G28" s="1707" t="e">
        <f t="shared" si="3"/>
        <v>#DIV/0!</v>
      </c>
      <c r="I28" s="1699"/>
      <c r="J28" s="1698"/>
      <c r="K28" s="1698"/>
      <c r="L28" s="1729"/>
      <c r="M28" s="1710"/>
      <c r="N28" s="1729"/>
      <c r="O28" s="1710"/>
      <c r="AB28" s="1620" t="s">
        <v>742</v>
      </c>
      <c r="AC28" t="s">
        <v>866</v>
      </c>
    </row>
    <row r="29" spans="1:29" ht="15" x14ac:dyDescent="0.25">
      <c r="B29" s="1612"/>
      <c r="C29" s="1613"/>
      <c r="D29" s="1614"/>
      <c r="E29" s="1615" t="e">
        <f t="shared" si="2"/>
        <v>#DIV/0!</v>
      </c>
      <c r="F29" s="1616" t="e">
        <f t="shared" si="4"/>
        <v>#DIV/0!</v>
      </c>
      <c r="G29" s="1707" t="e">
        <f t="shared" si="3"/>
        <v>#DIV/0!</v>
      </c>
      <c r="I29" s="1699"/>
      <c r="J29" s="1698"/>
      <c r="K29" s="1698"/>
      <c r="L29" s="1729"/>
      <c r="M29" s="1710"/>
      <c r="N29" s="1729"/>
      <c r="O29" s="1710"/>
      <c r="AB29" s="1620" t="s">
        <v>743</v>
      </c>
      <c r="AC29" t="s">
        <v>867</v>
      </c>
    </row>
    <row r="30" spans="1:29" ht="15" x14ac:dyDescent="0.25">
      <c r="B30" s="1612"/>
      <c r="C30" s="1613"/>
      <c r="D30" s="1614"/>
      <c r="E30" s="1615" t="e">
        <f t="shared" si="2"/>
        <v>#DIV/0!</v>
      </c>
      <c r="F30" s="1616" t="e">
        <f t="shared" si="4"/>
        <v>#DIV/0!</v>
      </c>
      <c r="G30" s="1707" t="e">
        <f t="shared" si="3"/>
        <v>#DIV/0!</v>
      </c>
      <c r="I30" s="1699"/>
      <c r="J30" s="1698"/>
      <c r="K30" s="1698"/>
      <c r="L30" s="1729"/>
      <c r="M30" s="1710"/>
      <c r="N30" s="1729"/>
      <c r="O30" s="1710"/>
      <c r="AB30" s="1620" t="s">
        <v>744</v>
      </c>
      <c r="AC30" t="s">
        <v>868</v>
      </c>
    </row>
    <row r="31" spans="1:29" ht="15.75" thickBot="1" x14ac:dyDescent="0.3">
      <c r="B31" s="1290"/>
      <c r="C31" s="1611">
        <f>SUM(C18:C30)</f>
        <v>0</v>
      </c>
      <c r="D31" s="1611">
        <f>SUM(D19:D30)</f>
        <v>0</v>
      </c>
      <c r="E31" s="1617" t="e">
        <f>SUM(E19:E30)</f>
        <v>#DIV/0!</v>
      </c>
      <c r="F31" s="1708" t="e">
        <f>SUM(F18:F30)</f>
        <v>#DIV/0!</v>
      </c>
      <c r="G31" s="1708" t="e">
        <f>SUM(G18:G30)</f>
        <v>#DIV/0!</v>
      </c>
      <c r="I31" s="1699"/>
      <c r="J31" s="1698"/>
      <c r="K31" s="1698"/>
      <c r="L31" s="1729"/>
      <c r="M31" s="1710"/>
      <c r="N31" s="1729"/>
      <c r="O31" s="1710"/>
      <c r="AB31" s="1620" t="s">
        <v>745</v>
      </c>
      <c r="AC31" t="s">
        <v>869</v>
      </c>
    </row>
    <row r="32" spans="1:29" ht="15.75" thickBot="1" x14ac:dyDescent="0.3">
      <c r="F32" s="1946" t="e">
        <f>F31-G31</f>
        <v>#DIV/0!</v>
      </c>
      <c r="G32" s="1947"/>
      <c r="I32" s="1599"/>
      <c r="J32" s="3"/>
      <c r="K32" s="3"/>
      <c r="L32" s="3"/>
      <c r="M32" s="1702">
        <f>SUM(M8:M31)</f>
        <v>0</v>
      </c>
      <c r="N32" s="3"/>
      <c r="O32" s="1702" t="e">
        <f>SUM(O8:O31)</f>
        <v>#DIV/0!</v>
      </c>
      <c r="AB32" s="1620" t="s">
        <v>746</v>
      </c>
      <c r="AC32" t="s">
        <v>870</v>
      </c>
    </row>
    <row r="33" spans="28:29" ht="15" x14ac:dyDescent="0.25">
      <c r="AB33" s="1620" t="s">
        <v>747</v>
      </c>
      <c r="AC33" t="s">
        <v>871</v>
      </c>
    </row>
    <row r="34" spans="28:29" ht="15" x14ac:dyDescent="0.25">
      <c r="AB34" s="1620" t="s">
        <v>748</v>
      </c>
      <c r="AC34" t="s">
        <v>872</v>
      </c>
    </row>
    <row r="35" spans="28:29" ht="15" x14ac:dyDescent="0.25">
      <c r="AB35" s="1620" t="s">
        <v>749</v>
      </c>
      <c r="AC35" t="s">
        <v>873</v>
      </c>
    </row>
    <row r="36" spans="28:29" ht="15" x14ac:dyDescent="0.25">
      <c r="AB36" s="1620" t="s">
        <v>750</v>
      </c>
      <c r="AC36" t="s">
        <v>874</v>
      </c>
    </row>
    <row r="37" spans="28:29" ht="15" x14ac:dyDescent="0.25">
      <c r="AB37" s="1620" t="s">
        <v>751</v>
      </c>
      <c r="AC37" t="s">
        <v>875</v>
      </c>
    </row>
    <row r="38" spans="28:29" ht="15" x14ac:dyDescent="0.25">
      <c r="AB38" s="1620" t="s">
        <v>752</v>
      </c>
      <c r="AC38" t="s">
        <v>876</v>
      </c>
    </row>
    <row r="39" spans="28:29" ht="15" x14ac:dyDescent="0.25">
      <c r="AB39" s="1620" t="s">
        <v>753</v>
      </c>
      <c r="AC39" t="s">
        <v>877</v>
      </c>
    </row>
    <row r="40" spans="28:29" ht="15" x14ac:dyDescent="0.25">
      <c r="AB40" s="1620" t="s">
        <v>754</v>
      </c>
      <c r="AC40" t="s">
        <v>878</v>
      </c>
    </row>
    <row r="41" spans="28:29" ht="15" x14ac:dyDescent="0.25">
      <c r="AB41" s="1620" t="s">
        <v>755</v>
      </c>
      <c r="AC41" t="s">
        <v>879</v>
      </c>
    </row>
    <row r="42" spans="28:29" ht="15" x14ac:dyDescent="0.25">
      <c r="AB42" s="1620" t="s">
        <v>756</v>
      </c>
      <c r="AC42" t="s">
        <v>673</v>
      </c>
    </row>
    <row r="43" spans="28:29" ht="15" x14ac:dyDescent="0.25">
      <c r="AB43" s="1620" t="s">
        <v>757</v>
      </c>
      <c r="AC43" t="s">
        <v>880</v>
      </c>
    </row>
    <row r="44" spans="28:29" ht="15" x14ac:dyDescent="0.25">
      <c r="AB44" s="1620" t="s">
        <v>758</v>
      </c>
      <c r="AC44" t="s">
        <v>881</v>
      </c>
    </row>
    <row r="45" spans="28:29" ht="15" x14ac:dyDescent="0.25">
      <c r="AB45" s="1620" t="s">
        <v>759</v>
      </c>
      <c r="AC45" t="s">
        <v>882</v>
      </c>
    </row>
    <row r="46" spans="28:29" ht="15" x14ac:dyDescent="0.25">
      <c r="AB46" s="1620" t="s">
        <v>760</v>
      </c>
      <c r="AC46" t="s">
        <v>883</v>
      </c>
    </row>
    <row r="47" spans="28:29" ht="15" x14ac:dyDescent="0.25">
      <c r="AB47" s="1620" t="s">
        <v>761</v>
      </c>
      <c r="AC47" t="s">
        <v>884</v>
      </c>
    </row>
    <row r="48" spans="28:29" ht="15" x14ac:dyDescent="0.25">
      <c r="AB48" s="1620" t="s">
        <v>762</v>
      </c>
      <c r="AC48" t="s">
        <v>672</v>
      </c>
    </row>
    <row r="49" spans="2:29" ht="15" x14ac:dyDescent="0.25">
      <c r="I49" s="3"/>
      <c r="J49" s="3"/>
      <c r="AB49" s="1620" t="s">
        <v>763</v>
      </c>
      <c r="AC49" t="s">
        <v>885</v>
      </c>
    </row>
    <row r="50" spans="2:29" ht="15" x14ac:dyDescent="0.25">
      <c r="B50" s="1599"/>
      <c r="C50" s="3"/>
      <c r="D50" s="3"/>
      <c r="E50" s="3"/>
      <c r="F50" s="3"/>
      <c r="G50" s="3"/>
      <c r="H50" s="3"/>
      <c r="I50" s="3"/>
      <c r="J50" s="3"/>
      <c r="AB50" s="1620" t="s">
        <v>764</v>
      </c>
      <c r="AC50" t="s">
        <v>886</v>
      </c>
    </row>
    <row r="51" spans="2:29" ht="15" x14ac:dyDescent="0.25">
      <c r="B51" s="1599"/>
      <c r="C51" s="3"/>
      <c r="D51" s="3"/>
      <c r="E51" s="3"/>
      <c r="F51" s="3"/>
      <c r="G51" s="3"/>
      <c r="H51" s="3"/>
      <c r="I51" s="3"/>
      <c r="J51" s="3"/>
      <c r="AB51" s="1620" t="s">
        <v>765</v>
      </c>
      <c r="AC51" t="s">
        <v>887</v>
      </c>
    </row>
    <row r="52" spans="2:29" ht="15" x14ac:dyDescent="0.25">
      <c r="B52" s="1599"/>
      <c r="C52" s="3"/>
      <c r="D52" s="3"/>
      <c r="E52" s="3"/>
      <c r="F52" s="3"/>
      <c r="G52" s="3"/>
      <c r="H52" s="3"/>
      <c r="I52" s="3"/>
      <c r="J52" s="3"/>
      <c r="AB52" s="1620" t="s">
        <v>766</v>
      </c>
      <c r="AC52" t="s">
        <v>888</v>
      </c>
    </row>
    <row r="53" spans="2:29" ht="15" x14ac:dyDescent="0.25">
      <c r="B53" s="1599"/>
      <c r="C53" s="3"/>
      <c r="D53" s="3"/>
      <c r="E53" s="3"/>
      <c r="F53" s="3"/>
      <c r="G53" s="3"/>
      <c r="H53" s="3"/>
      <c r="I53" s="3"/>
      <c r="J53" s="3"/>
      <c r="AB53" s="1620" t="s">
        <v>767</v>
      </c>
      <c r="AC53" t="s">
        <v>889</v>
      </c>
    </row>
    <row r="54" spans="2:29" ht="15" x14ac:dyDescent="0.25">
      <c r="B54" s="1599"/>
      <c r="C54" s="3"/>
      <c r="D54" s="3"/>
      <c r="E54" s="3"/>
      <c r="F54" s="3"/>
      <c r="G54" s="3"/>
      <c r="H54" s="3"/>
      <c r="I54" s="3"/>
      <c r="J54" s="3"/>
      <c r="AB54" s="1620" t="s">
        <v>768</v>
      </c>
      <c r="AC54" t="s">
        <v>890</v>
      </c>
    </row>
    <row r="55" spans="2:29" ht="15" x14ac:dyDescent="0.25">
      <c r="B55" s="1599"/>
      <c r="C55" s="3"/>
      <c r="D55" s="3"/>
      <c r="E55" s="3"/>
      <c r="F55" s="3"/>
      <c r="G55" s="3"/>
      <c r="H55" s="3"/>
      <c r="I55" s="3"/>
      <c r="J55" s="3"/>
      <c r="AB55" s="1620" t="s">
        <v>769</v>
      </c>
      <c r="AC55" t="s">
        <v>891</v>
      </c>
    </row>
    <row r="56" spans="2:29" ht="15" x14ac:dyDescent="0.25">
      <c r="B56" s="1599"/>
      <c r="C56" s="3"/>
      <c r="D56" s="3"/>
      <c r="E56" s="3"/>
      <c r="F56" s="3"/>
      <c r="G56" s="3"/>
      <c r="H56" s="3"/>
      <c r="I56" s="3"/>
      <c r="J56" s="3"/>
      <c r="AB56" s="1620" t="s">
        <v>770</v>
      </c>
      <c r="AC56" t="s">
        <v>892</v>
      </c>
    </row>
    <row r="57" spans="2:29" ht="15" x14ac:dyDescent="0.25">
      <c r="B57" s="1599"/>
      <c r="C57" s="3"/>
      <c r="D57" s="3"/>
      <c r="E57" s="3"/>
      <c r="F57" s="3"/>
      <c r="G57" s="3"/>
      <c r="H57" s="3"/>
      <c r="I57" s="3"/>
      <c r="J57" s="3"/>
      <c r="AB57" s="1620" t="s">
        <v>771</v>
      </c>
      <c r="AC57" t="s">
        <v>893</v>
      </c>
    </row>
    <row r="58" spans="2:29" ht="15" x14ac:dyDescent="0.25">
      <c r="B58" s="1599"/>
      <c r="C58" s="3"/>
      <c r="D58" s="3"/>
      <c r="E58" s="3"/>
      <c r="F58" s="3"/>
      <c r="G58" s="3"/>
      <c r="H58" s="3"/>
      <c r="I58" s="3"/>
      <c r="J58" s="3"/>
      <c r="AB58" s="1620" t="s">
        <v>772</v>
      </c>
      <c r="AC58" t="s">
        <v>894</v>
      </c>
    </row>
    <row r="59" spans="2:29" ht="15" x14ac:dyDescent="0.25">
      <c r="B59" s="1599"/>
      <c r="C59" s="3"/>
      <c r="D59" s="3"/>
      <c r="E59" s="3"/>
      <c r="F59" s="3"/>
      <c r="G59" s="3"/>
      <c r="H59" s="3"/>
      <c r="I59" s="3"/>
      <c r="J59" s="3"/>
      <c r="AB59" s="1620" t="s">
        <v>773</v>
      </c>
      <c r="AC59" t="s">
        <v>895</v>
      </c>
    </row>
    <row r="60" spans="2:29" ht="15" x14ac:dyDescent="0.25">
      <c r="B60" s="1599"/>
      <c r="C60" s="3"/>
      <c r="D60" s="3"/>
      <c r="E60" s="3"/>
      <c r="F60" s="3"/>
      <c r="G60" s="3"/>
      <c r="H60" s="3"/>
      <c r="I60" s="3"/>
      <c r="J60" s="3"/>
      <c r="AB60" s="1620" t="s">
        <v>774</v>
      </c>
      <c r="AC60" t="s">
        <v>896</v>
      </c>
    </row>
    <row r="61" spans="2:29" ht="15" x14ac:dyDescent="0.25">
      <c r="B61" s="1599"/>
      <c r="C61" s="3"/>
      <c r="D61" s="3"/>
      <c r="E61" s="3"/>
      <c r="F61" s="3"/>
      <c r="G61" s="3"/>
      <c r="H61" s="3"/>
      <c r="I61" s="3"/>
      <c r="J61" s="3"/>
      <c r="AB61" s="1620" t="s">
        <v>775</v>
      </c>
      <c r="AC61" t="s">
        <v>897</v>
      </c>
    </row>
    <row r="62" spans="2:29" ht="15" x14ac:dyDescent="0.25">
      <c r="B62" s="1599"/>
      <c r="C62" s="3"/>
      <c r="D62" s="3"/>
      <c r="E62" s="3"/>
      <c r="F62" s="3"/>
      <c r="G62" s="3"/>
      <c r="H62" s="3"/>
      <c r="I62" s="3"/>
      <c r="J62" s="3"/>
      <c r="AB62" s="1620" t="s">
        <v>776</v>
      </c>
      <c r="AC62" t="s">
        <v>898</v>
      </c>
    </row>
    <row r="63" spans="2:29" ht="15" x14ac:dyDescent="0.25">
      <c r="B63" s="1599"/>
      <c r="C63" s="3"/>
      <c r="D63" s="3"/>
      <c r="E63" s="3"/>
      <c r="F63" s="3"/>
      <c r="G63" s="3"/>
      <c r="H63" s="3"/>
      <c r="I63" s="3"/>
      <c r="J63" s="3"/>
      <c r="AB63" s="1620" t="s">
        <v>777</v>
      </c>
      <c r="AC63" t="s">
        <v>899</v>
      </c>
    </row>
    <row r="64" spans="2:29" ht="15" x14ac:dyDescent="0.25">
      <c r="B64" s="1599"/>
      <c r="C64" s="3"/>
      <c r="D64" s="3"/>
      <c r="E64" s="3"/>
      <c r="F64" s="3"/>
      <c r="G64" s="3"/>
      <c r="H64" s="3"/>
      <c r="I64" s="3"/>
      <c r="J64" s="3"/>
      <c r="AB64" s="1620" t="s">
        <v>778</v>
      </c>
      <c r="AC64" t="s">
        <v>900</v>
      </c>
    </row>
    <row r="65" spans="2:29" ht="15" x14ac:dyDescent="0.25">
      <c r="B65" s="1599"/>
      <c r="C65" s="3"/>
      <c r="D65" s="3"/>
      <c r="E65" s="3"/>
      <c r="F65" s="3"/>
      <c r="G65" s="3"/>
      <c r="H65" s="3"/>
      <c r="I65" s="3"/>
      <c r="J65" s="3"/>
      <c r="AB65" s="1620" t="s">
        <v>779</v>
      </c>
      <c r="AC65" t="s">
        <v>901</v>
      </c>
    </row>
    <row r="66" spans="2:29" ht="15" x14ac:dyDescent="0.25">
      <c r="B66" s="1599"/>
      <c r="C66" s="3"/>
      <c r="D66" s="3"/>
      <c r="E66" s="3"/>
      <c r="F66" s="3"/>
      <c r="G66" s="3"/>
      <c r="H66" s="3"/>
      <c r="I66" s="3"/>
      <c r="J66" s="3"/>
      <c r="AB66" s="1620" t="s">
        <v>780</v>
      </c>
      <c r="AC66" t="s">
        <v>902</v>
      </c>
    </row>
    <row r="67" spans="2:29" ht="15" x14ac:dyDescent="0.25">
      <c r="B67" s="1599"/>
      <c r="C67" s="3"/>
      <c r="D67" s="3"/>
      <c r="E67" s="3"/>
      <c r="F67" s="3"/>
      <c r="G67" s="3"/>
      <c r="H67" s="3"/>
      <c r="I67" s="3"/>
      <c r="J67" s="3"/>
      <c r="AB67" s="1620" t="s">
        <v>781</v>
      </c>
      <c r="AC67" t="s">
        <v>903</v>
      </c>
    </row>
    <row r="68" spans="2:29" ht="15" x14ac:dyDescent="0.25">
      <c r="B68" s="1599"/>
      <c r="C68" s="3"/>
      <c r="D68" s="3"/>
      <c r="E68" s="3"/>
      <c r="F68" s="3"/>
      <c r="G68" s="3"/>
      <c r="H68" s="3"/>
      <c r="I68" s="3"/>
      <c r="J68" s="3"/>
      <c r="AB68" s="1620" t="s">
        <v>782</v>
      </c>
      <c r="AC68" t="s">
        <v>904</v>
      </c>
    </row>
    <row r="69" spans="2:29" ht="15" x14ac:dyDescent="0.25">
      <c r="B69" s="1599"/>
      <c r="C69" s="3"/>
      <c r="D69" s="3"/>
      <c r="E69" s="3"/>
      <c r="F69" s="3"/>
      <c r="G69" s="3"/>
      <c r="H69" s="3"/>
      <c r="I69" s="3"/>
      <c r="J69" s="3"/>
      <c r="AB69" s="1620" t="s">
        <v>783</v>
      </c>
      <c r="AC69" t="s">
        <v>905</v>
      </c>
    </row>
    <row r="70" spans="2:29" ht="15" x14ac:dyDescent="0.25">
      <c r="B70" s="1599"/>
      <c r="C70" s="3"/>
      <c r="D70" s="3"/>
      <c r="E70" s="3"/>
      <c r="F70" s="3"/>
      <c r="G70" s="3"/>
      <c r="H70" s="3"/>
      <c r="I70" s="3"/>
      <c r="J70" s="3"/>
      <c r="AB70" s="1620" t="s">
        <v>784</v>
      </c>
      <c r="AC70" t="s">
        <v>906</v>
      </c>
    </row>
    <row r="71" spans="2:29" ht="15" x14ac:dyDescent="0.25">
      <c r="B71" s="1599"/>
      <c r="C71" s="3"/>
      <c r="D71" s="3"/>
      <c r="E71" s="3"/>
      <c r="F71" s="3"/>
      <c r="G71" s="3"/>
      <c r="H71" s="3"/>
      <c r="I71" s="3"/>
      <c r="J71" s="3"/>
      <c r="AB71" s="1620" t="s">
        <v>785</v>
      </c>
      <c r="AC71" t="s">
        <v>907</v>
      </c>
    </row>
    <row r="72" spans="2:29" ht="15" x14ac:dyDescent="0.25">
      <c r="B72" s="1599"/>
      <c r="C72" s="3"/>
      <c r="D72" s="3"/>
      <c r="E72" s="3"/>
      <c r="F72" s="3"/>
      <c r="G72" s="3"/>
      <c r="H72" s="3"/>
      <c r="I72" s="3"/>
      <c r="J72" s="3"/>
      <c r="AB72" s="1620" t="s">
        <v>786</v>
      </c>
      <c r="AC72" t="s">
        <v>908</v>
      </c>
    </row>
    <row r="73" spans="2:29" ht="15" x14ac:dyDescent="0.25">
      <c r="B73" s="1599"/>
      <c r="C73" s="3"/>
      <c r="D73" s="3"/>
      <c r="E73" s="3"/>
      <c r="F73" s="3"/>
      <c r="G73" s="3"/>
      <c r="H73" s="3"/>
      <c r="I73" s="3"/>
      <c r="J73" s="3"/>
      <c r="AB73" s="1620" t="s">
        <v>787</v>
      </c>
      <c r="AC73" t="s">
        <v>909</v>
      </c>
    </row>
    <row r="74" spans="2:29" ht="15" x14ac:dyDescent="0.25">
      <c r="B74" s="1599"/>
      <c r="C74" s="3"/>
      <c r="D74" s="3"/>
      <c r="E74" s="3"/>
      <c r="F74" s="3"/>
      <c r="G74" s="3"/>
      <c r="H74" s="3"/>
      <c r="I74" s="3"/>
      <c r="J74" s="3"/>
      <c r="AB74" s="1620" t="s">
        <v>788</v>
      </c>
      <c r="AC74" t="s">
        <v>910</v>
      </c>
    </row>
    <row r="75" spans="2:29" ht="15" x14ac:dyDescent="0.25">
      <c r="B75" s="1599"/>
      <c r="C75" s="3"/>
      <c r="D75" s="3"/>
      <c r="E75" s="3"/>
      <c r="F75" s="3"/>
      <c r="G75" s="3"/>
      <c r="H75" s="3"/>
      <c r="I75" s="3"/>
      <c r="J75" s="3"/>
      <c r="AB75" s="1620" t="s">
        <v>789</v>
      </c>
      <c r="AC75" t="s">
        <v>476</v>
      </c>
    </row>
    <row r="76" spans="2:29" ht="15" x14ac:dyDescent="0.25">
      <c r="B76" s="1599"/>
      <c r="C76" s="3"/>
      <c r="D76" s="3"/>
      <c r="E76" s="3"/>
      <c r="F76" s="3"/>
      <c r="G76" s="3"/>
      <c r="H76" s="3"/>
      <c r="I76" s="3"/>
      <c r="J76" s="3"/>
      <c r="AB76" s="1620" t="s">
        <v>790</v>
      </c>
      <c r="AC76" t="s">
        <v>911</v>
      </c>
    </row>
    <row r="77" spans="2:29" ht="15" x14ac:dyDescent="0.25">
      <c r="B77" s="1599"/>
      <c r="C77" s="3"/>
      <c r="D77" s="3"/>
      <c r="E77" s="3"/>
      <c r="F77" s="3"/>
      <c r="G77" s="3"/>
      <c r="H77" s="3"/>
      <c r="I77" s="3"/>
      <c r="J77" s="3"/>
      <c r="AB77" s="1620" t="s">
        <v>791</v>
      </c>
      <c r="AC77" t="s">
        <v>912</v>
      </c>
    </row>
    <row r="78" spans="2:29" ht="15" x14ac:dyDescent="0.25">
      <c r="B78" s="1599"/>
      <c r="C78" s="3"/>
      <c r="D78" s="3"/>
      <c r="E78" s="3"/>
      <c r="F78" s="3"/>
      <c r="G78" s="3"/>
      <c r="H78" s="3"/>
      <c r="I78" s="3"/>
      <c r="J78" s="3"/>
      <c r="AB78" s="1620" t="s">
        <v>792</v>
      </c>
      <c r="AC78" t="s">
        <v>913</v>
      </c>
    </row>
    <row r="79" spans="2:29" ht="15" x14ac:dyDescent="0.25">
      <c r="B79" s="1599"/>
      <c r="C79" s="3"/>
      <c r="D79" s="3"/>
      <c r="E79" s="3"/>
      <c r="F79" s="3"/>
      <c r="G79" s="3"/>
      <c r="H79" s="3"/>
      <c r="I79" s="3"/>
      <c r="J79" s="3"/>
      <c r="AB79" s="1620" t="s">
        <v>793</v>
      </c>
      <c r="AC79" t="s">
        <v>914</v>
      </c>
    </row>
    <row r="80" spans="2:29" ht="15" x14ac:dyDescent="0.25">
      <c r="B80" s="1599"/>
      <c r="C80" s="3"/>
      <c r="D80" s="3"/>
      <c r="E80" s="3"/>
      <c r="F80" s="3"/>
      <c r="G80" s="3"/>
      <c r="H80" s="3"/>
      <c r="I80" s="3"/>
      <c r="J80" s="3"/>
      <c r="AB80" s="1620" t="s">
        <v>794</v>
      </c>
      <c r="AC80" t="s">
        <v>915</v>
      </c>
    </row>
    <row r="81" spans="2:29" ht="15" x14ac:dyDescent="0.25">
      <c r="B81" s="1599"/>
      <c r="C81" s="3"/>
      <c r="D81" s="3"/>
      <c r="E81" s="3"/>
      <c r="F81" s="3"/>
      <c r="G81" s="3"/>
      <c r="H81" s="3"/>
      <c r="I81" s="3"/>
      <c r="J81" s="3"/>
      <c r="AB81" s="1620" t="s">
        <v>795</v>
      </c>
      <c r="AC81" t="s">
        <v>916</v>
      </c>
    </row>
    <row r="82" spans="2:29" ht="15" x14ac:dyDescent="0.25">
      <c r="B82" s="1599"/>
      <c r="C82" s="3"/>
      <c r="D82" s="3"/>
      <c r="E82" s="3"/>
      <c r="F82" s="3"/>
      <c r="G82" s="3"/>
      <c r="H82" s="3"/>
      <c r="I82" s="3"/>
      <c r="J82" s="3"/>
      <c r="AB82" s="1620" t="s">
        <v>796</v>
      </c>
      <c r="AC82" t="s">
        <v>917</v>
      </c>
    </row>
    <row r="83" spans="2:29" ht="15" x14ac:dyDescent="0.25">
      <c r="B83" s="1599"/>
      <c r="C83" s="3"/>
      <c r="D83" s="3"/>
      <c r="E83" s="3"/>
      <c r="F83" s="3"/>
      <c r="G83" s="3"/>
      <c r="H83" s="3"/>
      <c r="I83" s="3"/>
      <c r="J83" s="3"/>
      <c r="AB83" s="1620" t="s">
        <v>797</v>
      </c>
      <c r="AC83" t="s">
        <v>918</v>
      </c>
    </row>
    <row r="84" spans="2:29" ht="15" x14ac:dyDescent="0.25">
      <c r="B84" s="1599"/>
      <c r="C84" s="3"/>
      <c r="D84" s="3"/>
      <c r="E84" s="3"/>
      <c r="F84" s="3"/>
      <c r="G84" s="3"/>
      <c r="H84" s="3"/>
      <c r="I84" s="3"/>
      <c r="J84" s="3"/>
      <c r="AB84" s="1620" t="s">
        <v>798</v>
      </c>
      <c r="AC84" t="s">
        <v>919</v>
      </c>
    </row>
    <row r="85" spans="2:29" ht="15" x14ac:dyDescent="0.25">
      <c r="B85" s="1599"/>
      <c r="C85" s="3"/>
      <c r="D85" s="3"/>
      <c r="E85" s="3"/>
      <c r="F85" s="3"/>
      <c r="G85" s="3"/>
      <c r="H85" s="3"/>
      <c r="I85" s="3"/>
      <c r="J85" s="3"/>
      <c r="AB85" s="1620" t="s">
        <v>799</v>
      </c>
      <c r="AC85" t="s">
        <v>920</v>
      </c>
    </row>
    <row r="86" spans="2:29" ht="15" x14ac:dyDescent="0.25">
      <c r="B86" s="1599"/>
      <c r="C86" s="3"/>
      <c r="D86" s="3"/>
      <c r="E86" s="3"/>
      <c r="F86" s="3"/>
      <c r="G86" s="3"/>
      <c r="H86" s="3"/>
      <c r="I86" s="3"/>
      <c r="J86" s="3"/>
      <c r="AB86" s="1620" t="s">
        <v>800</v>
      </c>
      <c r="AC86" t="s">
        <v>921</v>
      </c>
    </row>
    <row r="87" spans="2:29" ht="15" x14ac:dyDescent="0.25">
      <c r="B87" s="1599"/>
      <c r="C87" s="3"/>
      <c r="D87" s="3"/>
      <c r="E87" s="3"/>
      <c r="F87" s="3"/>
      <c r="G87" s="3"/>
      <c r="H87" s="3"/>
      <c r="I87" s="3"/>
      <c r="J87" s="3"/>
      <c r="AB87" s="1620" t="s">
        <v>801</v>
      </c>
      <c r="AC87" t="s">
        <v>922</v>
      </c>
    </row>
    <row r="88" spans="2:29" ht="15" x14ac:dyDescent="0.25">
      <c r="B88" s="3"/>
      <c r="C88" s="3"/>
      <c r="D88" s="3"/>
      <c r="E88" s="3"/>
      <c r="F88" s="3"/>
      <c r="G88" s="3"/>
      <c r="H88" s="3"/>
      <c r="I88" s="3"/>
      <c r="J88" s="3"/>
      <c r="AB88" s="1620" t="s">
        <v>802</v>
      </c>
      <c r="AC88" t="s">
        <v>923</v>
      </c>
    </row>
    <row r="89" spans="2:29" ht="15" x14ac:dyDescent="0.25">
      <c r="B89" s="3"/>
      <c r="C89" s="3"/>
      <c r="D89" s="3"/>
      <c r="E89" s="3"/>
      <c r="F89" s="3"/>
      <c r="G89" s="3"/>
      <c r="H89" s="3"/>
      <c r="I89" s="3"/>
      <c r="J89" s="3"/>
      <c r="AB89" s="1620" t="s">
        <v>803</v>
      </c>
      <c r="AC89" t="s">
        <v>924</v>
      </c>
    </row>
    <row r="90" spans="2:29" ht="15" x14ac:dyDescent="0.25">
      <c r="B90" s="3"/>
      <c r="C90" s="3"/>
      <c r="D90" s="3"/>
      <c r="E90" s="3"/>
      <c r="F90" s="3"/>
      <c r="G90" s="3"/>
      <c r="H90" s="3"/>
      <c r="I90" s="3"/>
      <c r="J90" s="3"/>
      <c r="AB90" s="1620" t="s">
        <v>804</v>
      </c>
      <c r="AC90" t="s">
        <v>925</v>
      </c>
    </row>
    <row r="91" spans="2:29" ht="15" x14ac:dyDescent="0.25">
      <c r="B91" s="3"/>
      <c r="C91" s="3"/>
      <c r="D91" s="3"/>
      <c r="E91" s="3"/>
      <c r="F91" s="3"/>
      <c r="G91" s="3"/>
      <c r="H91" s="3"/>
      <c r="I91" s="3"/>
      <c r="J91" s="3"/>
      <c r="AB91" s="1620" t="s">
        <v>805</v>
      </c>
      <c r="AC91" t="s">
        <v>926</v>
      </c>
    </row>
    <row r="92" spans="2:29" ht="15" x14ac:dyDescent="0.25">
      <c r="B92" s="3"/>
      <c r="C92" s="3"/>
      <c r="D92" s="3"/>
      <c r="E92" s="3"/>
      <c r="F92" s="3"/>
      <c r="G92" s="3"/>
      <c r="H92" s="3"/>
      <c r="I92" s="3"/>
      <c r="J92" s="3"/>
      <c r="AB92" s="1620" t="s">
        <v>806</v>
      </c>
      <c r="AC92" t="s">
        <v>927</v>
      </c>
    </row>
    <row r="93" spans="2:29" ht="15" x14ac:dyDescent="0.25">
      <c r="B93" s="3"/>
      <c r="C93" s="3"/>
      <c r="D93" s="3"/>
      <c r="E93" s="3"/>
      <c r="F93" s="3"/>
      <c r="G93" s="3"/>
      <c r="H93" s="3"/>
      <c r="I93" s="3"/>
      <c r="J93" s="3"/>
      <c r="AB93" s="1620" t="s">
        <v>807</v>
      </c>
      <c r="AC93" t="s">
        <v>928</v>
      </c>
    </row>
    <row r="94" spans="2:29" ht="15" x14ac:dyDescent="0.25">
      <c r="B94" s="3"/>
      <c r="C94" s="3"/>
      <c r="D94" s="3"/>
      <c r="E94" s="3"/>
      <c r="F94" s="3"/>
      <c r="G94" s="3"/>
      <c r="H94" s="3"/>
      <c r="I94" s="3"/>
      <c r="J94" s="3"/>
      <c r="AB94" s="1620" t="s">
        <v>808</v>
      </c>
      <c r="AC94" t="s">
        <v>929</v>
      </c>
    </row>
    <row r="95" spans="2:29" ht="15" x14ac:dyDescent="0.25">
      <c r="B95" s="3"/>
      <c r="C95" s="3"/>
      <c r="D95" s="3"/>
      <c r="E95" s="3"/>
      <c r="F95" s="3"/>
      <c r="G95" s="3"/>
      <c r="H95" s="3"/>
      <c r="I95" s="3"/>
      <c r="J95" s="3"/>
      <c r="AB95" s="1620" t="s">
        <v>809</v>
      </c>
      <c r="AC95" t="s">
        <v>930</v>
      </c>
    </row>
    <row r="96" spans="2:29" ht="15" x14ac:dyDescent="0.25">
      <c r="B96" s="3"/>
      <c r="C96" s="3"/>
      <c r="D96" s="3"/>
      <c r="E96" s="3"/>
      <c r="F96" s="3"/>
      <c r="G96" s="3"/>
      <c r="H96" s="3"/>
      <c r="I96" s="3"/>
      <c r="J96" s="3"/>
      <c r="AB96" s="1620" t="s">
        <v>810</v>
      </c>
      <c r="AC96" t="s">
        <v>931</v>
      </c>
    </row>
    <row r="97" spans="2:29" ht="15" x14ac:dyDescent="0.25">
      <c r="B97" s="3"/>
      <c r="C97" s="3"/>
      <c r="D97" s="3"/>
      <c r="E97" s="3"/>
      <c r="F97" s="3"/>
      <c r="G97" s="3"/>
      <c r="H97" s="3"/>
      <c r="I97" s="3"/>
      <c r="J97" s="3"/>
      <c r="AB97" s="1620" t="s">
        <v>811</v>
      </c>
      <c r="AC97" t="s">
        <v>932</v>
      </c>
    </row>
    <row r="98" spans="2:29" ht="15" x14ac:dyDescent="0.25">
      <c r="B98" s="3"/>
      <c r="C98" s="3"/>
      <c r="D98" s="3"/>
      <c r="E98" s="3"/>
      <c r="F98" s="3"/>
      <c r="G98" s="3"/>
      <c r="H98" s="3"/>
      <c r="I98" s="3"/>
      <c r="J98" s="3"/>
      <c r="AB98" s="1620" t="s">
        <v>812</v>
      </c>
      <c r="AC98" t="s">
        <v>933</v>
      </c>
    </row>
    <row r="99" spans="2:29" ht="15" x14ac:dyDescent="0.25">
      <c r="B99" s="3"/>
      <c r="C99" s="3"/>
      <c r="D99" s="3"/>
      <c r="E99" s="3"/>
      <c r="F99" s="3"/>
      <c r="G99" s="3"/>
      <c r="H99" s="3"/>
      <c r="I99" s="3"/>
      <c r="J99" s="3"/>
      <c r="AB99" s="1620" t="s">
        <v>813</v>
      </c>
      <c r="AC99" t="s">
        <v>934</v>
      </c>
    </row>
    <row r="100" spans="2:29" ht="15" x14ac:dyDescent="0.25">
      <c r="B100" s="3"/>
      <c r="C100" s="3"/>
      <c r="D100" s="3"/>
      <c r="E100" s="3"/>
      <c r="F100" s="3"/>
      <c r="G100" s="3"/>
      <c r="H100" s="3"/>
      <c r="I100" s="3"/>
      <c r="J100" s="3"/>
      <c r="AB100" s="1620" t="s">
        <v>814</v>
      </c>
      <c r="AC100" t="s">
        <v>935</v>
      </c>
    </row>
    <row r="101" spans="2:29" ht="15" x14ac:dyDescent="0.25">
      <c r="B101" s="3"/>
      <c r="C101" s="3"/>
      <c r="D101" s="3"/>
      <c r="E101" s="3"/>
      <c r="F101" s="3"/>
      <c r="G101" s="3"/>
      <c r="H101" s="3"/>
      <c r="I101" s="3"/>
      <c r="J101" s="3"/>
      <c r="AB101" s="1620" t="s">
        <v>815</v>
      </c>
      <c r="AC101" t="s">
        <v>936</v>
      </c>
    </row>
    <row r="102" spans="2:29" ht="15" x14ac:dyDescent="0.25">
      <c r="B102" s="3"/>
      <c r="C102" s="3"/>
      <c r="D102" s="3"/>
      <c r="E102" s="3"/>
      <c r="F102" s="3"/>
      <c r="G102" s="3"/>
      <c r="H102" s="3"/>
      <c r="I102" s="3"/>
      <c r="J102" s="3"/>
      <c r="AB102" s="1620" t="s">
        <v>816</v>
      </c>
      <c r="AC102" t="s">
        <v>937</v>
      </c>
    </row>
    <row r="103" spans="2:29" ht="15" x14ac:dyDescent="0.25">
      <c r="B103" s="3"/>
      <c r="C103" s="3"/>
      <c r="D103" s="3"/>
      <c r="E103" s="3"/>
      <c r="F103" s="3"/>
      <c r="G103" s="3"/>
      <c r="H103" s="3"/>
      <c r="I103" s="3"/>
      <c r="J103" s="3"/>
      <c r="AB103" s="1620" t="s">
        <v>817</v>
      </c>
      <c r="AC103" t="s">
        <v>938</v>
      </c>
    </row>
    <row r="104" spans="2:29" ht="15" x14ac:dyDescent="0.25">
      <c r="B104" s="3"/>
      <c r="C104" s="3"/>
      <c r="D104" s="3"/>
      <c r="E104" s="3"/>
      <c r="F104" s="3"/>
      <c r="G104" s="3"/>
      <c r="H104" s="3"/>
      <c r="I104" s="3"/>
      <c r="J104" s="3"/>
      <c r="AB104" s="1620" t="s">
        <v>818</v>
      </c>
      <c r="AC104" t="s">
        <v>939</v>
      </c>
    </row>
    <row r="105" spans="2:29" ht="15" x14ac:dyDescent="0.25">
      <c r="B105" s="3"/>
      <c r="C105" s="3"/>
      <c r="D105" s="3"/>
      <c r="E105" s="3"/>
      <c r="F105" s="3"/>
      <c r="G105" s="3"/>
      <c r="H105" s="3"/>
      <c r="I105" s="3"/>
      <c r="J105" s="3"/>
      <c r="AB105" s="1620" t="s">
        <v>819</v>
      </c>
      <c r="AC105" t="s">
        <v>940</v>
      </c>
    </row>
    <row r="106" spans="2:29" ht="15" x14ac:dyDescent="0.25">
      <c r="B106" s="3"/>
      <c r="C106" s="3"/>
      <c r="D106" s="3"/>
      <c r="E106" s="3"/>
      <c r="F106" s="3"/>
      <c r="G106" s="3"/>
      <c r="H106" s="3"/>
      <c r="I106" s="3"/>
      <c r="J106" s="3"/>
      <c r="AB106" s="1620" t="s">
        <v>820</v>
      </c>
      <c r="AC106" t="s">
        <v>941</v>
      </c>
    </row>
    <row r="107" spans="2:29" ht="15" x14ac:dyDescent="0.25">
      <c r="B107" s="3"/>
      <c r="C107" s="3"/>
      <c r="D107" s="3"/>
      <c r="E107" s="3"/>
      <c r="F107" s="3"/>
      <c r="G107" s="3"/>
      <c r="H107" s="3"/>
      <c r="I107" s="3"/>
      <c r="J107" s="3"/>
      <c r="AB107" s="1620" t="s">
        <v>821</v>
      </c>
      <c r="AC107" t="s">
        <v>942</v>
      </c>
    </row>
    <row r="108" spans="2:29" ht="15" x14ac:dyDescent="0.25">
      <c r="B108" s="3"/>
      <c r="C108" s="3"/>
      <c r="D108" s="3"/>
      <c r="E108" s="3"/>
      <c r="F108" s="3"/>
      <c r="G108" s="3"/>
      <c r="H108" s="3"/>
      <c r="I108" s="3"/>
      <c r="J108" s="3"/>
      <c r="AB108" s="1620" t="s">
        <v>822</v>
      </c>
      <c r="AC108" t="s">
        <v>943</v>
      </c>
    </row>
    <row r="109" spans="2:29" ht="15" x14ac:dyDescent="0.25">
      <c r="B109" s="3"/>
      <c r="C109" s="3"/>
      <c r="D109" s="3"/>
      <c r="E109" s="3"/>
      <c r="F109" s="3"/>
      <c r="G109" s="3"/>
      <c r="H109" s="3"/>
      <c r="I109" s="3"/>
      <c r="J109" s="3"/>
      <c r="AB109" s="1620" t="s">
        <v>823</v>
      </c>
      <c r="AC109" t="s">
        <v>944</v>
      </c>
    </row>
    <row r="110" spans="2:29" ht="15" x14ac:dyDescent="0.25">
      <c r="B110" s="3"/>
      <c r="C110" s="3"/>
      <c r="D110" s="3"/>
      <c r="E110" s="3"/>
      <c r="F110" s="3"/>
      <c r="G110" s="3"/>
      <c r="H110" s="3"/>
      <c r="I110" s="3"/>
      <c r="J110" s="3"/>
      <c r="AB110" s="1620" t="s">
        <v>824</v>
      </c>
      <c r="AC110" t="s">
        <v>945</v>
      </c>
    </row>
    <row r="111" spans="2:29" ht="15" x14ac:dyDescent="0.25">
      <c r="B111" s="3"/>
      <c r="C111" s="3"/>
      <c r="D111" s="3"/>
      <c r="E111" s="3"/>
      <c r="F111" s="3"/>
      <c r="G111" s="3"/>
      <c r="H111" s="3"/>
      <c r="I111" s="3"/>
      <c r="J111" s="3"/>
      <c r="AB111" s="1620" t="s">
        <v>825</v>
      </c>
      <c r="AC111" t="s">
        <v>946</v>
      </c>
    </row>
    <row r="112" spans="2:29" ht="15" x14ac:dyDescent="0.25">
      <c r="B112" s="3"/>
      <c r="C112" s="3"/>
      <c r="D112" s="3"/>
      <c r="E112" s="3"/>
      <c r="F112" s="3"/>
      <c r="G112" s="3"/>
      <c r="H112" s="3"/>
      <c r="I112" s="3"/>
      <c r="J112" s="3"/>
      <c r="AB112" s="1620" t="s">
        <v>826</v>
      </c>
      <c r="AC112" t="s">
        <v>947</v>
      </c>
    </row>
    <row r="113" spans="2:29" ht="15" x14ac:dyDescent="0.25">
      <c r="B113" s="3"/>
      <c r="C113" s="3"/>
      <c r="D113" s="3"/>
      <c r="E113" s="3"/>
      <c r="F113" s="3"/>
      <c r="G113" s="3"/>
      <c r="H113" s="3"/>
      <c r="I113" s="3"/>
      <c r="J113" s="3"/>
      <c r="AB113" s="1620" t="s">
        <v>827</v>
      </c>
      <c r="AC113" t="s">
        <v>948</v>
      </c>
    </row>
    <row r="114" spans="2:29" ht="15" x14ac:dyDescent="0.25">
      <c r="B114" s="3"/>
      <c r="C114" s="3"/>
      <c r="D114" s="3"/>
      <c r="E114" s="3"/>
      <c r="F114" s="3"/>
      <c r="G114" s="3"/>
      <c r="H114" s="3"/>
      <c r="I114" s="3"/>
      <c r="J114" s="3"/>
      <c r="AB114" s="1620" t="s">
        <v>828</v>
      </c>
      <c r="AC114" t="s">
        <v>949</v>
      </c>
    </row>
    <row r="115" spans="2:29" ht="15" x14ac:dyDescent="0.25">
      <c r="B115" s="3"/>
      <c r="C115" s="3"/>
      <c r="D115" s="3"/>
      <c r="E115" s="3"/>
      <c r="F115" s="3"/>
      <c r="G115" s="3"/>
      <c r="H115" s="3"/>
      <c r="I115" s="3"/>
      <c r="J115" s="3"/>
      <c r="AB115" s="1620" t="s">
        <v>829</v>
      </c>
      <c r="AC115" t="s">
        <v>950</v>
      </c>
    </row>
    <row r="116" spans="2:29" ht="15" x14ac:dyDescent="0.25">
      <c r="B116" s="3"/>
      <c r="C116" s="3"/>
      <c r="D116" s="3"/>
      <c r="E116" s="3"/>
      <c r="F116" s="3"/>
      <c r="G116" s="3"/>
      <c r="H116" s="3"/>
      <c r="I116" s="3"/>
      <c r="J116" s="3"/>
      <c r="AB116" s="1620" t="s">
        <v>830</v>
      </c>
      <c r="AC116" t="s">
        <v>951</v>
      </c>
    </row>
    <row r="117" spans="2:29" ht="15" x14ac:dyDescent="0.25">
      <c r="B117" s="3"/>
      <c r="C117" s="3"/>
      <c r="D117" s="3"/>
      <c r="E117" s="3"/>
      <c r="F117" s="3"/>
      <c r="G117" s="3"/>
      <c r="H117" s="3"/>
      <c r="I117" s="3"/>
      <c r="J117" s="3"/>
      <c r="AB117" s="1620" t="s">
        <v>831</v>
      </c>
      <c r="AC117" t="s">
        <v>952</v>
      </c>
    </row>
    <row r="118" spans="2:29" ht="15" x14ac:dyDescent="0.25">
      <c r="B118" s="3"/>
      <c r="C118" s="3"/>
      <c r="D118" s="3"/>
      <c r="E118" s="3"/>
      <c r="F118" s="3"/>
      <c r="G118" s="3"/>
      <c r="H118" s="3"/>
      <c r="I118" s="3"/>
      <c r="J118" s="3"/>
      <c r="AB118" s="1620" t="s">
        <v>832</v>
      </c>
      <c r="AC118" t="s">
        <v>953</v>
      </c>
    </row>
    <row r="119" spans="2:29" ht="15" x14ac:dyDescent="0.25">
      <c r="B119" s="3"/>
      <c r="C119" s="3"/>
      <c r="D119" s="3"/>
      <c r="E119" s="3"/>
      <c r="F119" s="3"/>
      <c r="G119" s="3"/>
      <c r="H119" s="3"/>
      <c r="I119" s="3"/>
      <c r="J119" s="3"/>
      <c r="AB119" s="1620" t="s">
        <v>833</v>
      </c>
      <c r="AC119" t="s">
        <v>954</v>
      </c>
    </row>
    <row r="120" spans="2:29" ht="15" x14ac:dyDescent="0.25">
      <c r="B120" s="3"/>
      <c r="C120" s="3"/>
      <c r="D120" s="3"/>
      <c r="E120" s="3"/>
      <c r="F120" s="3"/>
      <c r="G120" s="3"/>
      <c r="H120" s="3"/>
      <c r="I120" s="3"/>
      <c r="J120" s="3"/>
      <c r="AB120" s="1620" t="s">
        <v>834</v>
      </c>
      <c r="AC120" t="s">
        <v>955</v>
      </c>
    </row>
    <row r="121" spans="2:29" ht="15" x14ac:dyDescent="0.25">
      <c r="B121" s="3"/>
      <c r="C121" s="3"/>
      <c r="D121" s="3"/>
      <c r="E121" s="3"/>
      <c r="F121" s="3"/>
      <c r="G121" s="3"/>
      <c r="H121" s="3"/>
      <c r="I121" s="3"/>
      <c r="J121" s="3"/>
      <c r="AB121" s="1620" t="s">
        <v>835</v>
      </c>
      <c r="AC121" t="s">
        <v>956</v>
      </c>
    </row>
    <row r="122" spans="2:29" ht="15" x14ac:dyDescent="0.25">
      <c r="B122" s="3"/>
      <c r="C122" s="3"/>
      <c r="D122" s="3"/>
      <c r="E122" s="3"/>
      <c r="F122" s="3"/>
      <c r="G122" s="3"/>
      <c r="H122" s="3"/>
      <c r="I122" s="3"/>
      <c r="J122" s="3"/>
      <c r="AB122" s="1620" t="s">
        <v>836</v>
      </c>
      <c r="AC122" t="s">
        <v>957</v>
      </c>
    </row>
    <row r="123" spans="2:29" ht="15" x14ac:dyDescent="0.25">
      <c r="B123" s="3"/>
      <c r="C123" s="3"/>
      <c r="D123" s="3"/>
      <c r="E123" s="3"/>
      <c r="F123" s="3"/>
      <c r="G123" s="3"/>
      <c r="H123" s="3"/>
      <c r="I123" s="3"/>
      <c r="J123" s="3"/>
      <c r="AB123" s="1620" t="s">
        <v>837</v>
      </c>
      <c r="AC123" t="s">
        <v>958</v>
      </c>
    </row>
    <row r="124" spans="2:29" ht="15" x14ac:dyDescent="0.25">
      <c r="B124" s="3"/>
      <c r="C124" s="3"/>
      <c r="D124" s="3"/>
      <c r="E124" s="3"/>
      <c r="F124" s="3"/>
      <c r="G124" s="3"/>
      <c r="H124" s="3"/>
      <c r="I124" s="3"/>
      <c r="J124" s="3"/>
      <c r="AB124" s="1620" t="s">
        <v>838</v>
      </c>
      <c r="AC124" t="s">
        <v>959</v>
      </c>
    </row>
    <row r="125" spans="2:29" ht="15" x14ac:dyDescent="0.25">
      <c r="B125" s="3"/>
      <c r="C125" s="3"/>
      <c r="D125" s="3"/>
      <c r="E125" s="3"/>
      <c r="F125" s="3"/>
      <c r="G125" s="3"/>
      <c r="H125" s="3"/>
      <c r="I125" s="3"/>
      <c r="J125" s="3"/>
      <c r="AB125" s="1620" t="s">
        <v>839</v>
      </c>
      <c r="AC125" t="s">
        <v>674</v>
      </c>
    </row>
    <row r="126" spans="2:29" ht="15" x14ac:dyDescent="0.25">
      <c r="B126" s="3"/>
      <c r="C126" s="3"/>
      <c r="D126" s="3"/>
      <c r="E126" s="3"/>
      <c r="F126" s="3"/>
      <c r="G126" s="3"/>
      <c r="H126" s="3"/>
      <c r="I126" s="3"/>
      <c r="J126" s="3"/>
      <c r="AB126" s="1620" t="s">
        <v>840</v>
      </c>
      <c r="AC126" t="s">
        <v>960</v>
      </c>
    </row>
    <row r="127" spans="2:29" ht="15" x14ac:dyDescent="0.25">
      <c r="B127" s="3"/>
      <c r="C127" s="3"/>
      <c r="D127" s="3"/>
      <c r="E127" s="3"/>
      <c r="F127" s="3"/>
      <c r="G127" s="3"/>
      <c r="H127" s="3"/>
      <c r="I127" s="3"/>
      <c r="J127" s="3"/>
      <c r="AC127" t="s">
        <v>961</v>
      </c>
    </row>
    <row r="128" spans="2:29" ht="15" x14ac:dyDescent="0.25">
      <c r="B128" s="3"/>
      <c r="C128" s="3"/>
      <c r="D128" s="3"/>
      <c r="E128" s="3"/>
      <c r="F128" s="3"/>
      <c r="G128" s="3"/>
      <c r="H128" s="3"/>
      <c r="I128" s="3"/>
      <c r="J128" s="3"/>
      <c r="AC128" t="s">
        <v>962</v>
      </c>
    </row>
    <row r="129" spans="2:29" ht="15" x14ac:dyDescent="0.25">
      <c r="B129" s="3"/>
      <c r="C129" s="3"/>
      <c r="D129" s="3"/>
      <c r="E129" s="3"/>
      <c r="F129" s="3"/>
      <c r="G129" s="3"/>
      <c r="H129" s="3"/>
      <c r="I129" s="3"/>
      <c r="J129" s="3"/>
      <c r="AC129" t="s">
        <v>963</v>
      </c>
    </row>
    <row r="130" spans="2:29" ht="15" x14ac:dyDescent="0.25">
      <c r="B130" s="3"/>
      <c r="C130" s="3"/>
      <c r="D130" s="3"/>
      <c r="E130" s="3"/>
      <c r="F130" s="3"/>
      <c r="G130" s="3"/>
      <c r="H130" s="3"/>
      <c r="I130" s="3"/>
      <c r="J130" s="3"/>
      <c r="AC130" t="s">
        <v>964</v>
      </c>
    </row>
    <row r="131" spans="2:29" ht="15" x14ac:dyDescent="0.25">
      <c r="B131" s="3"/>
      <c r="C131" s="3"/>
      <c r="D131" s="3"/>
      <c r="E131" s="3"/>
      <c r="F131" s="3"/>
      <c r="G131" s="3"/>
      <c r="H131" s="3"/>
      <c r="I131" s="3"/>
      <c r="J131" s="3"/>
      <c r="AC131" t="s">
        <v>965</v>
      </c>
    </row>
    <row r="132" spans="2:29" ht="15" x14ac:dyDescent="0.25">
      <c r="B132" s="3"/>
      <c r="C132" s="3"/>
      <c r="D132" s="3"/>
      <c r="E132" s="3"/>
      <c r="F132" s="3"/>
      <c r="G132" s="3"/>
      <c r="H132" s="3"/>
      <c r="I132" s="3"/>
      <c r="J132" s="3"/>
      <c r="AC132" t="s">
        <v>966</v>
      </c>
    </row>
    <row r="133" spans="2:29" ht="15" x14ac:dyDescent="0.25">
      <c r="B133" s="3"/>
      <c r="C133" s="3"/>
      <c r="D133" s="3"/>
      <c r="E133" s="3"/>
      <c r="F133" s="3"/>
      <c r="G133" s="3"/>
      <c r="H133" s="3"/>
      <c r="I133" s="3"/>
      <c r="J133" s="3"/>
      <c r="AC133" t="s">
        <v>967</v>
      </c>
    </row>
    <row r="134" spans="2:29" ht="15" x14ac:dyDescent="0.25">
      <c r="B134" s="3"/>
      <c r="C134" s="3"/>
      <c r="D134" s="3"/>
      <c r="E134" s="3"/>
      <c r="F134" s="3"/>
      <c r="G134" s="3"/>
      <c r="H134" s="3"/>
      <c r="I134" s="3"/>
      <c r="J134" s="3"/>
      <c r="AC134" t="s">
        <v>968</v>
      </c>
    </row>
    <row r="135" spans="2:29" ht="15" x14ac:dyDescent="0.25">
      <c r="B135" s="3"/>
      <c r="C135" s="3"/>
      <c r="D135" s="3"/>
      <c r="E135" s="3"/>
      <c r="F135" s="3"/>
      <c r="G135" s="3"/>
      <c r="H135" s="3"/>
      <c r="I135" s="3"/>
      <c r="J135" s="3"/>
      <c r="AC135" t="s">
        <v>969</v>
      </c>
    </row>
    <row r="136" spans="2:29" ht="15" x14ac:dyDescent="0.25">
      <c r="B136" s="3"/>
      <c r="C136" s="3"/>
      <c r="D136" s="3"/>
      <c r="E136" s="3"/>
      <c r="F136" s="3"/>
      <c r="G136" s="3"/>
      <c r="H136" s="3"/>
      <c r="I136" s="3"/>
      <c r="J136" s="3"/>
      <c r="AC136" t="s">
        <v>970</v>
      </c>
    </row>
    <row r="137" spans="2:29" ht="15" x14ac:dyDescent="0.25">
      <c r="B137" s="3"/>
      <c r="C137" s="3"/>
      <c r="D137" s="3"/>
      <c r="E137" s="3"/>
      <c r="F137" s="3"/>
      <c r="G137" s="3"/>
      <c r="H137" s="3"/>
      <c r="I137" s="3"/>
      <c r="J137" s="3"/>
      <c r="AC137" t="s">
        <v>675</v>
      </c>
    </row>
    <row r="138" spans="2:29" ht="15" x14ac:dyDescent="0.25">
      <c r="B138" s="3"/>
      <c r="C138" s="3"/>
      <c r="D138" s="3"/>
      <c r="E138" s="3"/>
      <c r="F138" s="3"/>
      <c r="G138" s="3"/>
      <c r="H138" s="3"/>
      <c r="I138" s="3"/>
      <c r="J138" s="3"/>
      <c r="AC138" t="s">
        <v>971</v>
      </c>
    </row>
    <row r="139" spans="2:29" ht="15" x14ac:dyDescent="0.25">
      <c r="B139" s="3"/>
      <c r="C139" s="3"/>
      <c r="D139" s="3"/>
      <c r="E139" s="3"/>
      <c r="F139" s="3"/>
      <c r="G139" s="3"/>
      <c r="H139" s="3"/>
      <c r="I139" s="3"/>
      <c r="J139" s="3"/>
      <c r="AC139" t="s">
        <v>972</v>
      </c>
    </row>
    <row r="140" spans="2:29" ht="15" x14ac:dyDescent="0.25">
      <c r="B140" s="3"/>
      <c r="C140" s="3"/>
      <c r="D140" s="3"/>
      <c r="E140" s="3"/>
      <c r="F140" s="3"/>
      <c r="G140" s="3"/>
      <c r="H140" s="3"/>
      <c r="I140" s="3"/>
      <c r="J140" s="3"/>
      <c r="AC140" t="s">
        <v>973</v>
      </c>
    </row>
    <row r="141" spans="2:29" ht="15" x14ac:dyDescent="0.25">
      <c r="B141" s="3"/>
      <c r="C141" s="3"/>
      <c r="D141" s="3"/>
      <c r="E141" s="3"/>
      <c r="F141" s="3"/>
      <c r="G141" s="3"/>
      <c r="H141" s="3"/>
      <c r="I141" s="3"/>
      <c r="J141" s="3"/>
      <c r="AC141" t="s">
        <v>974</v>
      </c>
    </row>
    <row r="142" spans="2:29" ht="15" x14ac:dyDescent="0.25">
      <c r="B142" s="3"/>
      <c r="C142" s="3"/>
      <c r="D142" s="3"/>
      <c r="E142" s="3"/>
      <c r="F142" s="3"/>
      <c r="G142" s="3"/>
      <c r="H142" s="3"/>
      <c r="I142" s="3"/>
      <c r="J142" s="3"/>
      <c r="AC142" t="s">
        <v>975</v>
      </c>
    </row>
    <row r="143" spans="2:29" ht="15" x14ac:dyDescent="0.25">
      <c r="B143" s="3"/>
      <c r="C143" s="3"/>
      <c r="D143" s="3"/>
      <c r="E143" s="3"/>
      <c r="F143" s="3"/>
      <c r="G143" s="3"/>
      <c r="H143" s="3"/>
      <c r="I143" s="3"/>
      <c r="J143" s="3"/>
      <c r="AC143" t="s">
        <v>976</v>
      </c>
    </row>
    <row r="144" spans="2:29" ht="15" x14ac:dyDescent="0.25">
      <c r="B144" s="3"/>
      <c r="C144" s="3"/>
      <c r="D144" s="3"/>
      <c r="E144" s="3"/>
      <c r="F144" s="3"/>
      <c r="G144" s="3"/>
      <c r="H144" s="3"/>
      <c r="I144" s="3"/>
      <c r="J144" s="3"/>
      <c r="AC144" t="s">
        <v>977</v>
      </c>
    </row>
    <row r="145" spans="2:29" ht="15" x14ac:dyDescent="0.25">
      <c r="B145" s="3"/>
      <c r="C145" s="3"/>
      <c r="D145" s="3"/>
      <c r="E145" s="3"/>
      <c r="F145" s="3"/>
      <c r="G145" s="3"/>
      <c r="H145" s="3"/>
      <c r="I145" s="3"/>
      <c r="J145" s="3"/>
      <c r="AC145" t="s">
        <v>978</v>
      </c>
    </row>
    <row r="146" spans="2:29" ht="15" x14ac:dyDescent="0.25">
      <c r="B146" s="3"/>
      <c r="C146" s="3"/>
      <c r="D146" s="3"/>
      <c r="E146" s="3"/>
      <c r="F146" s="3"/>
      <c r="G146" s="3"/>
      <c r="H146" s="3"/>
      <c r="I146" s="3"/>
      <c r="J146" s="3"/>
      <c r="AC146" t="s">
        <v>979</v>
      </c>
    </row>
    <row r="147" spans="2:29" ht="15" x14ac:dyDescent="0.25">
      <c r="B147" s="3"/>
      <c r="C147" s="3"/>
      <c r="D147" s="3"/>
      <c r="E147" s="3"/>
      <c r="F147" s="3"/>
      <c r="G147" s="3"/>
      <c r="H147" s="3"/>
      <c r="I147" s="3"/>
      <c r="J147" s="3"/>
      <c r="AC147" t="s">
        <v>980</v>
      </c>
    </row>
    <row r="148" spans="2:29" ht="15" x14ac:dyDescent="0.25">
      <c r="B148" s="3"/>
      <c r="C148" s="3"/>
      <c r="D148" s="3"/>
      <c r="E148" s="3"/>
      <c r="F148" s="3"/>
      <c r="G148" s="3"/>
      <c r="H148" s="3"/>
      <c r="I148" s="3"/>
      <c r="J148" s="3"/>
      <c r="AC148" t="s">
        <v>981</v>
      </c>
    </row>
    <row r="149" spans="2:29" ht="15" x14ac:dyDescent="0.25">
      <c r="B149" s="3"/>
      <c r="C149" s="3"/>
      <c r="D149" s="3"/>
      <c r="E149" s="3"/>
      <c r="F149" s="3"/>
      <c r="G149" s="3"/>
      <c r="H149" s="3"/>
      <c r="I149" s="3"/>
      <c r="J149" s="3"/>
      <c r="AC149" t="s">
        <v>982</v>
      </c>
    </row>
    <row r="150" spans="2:29" ht="15" x14ac:dyDescent="0.25">
      <c r="B150" s="3"/>
      <c r="C150" s="3"/>
      <c r="D150" s="3"/>
      <c r="E150" s="3"/>
      <c r="F150" s="3"/>
      <c r="G150" s="3"/>
      <c r="H150" s="3"/>
      <c r="I150" s="3"/>
      <c r="J150" s="3"/>
      <c r="AC150" t="s">
        <v>983</v>
      </c>
    </row>
    <row r="151" spans="2:29" ht="15" x14ac:dyDescent="0.25">
      <c r="B151" s="3"/>
      <c r="C151" s="3"/>
      <c r="D151" s="3"/>
      <c r="E151" s="3"/>
      <c r="F151" s="3"/>
      <c r="G151" s="3"/>
      <c r="H151" s="3"/>
      <c r="I151" s="3"/>
      <c r="J151" s="3"/>
      <c r="AC151" t="s">
        <v>984</v>
      </c>
    </row>
    <row r="152" spans="2:29" ht="15" x14ac:dyDescent="0.25">
      <c r="B152" s="3"/>
      <c r="C152" s="3"/>
      <c r="D152" s="3"/>
      <c r="E152" s="3"/>
      <c r="F152" s="3"/>
      <c r="G152" s="3"/>
      <c r="H152" s="3"/>
      <c r="I152" s="3"/>
      <c r="J152" s="3"/>
      <c r="AC152" t="s">
        <v>985</v>
      </c>
    </row>
    <row r="153" spans="2:29" ht="15" x14ac:dyDescent="0.25">
      <c r="B153" s="3"/>
      <c r="C153" s="3"/>
      <c r="D153" s="3"/>
      <c r="E153" s="3"/>
      <c r="F153" s="3"/>
      <c r="G153" s="3"/>
      <c r="H153" s="3"/>
      <c r="I153" s="3"/>
      <c r="J153" s="3"/>
      <c r="AC153" t="s">
        <v>986</v>
      </c>
    </row>
    <row r="154" spans="2:29" ht="15" x14ac:dyDescent="0.25">
      <c r="B154" s="3"/>
      <c r="C154" s="3"/>
      <c r="D154" s="3"/>
      <c r="E154" s="3"/>
      <c r="F154" s="3"/>
      <c r="G154" s="3"/>
      <c r="H154" s="3"/>
      <c r="I154" s="3"/>
      <c r="J154" s="3"/>
      <c r="AC154" t="s">
        <v>987</v>
      </c>
    </row>
    <row r="155" spans="2:29" ht="15" x14ac:dyDescent="0.25">
      <c r="B155" s="3"/>
      <c r="C155" s="3"/>
      <c r="D155" s="3"/>
      <c r="E155" s="3"/>
      <c r="F155" s="3"/>
      <c r="G155" s="3"/>
      <c r="H155" s="3"/>
      <c r="I155" s="3"/>
      <c r="J155" s="3"/>
      <c r="AC155" t="s">
        <v>988</v>
      </c>
    </row>
    <row r="156" spans="2:29" ht="15" x14ac:dyDescent="0.25">
      <c r="B156" s="3"/>
      <c r="C156" s="3"/>
      <c r="D156" s="3"/>
      <c r="E156" s="3"/>
      <c r="F156" s="3"/>
      <c r="G156" s="3"/>
      <c r="H156" s="3"/>
      <c r="I156" s="3"/>
      <c r="J156" s="3"/>
      <c r="AC156" t="s">
        <v>989</v>
      </c>
    </row>
    <row r="157" spans="2:29" ht="15" x14ac:dyDescent="0.25">
      <c r="B157" s="3"/>
      <c r="C157" s="3"/>
      <c r="D157" s="3"/>
      <c r="E157" s="3"/>
      <c r="F157" s="3"/>
      <c r="G157" s="3"/>
      <c r="H157" s="3"/>
      <c r="I157" s="3"/>
      <c r="J157" s="3"/>
      <c r="AC157" t="s">
        <v>990</v>
      </c>
    </row>
    <row r="158" spans="2:29" ht="15" x14ac:dyDescent="0.25">
      <c r="B158" s="3"/>
      <c r="C158" s="3"/>
      <c r="D158" s="3"/>
      <c r="E158" s="3"/>
      <c r="F158" s="3"/>
      <c r="G158" s="3"/>
      <c r="H158" s="3"/>
      <c r="I158" s="3"/>
      <c r="J158" s="3"/>
      <c r="AC158" t="s">
        <v>991</v>
      </c>
    </row>
    <row r="159" spans="2:29" ht="15" x14ac:dyDescent="0.25">
      <c r="B159" s="3"/>
      <c r="C159" s="3"/>
      <c r="D159" s="3"/>
      <c r="E159" s="3"/>
      <c r="F159" s="3"/>
      <c r="G159" s="3"/>
      <c r="H159" s="3"/>
      <c r="I159" s="3"/>
      <c r="J159" s="3"/>
      <c r="AC159" t="s">
        <v>992</v>
      </c>
    </row>
    <row r="160" spans="2:29" ht="15" x14ac:dyDescent="0.25">
      <c r="B160" s="3"/>
      <c r="C160" s="3"/>
      <c r="D160" s="3"/>
      <c r="E160" s="3"/>
      <c r="F160" s="3"/>
      <c r="G160" s="3"/>
      <c r="H160" s="3"/>
      <c r="I160" s="3"/>
      <c r="J160" s="3"/>
      <c r="AC160" t="s">
        <v>993</v>
      </c>
    </row>
    <row r="161" spans="2:29" ht="15" x14ac:dyDescent="0.25">
      <c r="B161" s="3"/>
      <c r="C161" s="3"/>
      <c r="D161" s="3"/>
      <c r="E161" s="3"/>
      <c r="F161" s="3"/>
      <c r="G161" s="3"/>
      <c r="H161" s="3"/>
      <c r="I161" s="3"/>
      <c r="J161" s="3"/>
      <c r="AC161" t="s">
        <v>994</v>
      </c>
    </row>
    <row r="162" spans="2:29" ht="15" x14ac:dyDescent="0.25">
      <c r="B162" s="3"/>
      <c r="C162" s="3"/>
      <c r="D162" s="3"/>
      <c r="E162" s="3"/>
      <c r="F162" s="3"/>
      <c r="G162" s="3"/>
      <c r="H162" s="3"/>
      <c r="I162" s="3"/>
      <c r="J162" s="3"/>
      <c r="AC162" t="s">
        <v>995</v>
      </c>
    </row>
    <row r="163" spans="2:29" ht="15" x14ac:dyDescent="0.25">
      <c r="B163" s="3"/>
      <c r="C163" s="3"/>
      <c r="D163" s="3"/>
      <c r="E163" s="3"/>
      <c r="F163" s="3"/>
      <c r="G163" s="3"/>
      <c r="H163" s="3"/>
      <c r="I163" s="3"/>
      <c r="J163" s="3"/>
      <c r="AC163" t="s">
        <v>996</v>
      </c>
    </row>
    <row r="164" spans="2:29" ht="15" x14ac:dyDescent="0.25">
      <c r="B164" s="3"/>
      <c r="C164" s="3"/>
      <c r="D164" s="3"/>
      <c r="E164" s="3"/>
      <c r="F164" s="3"/>
      <c r="G164" s="3"/>
      <c r="H164" s="3"/>
      <c r="I164" s="3"/>
      <c r="J164" s="3"/>
      <c r="AC164" t="s">
        <v>997</v>
      </c>
    </row>
    <row r="165" spans="2:29" ht="15" x14ac:dyDescent="0.25">
      <c r="B165" s="3"/>
      <c r="C165" s="3"/>
      <c r="D165" s="3"/>
      <c r="E165" s="3"/>
      <c r="F165" s="3"/>
      <c r="G165" s="3"/>
      <c r="H165" s="3"/>
      <c r="I165" s="3"/>
      <c r="J165" s="3"/>
      <c r="AC165" t="s">
        <v>998</v>
      </c>
    </row>
    <row r="166" spans="2:29" ht="15" x14ac:dyDescent="0.25">
      <c r="B166" s="3"/>
      <c r="C166" s="3"/>
      <c r="D166" s="3"/>
      <c r="E166" s="3"/>
      <c r="F166" s="3"/>
      <c r="G166" s="3"/>
      <c r="H166" s="3"/>
      <c r="I166" s="3"/>
      <c r="J166" s="3"/>
      <c r="AC166" t="s">
        <v>999</v>
      </c>
    </row>
    <row r="167" spans="2:29" ht="15" x14ac:dyDescent="0.25">
      <c r="B167" s="3"/>
      <c r="C167" s="3"/>
      <c r="D167" s="3"/>
      <c r="E167" s="3"/>
      <c r="F167" s="3"/>
      <c r="G167" s="3"/>
      <c r="H167" s="3"/>
      <c r="I167" s="3"/>
      <c r="J167" s="3"/>
      <c r="AC167" t="s">
        <v>1000</v>
      </c>
    </row>
    <row r="168" spans="2:29" ht="15" x14ac:dyDescent="0.25">
      <c r="B168" s="3"/>
      <c r="C168" s="3"/>
      <c r="D168" s="3"/>
      <c r="E168" s="3"/>
      <c r="F168" s="3"/>
      <c r="G168" s="3"/>
      <c r="H168" s="3"/>
      <c r="I168" s="3"/>
      <c r="J168" s="3"/>
      <c r="AC168" t="s">
        <v>1001</v>
      </c>
    </row>
    <row r="169" spans="2:29" ht="15" x14ac:dyDescent="0.25">
      <c r="B169" s="3"/>
      <c r="C169" s="3"/>
      <c r="D169" s="3"/>
      <c r="E169" s="3"/>
      <c r="F169" s="3"/>
      <c r="G169" s="3"/>
      <c r="H169" s="3"/>
      <c r="I169" s="3"/>
      <c r="J169" s="3"/>
      <c r="AC169" t="s">
        <v>1002</v>
      </c>
    </row>
    <row r="170" spans="2:29" ht="15" x14ac:dyDescent="0.25">
      <c r="AC170" t="s">
        <v>1003</v>
      </c>
    </row>
    <row r="171" spans="2:29" ht="15" x14ac:dyDescent="0.25">
      <c r="AC171" t="s">
        <v>1004</v>
      </c>
    </row>
    <row r="172" spans="2:29" ht="15" x14ac:dyDescent="0.25">
      <c r="AC172" t="s">
        <v>1005</v>
      </c>
    </row>
    <row r="173" spans="2:29" ht="15" x14ac:dyDescent="0.25">
      <c r="AC173" t="s">
        <v>1006</v>
      </c>
    </row>
    <row r="174" spans="2:29" ht="15" x14ac:dyDescent="0.25">
      <c r="AC174" t="s">
        <v>1007</v>
      </c>
    </row>
    <row r="175" spans="2:29" ht="15" x14ac:dyDescent="0.25">
      <c r="AC175" t="s">
        <v>1008</v>
      </c>
    </row>
    <row r="176" spans="2:29" ht="15" x14ac:dyDescent="0.25">
      <c r="AC176" t="s">
        <v>1009</v>
      </c>
    </row>
    <row r="177" spans="29:29" ht="15" x14ac:dyDescent="0.25">
      <c r="AC177" t="s">
        <v>1010</v>
      </c>
    </row>
    <row r="178" spans="29:29" ht="15" x14ac:dyDescent="0.25">
      <c r="AC178" t="s">
        <v>1011</v>
      </c>
    </row>
    <row r="179" spans="29:29" ht="15" x14ac:dyDescent="0.25">
      <c r="AC179" t="s">
        <v>1012</v>
      </c>
    </row>
    <row r="180" spans="29:29" ht="15" x14ac:dyDescent="0.25">
      <c r="AC180" t="s">
        <v>1013</v>
      </c>
    </row>
    <row r="181" spans="29:29" ht="15" x14ac:dyDescent="0.25">
      <c r="AC181" t="s">
        <v>1014</v>
      </c>
    </row>
    <row r="182" spans="29:29" ht="15" x14ac:dyDescent="0.25">
      <c r="AC182" t="s">
        <v>1015</v>
      </c>
    </row>
    <row r="183" spans="29:29" ht="15" x14ac:dyDescent="0.25">
      <c r="AC183" t="s">
        <v>1016</v>
      </c>
    </row>
    <row r="184" spans="29:29" ht="15" x14ac:dyDescent="0.25">
      <c r="AC184" t="s">
        <v>1017</v>
      </c>
    </row>
    <row r="185" spans="29:29" ht="15" x14ac:dyDescent="0.25">
      <c r="AC185" t="s">
        <v>1018</v>
      </c>
    </row>
    <row r="186" spans="29:29" ht="15" x14ac:dyDescent="0.25">
      <c r="AC186" t="s">
        <v>1019</v>
      </c>
    </row>
    <row r="187" spans="29:29" ht="15" x14ac:dyDescent="0.25">
      <c r="AC187" t="s">
        <v>1020</v>
      </c>
    </row>
    <row r="188" spans="29:29" ht="15" x14ac:dyDescent="0.25">
      <c r="AC188" t="s">
        <v>1021</v>
      </c>
    </row>
    <row r="189" spans="29:29" ht="15" x14ac:dyDescent="0.25">
      <c r="AC189" t="s">
        <v>1022</v>
      </c>
    </row>
    <row r="190" spans="29:29" ht="15" x14ac:dyDescent="0.25">
      <c r="AC190" t="s">
        <v>1023</v>
      </c>
    </row>
    <row r="191" spans="29:29" ht="15" x14ac:dyDescent="0.25">
      <c r="AC191" t="s">
        <v>1024</v>
      </c>
    </row>
    <row r="192" spans="29:29" ht="15" x14ac:dyDescent="0.25">
      <c r="AC192" t="s">
        <v>1025</v>
      </c>
    </row>
    <row r="193" spans="29:29" ht="15" x14ac:dyDescent="0.25">
      <c r="AC193" t="s">
        <v>1026</v>
      </c>
    </row>
    <row r="194" spans="29:29" ht="15" x14ac:dyDescent="0.25">
      <c r="AC194" t="s">
        <v>1027</v>
      </c>
    </row>
    <row r="195" spans="29:29" ht="15" x14ac:dyDescent="0.25">
      <c r="AC195" t="s">
        <v>1028</v>
      </c>
    </row>
    <row r="196" spans="29:29" ht="15" x14ac:dyDescent="0.25">
      <c r="AC196" t="s">
        <v>1029</v>
      </c>
    </row>
    <row r="197" spans="29:29" ht="15" x14ac:dyDescent="0.25">
      <c r="AC197" t="s">
        <v>1030</v>
      </c>
    </row>
    <row r="198" spans="29:29" ht="15" x14ac:dyDescent="0.25">
      <c r="AC198" t="s">
        <v>1031</v>
      </c>
    </row>
    <row r="199" spans="29:29" ht="15" x14ac:dyDescent="0.25">
      <c r="AC199" t="s">
        <v>1032</v>
      </c>
    </row>
    <row r="200" spans="29:29" ht="15" x14ac:dyDescent="0.25">
      <c r="AC200" t="s">
        <v>1033</v>
      </c>
    </row>
    <row r="201" spans="29:29" ht="15" x14ac:dyDescent="0.25">
      <c r="AC201" t="s">
        <v>1034</v>
      </c>
    </row>
    <row r="202" spans="29:29" ht="15" x14ac:dyDescent="0.25">
      <c r="AC202" t="s">
        <v>1035</v>
      </c>
    </row>
    <row r="203" spans="29:29" ht="15" x14ac:dyDescent="0.25">
      <c r="AC203" t="s">
        <v>1036</v>
      </c>
    </row>
    <row r="204" spans="29:29" ht="15" x14ac:dyDescent="0.25">
      <c r="AC204" t="s">
        <v>1037</v>
      </c>
    </row>
    <row r="205" spans="29:29" ht="15" x14ac:dyDescent="0.25">
      <c r="AC205" t="s">
        <v>1038</v>
      </c>
    </row>
    <row r="206" spans="29:29" ht="15" x14ac:dyDescent="0.25">
      <c r="AC206" t="s">
        <v>1039</v>
      </c>
    </row>
    <row r="207" spans="29:29" ht="15" x14ac:dyDescent="0.25">
      <c r="AC207" t="s">
        <v>1040</v>
      </c>
    </row>
    <row r="208" spans="29:29" ht="15" x14ac:dyDescent="0.25">
      <c r="AC208" t="s">
        <v>1041</v>
      </c>
    </row>
    <row r="209" spans="29:29" ht="15" x14ac:dyDescent="0.25">
      <c r="AC209" t="s">
        <v>1042</v>
      </c>
    </row>
    <row r="210" spans="29:29" ht="15" x14ac:dyDescent="0.25">
      <c r="AC210" t="s">
        <v>1043</v>
      </c>
    </row>
    <row r="211" spans="29:29" ht="15" x14ac:dyDescent="0.25">
      <c r="AC211" t="s">
        <v>1044</v>
      </c>
    </row>
    <row r="212" spans="29:29" ht="15" x14ac:dyDescent="0.25">
      <c r="AC212" t="s">
        <v>1045</v>
      </c>
    </row>
    <row r="213" spans="29:29" ht="15" x14ac:dyDescent="0.25">
      <c r="AC213" t="s">
        <v>1046</v>
      </c>
    </row>
    <row r="214" spans="29:29" ht="15" x14ac:dyDescent="0.25">
      <c r="AC214" t="s">
        <v>1047</v>
      </c>
    </row>
    <row r="215" spans="29:29" ht="15" x14ac:dyDescent="0.25">
      <c r="AC215" t="s">
        <v>1048</v>
      </c>
    </row>
    <row r="216" spans="29:29" ht="15" x14ac:dyDescent="0.25">
      <c r="AC216" t="s">
        <v>1049</v>
      </c>
    </row>
    <row r="217" spans="29:29" ht="15" x14ac:dyDescent="0.25">
      <c r="AC217" t="s">
        <v>1050</v>
      </c>
    </row>
    <row r="218" spans="29:29" ht="15" x14ac:dyDescent="0.25">
      <c r="AC218" t="s">
        <v>1051</v>
      </c>
    </row>
    <row r="219" spans="29:29" ht="15" x14ac:dyDescent="0.25">
      <c r="AC219" t="s">
        <v>1052</v>
      </c>
    </row>
    <row r="220" spans="29:29" ht="15" x14ac:dyDescent="0.25">
      <c r="AC220" t="s">
        <v>1053</v>
      </c>
    </row>
    <row r="221" spans="29:29" ht="15" x14ac:dyDescent="0.25">
      <c r="AC221" t="s">
        <v>1054</v>
      </c>
    </row>
    <row r="222" spans="29:29" ht="15" x14ac:dyDescent="0.25">
      <c r="AC222" t="s">
        <v>1055</v>
      </c>
    </row>
    <row r="223" spans="29:29" ht="15" x14ac:dyDescent="0.25">
      <c r="AC223" t="s">
        <v>1056</v>
      </c>
    </row>
    <row r="224" spans="29:29" ht="15" x14ac:dyDescent="0.25">
      <c r="AC224" t="s">
        <v>1057</v>
      </c>
    </row>
    <row r="225" spans="29:29" ht="15" x14ac:dyDescent="0.25">
      <c r="AC225" t="s">
        <v>1058</v>
      </c>
    </row>
    <row r="226" spans="29:29" ht="15" x14ac:dyDescent="0.25">
      <c r="AC226" t="s">
        <v>1059</v>
      </c>
    </row>
    <row r="227" spans="29:29" ht="15" x14ac:dyDescent="0.25">
      <c r="AC227" t="s">
        <v>1060</v>
      </c>
    </row>
    <row r="228" spans="29:29" ht="15" x14ac:dyDescent="0.25">
      <c r="AC228" t="s">
        <v>1061</v>
      </c>
    </row>
    <row r="229" spans="29:29" ht="15" x14ac:dyDescent="0.25">
      <c r="AC229" t="s">
        <v>1062</v>
      </c>
    </row>
    <row r="230" spans="29:29" ht="15" x14ac:dyDescent="0.25">
      <c r="AC230" t="s">
        <v>1063</v>
      </c>
    </row>
    <row r="231" spans="29:29" ht="15" x14ac:dyDescent="0.25">
      <c r="AC231" t="s">
        <v>1064</v>
      </c>
    </row>
    <row r="232" spans="29:29" ht="15" x14ac:dyDescent="0.25">
      <c r="AC232" t="s">
        <v>1065</v>
      </c>
    </row>
    <row r="233" spans="29:29" ht="15" x14ac:dyDescent="0.25">
      <c r="AC233" t="s">
        <v>1066</v>
      </c>
    </row>
    <row r="234" spans="29:29" ht="15" x14ac:dyDescent="0.25">
      <c r="AC234" t="s">
        <v>1067</v>
      </c>
    </row>
    <row r="235" spans="29:29" ht="15" x14ac:dyDescent="0.25">
      <c r="AC235" t="s">
        <v>1068</v>
      </c>
    </row>
    <row r="236" spans="29:29" ht="15" x14ac:dyDescent="0.25">
      <c r="AC236" t="s">
        <v>1069</v>
      </c>
    </row>
    <row r="237" spans="29:29" ht="15" x14ac:dyDescent="0.25">
      <c r="AC237" t="s">
        <v>1070</v>
      </c>
    </row>
    <row r="238" spans="29:29" ht="15" x14ac:dyDescent="0.25">
      <c r="AC238" t="s">
        <v>1071</v>
      </c>
    </row>
    <row r="239" spans="29:29" ht="15" x14ac:dyDescent="0.25">
      <c r="AC239" t="s">
        <v>1072</v>
      </c>
    </row>
    <row r="240" spans="29:29" ht="15" x14ac:dyDescent="0.25">
      <c r="AC240" t="s">
        <v>1073</v>
      </c>
    </row>
    <row r="241" spans="29:29" ht="15" x14ac:dyDescent="0.25">
      <c r="AC241" t="s">
        <v>1074</v>
      </c>
    </row>
    <row r="242" spans="29:29" ht="15" x14ac:dyDescent="0.25">
      <c r="AC242" t="s">
        <v>1075</v>
      </c>
    </row>
    <row r="243" spans="29:29" ht="15" x14ac:dyDescent="0.25">
      <c r="AC243" t="s">
        <v>1076</v>
      </c>
    </row>
    <row r="244" spans="29:29" ht="15" x14ac:dyDescent="0.25">
      <c r="AC244" t="s">
        <v>1077</v>
      </c>
    </row>
    <row r="245" spans="29:29" ht="15" x14ac:dyDescent="0.25">
      <c r="AC245" t="s">
        <v>1078</v>
      </c>
    </row>
    <row r="246" spans="29:29" ht="15" x14ac:dyDescent="0.25">
      <c r="AC246" t="s">
        <v>1079</v>
      </c>
    </row>
    <row r="247" spans="29:29" ht="15" x14ac:dyDescent="0.25">
      <c r="AC247" t="s">
        <v>1080</v>
      </c>
    </row>
    <row r="248" spans="29:29" ht="15" x14ac:dyDescent="0.25">
      <c r="AC248" t="s">
        <v>1081</v>
      </c>
    </row>
  </sheetData>
  <mergeCells count="8">
    <mergeCell ref="F32:G32"/>
    <mergeCell ref="B2:F2"/>
    <mergeCell ref="N5:O5"/>
    <mergeCell ref="L5:M5"/>
    <mergeCell ref="K5:K6"/>
    <mergeCell ref="J5:J6"/>
    <mergeCell ref="I5:I6"/>
    <mergeCell ref="I3:O4"/>
  </mergeCells>
  <dataValidations count="3">
    <dataValidation type="list" allowBlank="1" showInputMessage="1" showErrorMessage="1" sqref="I7:I31">
      <formula1>$AB$2:$AB$3</formula1>
    </dataValidation>
    <dataValidation type="list" allowBlank="1" showInputMessage="1" showErrorMessage="1" sqref="J7:J31">
      <formula1>$AB$5:$AB$126</formula1>
    </dataValidation>
    <dataValidation type="list" allowBlank="1" showInputMessage="1" showErrorMessage="1" sqref="K7:K31">
      <formula1>$AC$2:$AC$248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9">
    <tabColor theme="4"/>
  </sheetPr>
  <dimension ref="A1:S114"/>
  <sheetViews>
    <sheetView workbookViewId="0">
      <pane ySplit="78" topLeftCell="A79" activePane="bottomLeft" state="frozen"/>
      <selection pane="bottomLeft" activeCell="A35" sqref="A35:L77"/>
    </sheetView>
  </sheetViews>
  <sheetFormatPr defaultColWidth="9.140625" defaultRowHeight="12" outlineLevelRow="1" outlineLevelCol="1" x14ac:dyDescent="0.2"/>
  <cols>
    <col min="1" max="1" width="59.140625" style="1234" customWidth="1"/>
    <col min="2" max="2" width="9.5703125" style="1234" customWidth="1" outlineLevel="1"/>
    <col min="3" max="3" width="8.85546875" style="1234" customWidth="1" outlineLevel="1"/>
    <col min="4" max="4" width="8.5703125" style="1234" customWidth="1" outlineLevel="1"/>
    <col min="5" max="8" width="9.5703125" style="1234" bestFit="1" customWidth="1"/>
    <col min="9" max="12" width="10.42578125" style="1234" bestFit="1" customWidth="1"/>
    <col min="13" max="13" width="9.140625" style="1234"/>
    <col min="14" max="14" width="20.140625" style="1234" bestFit="1" customWidth="1"/>
    <col min="15" max="17" width="16.42578125" style="1234" customWidth="1"/>
    <col min="18" max="18" width="15.85546875" style="1234" customWidth="1"/>
    <col min="19" max="19" width="19.85546875" style="1234" bestFit="1" customWidth="1"/>
    <col min="20" max="16384" width="9.140625" style="1234"/>
  </cols>
  <sheetData>
    <row r="1" spans="1:19" customFormat="1" ht="15" x14ac:dyDescent="0.25">
      <c r="A1" s="1962" t="s">
        <v>1181</v>
      </c>
      <c r="B1" s="1962"/>
      <c r="C1" s="1962"/>
      <c r="D1" s="1962"/>
      <c r="E1" s="1962"/>
      <c r="F1" s="1962"/>
      <c r="G1" s="1962"/>
      <c r="H1" s="1962"/>
      <c r="I1" s="1962"/>
      <c r="J1" s="1962"/>
      <c r="K1" s="1962"/>
      <c r="L1" s="1962"/>
    </row>
    <row r="2" spans="1:19" ht="12.75" hidden="1" outlineLevel="1" thickBot="1" x14ac:dyDescent="0.25">
      <c r="B2" s="1235">
        <f>C2-1</f>
        <v>2017</v>
      </c>
      <c r="C2" s="1235">
        <f>D2-1</f>
        <v>2018</v>
      </c>
      <c r="D2" s="1235">
        <f>E2-1</f>
        <v>2019</v>
      </c>
      <c r="E2" s="1235">
        <f>Pressupostos!C11</f>
        <v>2020</v>
      </c>
      <c r="F2" s="1235">
        <f>E2+1</f>
        <v>2021</v>
      </c>
      <c r="G2" s="1235">
        <f>F2+1</f>
        <v>2022</v>
      </c>
      <c r="H2" s="1235">
        <f t="shared" ref="H2:K2" si="0">G2+1</f>
        <v>2023</v>
      </c>
      <c r="I2" s="1235">
        <f t="shared" si="0"/>
        <v>2024</v>
      </c>
      <c r="J2" s="1235">
        <f t="shared" si="0"/>
        <v>2025</v>
      </c>
      <c r="K2" s="1235">
        <f t="shared" si="0"/>
        <v>2026</v>
      </c>
      <c r="L2" s="1235">
        <f t="shared" ref="L2" si="1">K2+1</f>
        <v>2027</v>
      </c>
    </row>
    <row r="3" spans="1:19" ht="12.75" hidden="1" outlineLevel="1" thickTop="1" x14ac:dyDescent="0.2">
      <c r="A3" s="1236" t="s">
        <v>466</v>
      </c>
      <c r="B3" s="1237">
        <f>DR!D6</f>
        <v>0</v>
      </c>
      <c r="C3" s="1237">
        <f>DR!E6</f>
        <v>0</v>
      </c>
      <c r="D3" s="1237">
        <f>DR!F6</f>
        <v>3479532.14</v>
      </c>
      <c r="E3" s="1248">
        <f>'DR Empresa'!C5</f>
        <v>3690043.8344700006</v>
      </c>
      <c r="F3" s="1248">
        <f>'DR Empresa'!D5</f>
        <v>3913291.4864554359</v>
      </c>
      <c r="G3" s="1248">
        <f>'DR Empresa'!E5</f>
        <v>4150045.6213859897</v>
      </c>
      <c r="H3" s="1248">
        <f>'DR Empresa'!F5</f>
        <v>4401123.3814798417</v>
      </c>
      <c r="I3" s="1248">
        <f>'DR Empresa'!G5</f>
        <v>4489585.9614475863</v>
      </c>
      <c r="J3" s="1248">
        <f>'DR Empresa'!H5</f>
        <v>4579826.6392726824</v>
      </c>
      <c r="K3" s="1248">
        <f>'DR Empresa'!I5</f>
        <v>4671881.1547220629</v>
      </c>
      <c r="L3" s="1248">
        <f>'DR Empresa'!J5</f>
        <v>4765785.9659319762</v>
      </c>
    </row>
    <row r="4" spans="1:19" hidden="1" outlineLevel="1" x14ac:dyDescent="0.2">
      <c r="A4" s="1238" t="s">
        <v>467</v>
      </c>
      <c r="B4" s="1239">
        <f>DR!D7</f>
        <v>0</v>
      </c>
      <c r="C4" s="1239">
        <f>DR!E7</f>
        <v>0</v>
      </c>
      <c r="D4" s="1239">
        <f>DR!F7</f>
        <v>49.26</v>
      </c>
      <c r="E4" s="1249">
        <f>'DR Empresa'!C6</f>
        <v>9281.3625000000011</v>
      </c>
      <c r="F4" s="1249">
        <f>'DR Empresa'!D6</f>
        <v>26253</v>
      </c>
      <c r="G4" s="1249">
        <f>'DR Empresa'!E6</f>
        <v>6660</v>
      </c>
      <c r="H4" s="1249">
        <f>'DR Empresa'!F6</f>
        <v>0</v>
      </c>
      <c r="I4" s="1249">
        <f>'DR Empresa'!G6</f>
        <v>0</v>
      </c>
      <c r="J4" s="1249">
        <f>'DR Empresa'!H6</f>
        <v>0</v>
      </c>
      <c r="K4" s="1249">
        <f>'DR Empresa'!I6</f>
        <v>0</v>
      </c>
      <c r="L4" s="1249">
        <f>'DR Empresa'!J6</f>
        <v>0</v>
      </c>
    </row>
    <row r="5" spans="1:19" hidden="1" outlineLevel="1" x14ac:dyDescent="0.2">
      <c r="A5" s="1238" t="s">
        <v>468</v>
      </c>
      <c r="B5" s="1239">
        <f>DR!D8</f>
        <v>0</v>
      </c>
      <c r="C5" s="1239">
        <f>DR!E8</f>
        <v>0</v>
      </c>
      <c r="D5" s="1239">
        <f>DR!F8</f>
        <v>0</v>
      </c>
      <c r="E5" s="1249">
        <f>'DR Empresa'!C7</f>
        <v>0</v>
      </c>
      <c r="F5" s="1249">
        <f>'DR Empresa'!D7</f>
        <v>0</v>
      </c>
      <c r="G5" s="1249">
        <f>'DR Empresa'!E7</f>
        <v>0</v>
      </c>
      <c r="H5" s="1249">
        <f>'DR Empresa'!F7</f>
        <v>0</v>
      </c>
      <c r="I5" s="1249">
        <f>'DR Empresa'!G7</f>
        <v>0</v>
      </c>
      <c r="J5" s="1249">
        <f>'DR Empresa'!H7</f>
        <v>0</v>
      </c>
      <c r="K5" s="1249">
        <f>'DR Empresa'!I7</f>
        <v>0</v>
      </c>
      <c r="L5" s="1249">
        <f>'DR Empresa'!J7</f>
        <v>0</v>
      </c>
      <c r="P5" s="1595"/>
      <c r="Q5" s="1595"/>
    </row>
    <row r="6" spans="1:19" hidden="1" outlineLevel="1" x14ac:dyDescent="0.2">
      <c r="A6" s="1238" t="s">
        <v>469</v>
      </c>
      <c r="B6" s="1239">
        <f>DR!D9</f>
        <v>0</v>
      </c>
      <c r="C6" s="1239">
        <f>DR!E9</f>
        <v>0</v>
      </c>
      <c r="D6" s="1239">
        <f>DR!F9</f>
        <v>0</v>
      </c>
      <c r="E6" s="1249">
        <f>'DR Empresa'!C8</f>
        <v>0</v>
      </c>
      <c r="F6" s="1249">
        <f>'DR Empresa'!D8</f>
        <v>0</v>
      </c>
      <c r="G6" s="1249">
        <f>'DR Empresa'!E8</f>
        <v>0</v>
      </c>
      <c r="H6" s="1249">
        <f>'DR Empresa'!F8</f>
        <v>0</v>
      </c>
      <c r="I6" s="1249">
        <f>'DR Empresa'!G8</f>
        <v>0</v>
      </c>
      <c r="J6" s="1249">
        <f>'DR Empresa'!H8</f>
        <v>0</v>
      </c>
      <c r="K6" s="1249">
        <f>'DR Empresa'!I8</f>
        <v>0</v>
      </c>
      <c r="L6" s="1249">
        <f>'DR Empresa'!J8</f>
        <v>0</v>
      </c>
      <c r="N6" s="1600"/>
      <c r="O6" s="7"/>
      <c r="P6" s="7"/>
      <c r="Q6" s="7"/>
      <c r="R6" s="1600"/>
      <c r="S6" s="1600"/>
    </row>
    <row r="7" spans="1:19" hidden="1" outlineLevel="1" x14ac:dyDescent="0.2">
      <c r="A7" s="1238" t="s">
        <v>470</v>
      </c>
      <c r="B7" s="1239">
        <f>DR!D10</f>
        <v>0</v>
      </c>
      <c r="C7" s="1239">
        <f>DR!E10</f>
        <v>0</v>
      </c>
      <c r="D7" s="1239">
        <f>DR!F10</f>
        <v>0</v>
      </c>
      <c r="E7" s="1249">
        <f>'DR Empresa'!C9</f>
        <v>0</v>
      </c>
      <c r="F7" s="1249">
        <f>'DR Empresa'!D9</f>
        <v>0</v>
      </c>
      <c r="G7" s="1249">
        <f>'DR Empresa'!E9</f>
        <v>0</v>
      </c>
      <c r="H7" s="1249">
        <f>'DR Empresa'!F9</f>
        <v>0</v>
      </c>
      <c r="I7" s="1249">
        <f>'DR Empresa'!G9</f>
        <v>0</v>
      </c>
      <c r="J7" s="1249">
        <f>'DR Empresa'!H9</f>
        <v>0</v>
      </c>
      <c r="K7" s="1249">
        <f>'DR Empresa'!I9</f>
        <v>0</v>
      </c>
      <c r="L7" s="1249">
        <f>'DR Empresa'!J9</f>
        <v>0</v>
      </c>
      <c r="N7" s="1601"/>
      <c r="O7" s="7"/>
      <c r="P7" s="1623"/>
      <c r="Q7" s="1623"/>
      <c r="R7" s="1600"/>
      <c r="S7" s="1600"/>
    </row>
    <row r="8" spans="1:19" hidden="1" outlineLevel="1" x14ac:dyDescent="0.2">
      <c r="A8" s="1238" t="s">
        <v>471</v>
      </c>
      <c r="B8" s="1239">
        <f>DR!D11</f>
        <v>0</v>
      </c>
      <c r="C8" s="1239">
        <f>DR!E11</f>
        <v>0</v>
      </c>
      <c r="D8" s="1239">
        <f>DR!F11</f>
        <v>2780591.15</v>
      </c>
      <c r="E8" s="1249">
        <f>'DR Empresa'!C10</f>
        <v>2896684.4100589505</v>
      </c>
      <c r="F8" s="1249">
        <f>'DR Empresa'!D10</f>
        <v>3071933.8168675173</v>
      </c>
      <c r="G8" s="1249">
        <f>'DR Empresa'!E10</f>
        <v>3237035.5846810723</v>
      </c>
      <c r="H8" s="1249">
        <f>'DR Empresa'!F10</f>
        <v>3432876.2375542768</v>
      </c>
      <c r="I8" s="1249">
        <f>'DR Empresa'!G10</f>
        <v>3501877.0499291173</v>
      </c>
      <c r="J8" s="1249">
        <f>'DR Empresa'!H10</f>
        <v>3572264.7786326925</v>
      </c>
      <c r="K8" s="1249">
        <f>'DR Empresa'!I10</f>
        <v>3644067.3006832092</v>
      </c>
      <c r="L8" s="1249">
        <f>'DR Empresa'!J10</f>
        <v>3717313.0534269414</v>
      </c>
      <c r="N8" s="1600"/>
      <c r="O8" s="1623"/>
      <c r="P8" s="1600"/>
      <c r="Q8" s="1600"/>
      <c r="R8" s="1600"/>
      <c r="S8" s="1600"/>
    </row>
    <row r="9" spans="1:19" hidden="1" outlineLevel="1" x14ac:dyDescent="0.2">
      <c r="A9" s="1238" t="s">
        <v>472</v>
      </c>
      <c r="B9" s="1239">
        <f>DR!D12</f>
        <v>0</v>
      </c>
      <c r="C9" s="1239">
        <f>DR!E12</f>
        <v>0</v>
      </c>
      <c r="D9" s="1239">
        <f>DR!F12</f>
        <v>506782.86</v>
      </c>
      <c r="E9" s="1249">
        <f>'DR Empresa'!C11</f>
        <v>532475.93859999999</v>
      </c>
      <c r="F9" s="1249">
        <f>'DR Empresa'!D11</f>
        <v>546634.3506714839</v>
      </c>
      <c r="G9" s="1249">
        <f>'DR Empresa'!E11</f>
        <v>575056.15888710867</v>
      </c>
      <c r="H9" s="1249">
        <f>'DR Empresa'!F11</f>
        <v>594151.65649977862</v>
      </c>
      <c r="I9" s="1249">
        <f>'DR Empresa'!G11</f>
        <v>606094.10479542415</v>
      </c>
      <c r="J9" s="1249">
        <f>'DR Empresa'!H11</f>
        <v>618276.59630181221</v>
      </c>
      <c r="K9" s="1249">
        <f>'DR Empresa'!I11</f>
        <v>630703.95588747854</v>
      </c>
      <c r="L9" s="1249">
        <f>'DR Empresa'!J11</f>
        <v>643381.10540081689</v>
      </c>
      <c r="N9" s="1601"/>
      <c r="O9" s="1623"/>
      <c r="P9" s="1600"/>
      <c r="Q9" s="1600"/>
      <c r="R9" s="1600"/>
      <c r="S9" s="1600"/>
    </row>
    <row r="10" spans="1:19" hidden="1" outlineLevel="1" x14ac:dyDescent="0.2">
      <c r="A10" s="1238" t="s">
        <v>474</v>
      </c>
      <c r="B10" s="1239">
        <f>DR!D13</f>
        <v>0</v>
      </c>
      <c r="C10" s="1239">
        <f>DR!E13</f>
        <v>0</v>
      </c>
      <c r="D10" s="1239">
        <f>DR!F13</f>
        <v>169363.3</v>
      </c>
      <c r="E10" s="1249">
        <f>'DR Empresa'!C12</f>
        <v>218097.58957499999</v>
      </c>
      <c r="F10" s="1249">
        <f>'DR Empresa'!D12</f>
        <v>254274.54136649997</v>
      </c>
      <c r="G10" s="1249">
        <f>'DR Empresa'!E12</f>
        <v>269965.03219383</v>
      </c>
      <c r="H10" s="1249">
        <f>'DR Empresa'!F12</f>
        <v>275364.33283770655</v>
      </c>
      <c r="I10" s="1249">
        <f>'DR Empresa'!G12</f>
        <v>280871.6194944607</v>
      </c>
      <c r="J10" s="1249">
        <f>'DR Empresa'!H12</f>
        <v>286489.0518843499</v>
      </c>
      <c r="K10" s="1249">
        <f>'DR Empresa'!I12</f>
        <v>292218.83292203693</v>
      </c>
      <c r="L10" s="1249">
        <f>'DR Empresa'!J12</f>
        <v>298063.20958047768</v>
      </c>
      <c r="N10" s="1600"/>
      <c r="O10" s="1596"/>
      <c r="P10" s="1596"/>
      <c r="Q10" s="1596"/>
      <c r="R10" s="1600"/>
      <c r="S10" s="1600"/>
    </row>
    <row r="11" spans="1:19" hidden="1" outlineLevel="1" x14ac:dyDescent="0.2">
      <c r="A11" s="1238" t="s">
        <v>475</v>
      </c>
      <c r="B11" s="1239">
        <f>DR!D14</f>
        <v>0</v>
      </c>
      <c r="C11" s="1239">
        <f>DR!E14</f>
        <v>0</v>
      </c>
      <c r="D11" s="1239">
        <f>DR!F14</f>
        <v>0</v>
      </c>
      <c r="E11" s="1249">
        <f>'DR Empresa'!C13</f>
        <v>0</v>
      </c>
      <c r="F11" s="1249">
        <f>'DR Empresa'!D13</f>
        <v>0</v>
      </c>
      <c r="G11" s="1249">
        <f>'DR Empresa'!E13</f>
        <v>0</v>
      </c>
      <c r="H11" s="1249">
        <f>'DR Empresa'!F13</f>
        <v>0</v>
      </c>
      <c r="I11" s="1249">
        <f>'DR Empresa'!G13</f>
        <v>0</v>
      </c>
      <c r="J11" s="1249">
        <f>'DR Empresa'!H13</f>
        <v>0</v>
      </c>
      <c r="K11" s="1249">
        <f>'DR Empresa'!I13</f>
        <v>0</v>
      </c>
      <c r="L11" s="1249">
        <f>'DR Empresa'!J13</f>
        <v>0</v>
      </c>
      <c r="N11" s="1602"/>
      <c r="O11" s="1596"/>
      <c r="P11" s="1597"/>
      <c r="Q11" s="1597"/>
      <c r="R11" s="1600"/>
      <c r="S11" s="1600"/>
    </row>
    <row r="12" spans="1:19" hidden="1" outlineLevel="1" x14ac:dyDescent="0.2">
      <c r="A12" s="1238" t="s">
        <v>477</v>
      </c>
      <c r="B12" s="1239">
        <f>DR!D15</f>
        <v>0</v>
      </c>
      <c r="C12" s="1239">
        <f>DR!E15</f>
        <v>0</v>
      </c>
      <c r="D12" s="1239">
        <f>DR!F15</f>
        <v>40.26</v>
      </c>
      <c r="E12" s="1249">
        <f>'DR Empresa'!C14</f>
        <v>0</v>
      </c>
      <c r="F12" s="1249">
        <f>'DR Empresa'!D14</f>
        <v>0</v>
      </c>
      <c r="G12" s="1249">
        <f>'DR Empresa'!E14</f>
        <v>0</v>
      </c>
      <c r="H12" s="1249">
        <f>'DR Empresa'!F14</f>
        <v>0</v>
      </c>
      <c r="I12" s="1249">
        <f>'DR Empresa'!G14</f>
        <v>0</v>
      </c>
      <c r="J12" s="1249">
        <f>'DR Empresa'!H14</f>
        <v>0</v>
      </c>
      <c r="K12" s="1249">
        <f>'DR Empresa'!I14</f>
        <v>0</v>
      </c>
      <c r="L12" s="1249">
        <f>'DR Empresa'!J14</f>
        <v>0</v>
      </c>
      <c r="N12" s="1602"/>
      <c r="O12" s="1597"/>
      <c r="P12" s="1596"/>
      <c r="Q12" s="1596"/>
      <c r="R12" s="1600"/>
      <c r="S12" s="1600"/>
    </row>
    <row r="13" spans="1:19" hidden="1" outlineLevel="1" x14ac:dyDescent="0.2">
      <c r="A13" s="1238" t="s">
        <v>478</v>
      </c>
      <c r="B13" s="1239">
        <f>DR!D16</f>
        <v>0</v>
      </c>
      <c r="C13" s="1239">
        <f>DR!E16</f>
        <v>0</v>
      </c>
      <c r="D13" s="1239">
        <f>DR!F16</f>
        <v>0</v>
      </c>
      <c r="E13" s="1249">
        <f>'DR Empresa'!C15</f>
        <v>0</v>
      </c>
      <c r="F13" s="1249">
        <f>'DR Empresa'!D15</f>
        <v>0</v>
      </c>
      <c r="G13" s="1249">
        <f>'DR Empresa'!E15</f>
        <v>0</v>
      </c>
      <c r="H13" s="1249">
        <f>'DR Empresa'!F15</f>
        <v>0</v>
      </c>
      <c r="I13" s="1249">
        <f>'DR Empresa'!G15</f>
        <v>0</v>
      </c>
      <c r="J13" s="1249">
        <f>'DR Empresa'!H15</f>
        <v>0</v>
      </c>
      <c r="K13" s="1249">
        <f>'DR Empresa'!I15</f>
        <v>0</v>
      </c>
      <c r="L13" s="1249">
        <f>'DR Empresa'!J15</f>
        <v>0</v>
      </c>
      <c r="N13" s="1603"/>
      <c r="O13" s="1624"/>
      <c r="P13" s="1596"/>
      <c r="Q13" s="1596"/>
      <c r="R13" s="1600"/>
      <c r="S13" s="1600"/>
    </row>
    <row r="14" spans="1:19" hidden="1" outlineLevel="1" x14ac:dyDescent="0.2">
      <c r="A14" s="1238" t="s">
        <v>479</v>
      </c>
      <c r="B14" s="1239">
        <f>DR!D17</f>
        <v>0</v>
      </c>
      <c r="C14" s="1239">
        <f>DR!E17</f>
        <v>0</v>
      </c>
      <c r="D14" s="1239">
        <f>DR!F17</f>
        <v>0</v>
      </c>
      <c r="E14" s="1249">
        <f>'DR Empresa'!C16</f>
        <v>0</v>
      </c>
      <c r="F14" s="1249">
        <f>'DR Empresa'!D16</f>
        <v>0</v>
      </c>
      <c r="G14" s="1249">
        <f>'DR Empresa'!E16</f>
        <v>0</v>
      </c>
      <c r="H14" s="1249">
        <f>'DR Empresa'!F16</f>
        <v>0</v>
      </c>
      <c r="I14" s="1249">
        <f>'DR Empresa'!G16</f>
        <v>0</v>
      </c>
      <c r="J14" s="1249">
        <f>'DR Empresa'!H16</f>
        <v>0</v>
      </c>
      <c r="K14" s="1249">
        <f>'DR Empresa'!I16</f>
        <v>0</v>
      </c>
      <c r="L14" s="1249">
        <f>'DR Empresa'!J16</f>
        <v>0</v>
      </c>
      <c r="N14" s="1600"/>
      <c r="O14" s="1596"/>
      <c r="P14" s="1600"/>
      <c r="Q14" s="1600"/>
      <c r="R14" s="1600"/>
      <c r="S14" s="1600"/>
    </row>
    <row r="15" spans="1:19" hidden="1" outlineLevel="1" x14ac:dyDescent="0.2">
      <c r="A15" s="1238" t="s">
        <v>480</v>
      </c>
      <c r="B15" s="1239">
        <f>DR!D18</f>
        <v>0</v>
      </c>
      <c r="C15" s="1239">
        <f>DR!E18</f>
        <v>0</v>
      </c>
      <c r="D15" s="1239">
        <f>DR!F18</f>
        <v>0</v>
      </c>
      <c r="E15" s="1249">
        <f>'DR Empresa'!C17</f>
        <v>0</v>
      </c>
      <c r="F15" s="1249">
        <f>'DR Empresa'!D17</f>
        <v>0</v>
      </c>
      <c r="G15" s="1249">
        <f>'DR Empresa'!E17</f>
        <v>0</v>
      </c>
      <c r="H15" s="1249">
        <f>'DR Empresa'!F17</f>
        <v>0</v>
      </c>
      <c r="I15" s="1249">
        <f>'DR Empresa'!G17</f>
        <v>0</v>
      </c>
      <c r="J15" s="1249">
        <f>'DR Empresa'!H17</f>
        <v>0</v>
      </c>
      <c r="K15" s="1249">
        <f>'DR Empresa'!I17</f>
        <v>0</v>
      </c>
      <c r="L15" s="1249">
        <f>'DR Empresa'!J17</f>
        <v>0</v>
      </c>
      <c r="N15" s="1600"/>
      <c r="O15" s="1596"/>
      <c r="P15" s="1600"/>
      <c r="Q15" s="1600"/>
      <c r="R15" s="1600"/>
      <c r="S15" s="1600"/>
    </row>
    <row r="16" spans="1:19" hidden="1" outlineLevel="1" x14ac:dyDescent="0.2">
      <c r="A16" s="1238" t="s">
        <v>481</v>
      </c>
      <c r="B16" s="1239">
        <f>DR!D19</f>
        <v>0</v>
      </c>
      <c r="C16" s="1239">
        <f>DR!E19</f>
        <v>0</v>
      </c>
      <c r="D16" s="1239">
        <f>DR!F19</f>
        <v>0</v>
      </c>
      <c r="E16" s="1249">
        <f>'DR Empresa'!C18</f>
        <v>0</v>
      </c>
      <c r="F16" s="1249">
        <f>'DR Empresa'!D18</f>
        <v>0</v>
      </c>
      <c r="G16" s="1249">
        <f>'DR Empresa'!E18</f>
        <v>0</v>
      </c>
      <c r="H16" s="1249">
        <f>'DR Empresa'!F18</f>
        <v>0</v>
      </c>
      <c r="I16" s="1249">
        <f>'DR Empresa'!G18</f>
        <v>0</v>
      </c>
      <c r="J16" s="1249">
        <f>'DR Empresa'!H18</f>
        <v>0</v>
      </c>
      <c r="K16" s="1249">
        <f>'DR Empresa'!I18</f>
        <v>0</v>
      </c>
      <c r="L16" s="1249">
        <f>'DR Empresa'!J18</f>
        <v>0</v>
      </c>
      <c r="N16" s="1600"/>
      <c r="O16" s="1600"/>
      <c r="P16" s="1600"/>
      <c r="Q16" s="1600"/>
      <c r="R16" s="1600"/>
      <c r="S16" s="1600"/>
    </row>
    <row r="17" spans="1:19" hidden="1" outlineLevel="1" x14ac:dyDescent="0.2">
      <c r="A17" s="1241" t="s">
        <v>482</v>
      </c>
      <c r="B17" s="1242"/>
      <c r="C17" s="1242"/>
      <c r="D17" s="1242"/>
      <c r="E17" s="1250"/>
      <c r="F17" s="1242"/>
      <c r="G17" s="1242"/>
      <c r="H17" s="1242"/>
      <c r="I17" s="1242"/>
      <c r="J17" s="1242"/>
      <c r="K17" s="1242"/>
      <c r="L17" s="1242"/>
      <c r="N17" s="1625"/>
      <c r="O17" s="1625"/>
      <c r="P17" s="1625"/>
      <c r="Q17" s="1625"/>
      <c r="R17" s="1625"/>
      <c r="S17" s="1961"/>
    </row>
    <row r="18" spans="1:19" hidden="1" outlineLevel="1" x14ac:dyDescent="0.2">
      <c r="A18" s="1238" t="s">
        <v>483</v>
      </c>
      <c r="B18" s="1239"/>
      <c r="C18" s="1239"/>
      <c r="D18" s="1239"/>
      <c r="E18" s="1249"/>
      <c r="F18" s="1239"/>
      <c r="G18" s="1239"/>
      <c r="H18" s="1239"/>
      <c r="I18" s="1239"/>
      <c r="J18" s="1239"/>
      <c r="K18" s="1239"/>
      <c r="L18" s="1239"/>
      <c r="N18" s="1626"/>
      <c r="O18" s="1622"/>
      <c r="P18" s="1622"/>
      <c r="Q18" s="1622"/>
      <c r="R18" s="1622"/>
      <c r="S18" s="1961"/>
    </row>
    <row r="19" spans="1:19" hidden="1" outlineLevel="1" x14ac:dyDescent="0.2">
      <c r="A19" s="1238" t="s">
        <v>484</v>
      </c>
      <c r="B19" s="1239">
        <f>DR!D20</f>
        <v>0</v>
      </c>
      <c r="C19" s="1239">
        <f>DR!E20</f>
        <v>0</v>
      </c>
      <c r="D19" s="1239">
        <f>DR!F20</f>
        <v>73417.34</v>
      </c>
      <c r="E19" s="1249">
        <f>'DR Empresa'!C19</f>
        <v>0</v>
      </c>
      <c r="F19" s="1249">
        <f>'DR Empresa'!D19</f>
        <v>27195.75</v>
      </c>
      <c r="G19" s="1249">
        <f>'DR Empresa'!E19</f>
        <v>12616.875</v>
      </c>
      <c r="H19" s="1249">
        <f>'DR Empresa'!F19</f>
        <v>3262.5</v>
      </c>
      <c r="I19" s="1249">
        <f>'DR Empresa'!G19</f>
        <v>3262.5</v>
      </c>
      <c r="J19" s="1249">
        <f>'DR Empresa'!H19</f>
        <v>0</v>
      </c>
      <c r="K19" s="1249">
        <f>'DR Empresa'!I19</f>
        <v>0</v>
      </c>
      <c r="L19" s="1249">
        <f>'DR Empresa'!J19</f>
        <v>0</v>
      </c>
      <c r="N19" s="1600"/>
      <c r="O19" s="1596"/>
      <c r="P19" s="1596"/>
      <c r="Q19" s="1627"/>
      <c r="R19" s="1596"/>
      <c r="S19" s="1596"/>
    </row>
    <row r="20" spans="1:19" hidden="1" outlineLevel="1" x14ac:dyDescent="0.2">
      <c r="A20" s="1241" t="s">
        <v>485</v>
      </c>
      <c r="B20" s="1242"/>
      <c r="C20" s="1242"/>
      <c r="D20" s="1242"/>
      <c r="E20" s="1250"/>
      <c r="F20" s="1242"/>
      <c r="G20" s="1242"/>
      <c r="H20" s="1242"/>
      <c r="I20" s="1242"/>
      <c r="J20" s="1242"/>
      <c r="K20" s="1242"/>
      <c r="L20" s="1242"/>
      <c r="N20" s="1600"/>
      <c r="O20" s="1596"/>
      <c r="P20" s="1596"/>
      <c r="Q20" s="1627"/>
      <c r="R20" s="1596"/>
      <c r="S20" s="1596"/>
    </row>
    <row r="21" spans="1:19" hidden="1" outlineLevel="1" x14ac:dyDescent="0.2">
      <c r="A21" s="1238" t="s">
        <v>486</v>
      </c>
      <c r="B21" s="1239"/>
      <c r="C21" s="1239"/>
      <c r="D21" s="1239"/>
      <c r="E21" s="1249"/>
      <c r="F21" s="1239"/>
      <c r="G21" s="1239"/>
      <c r="H21" s="1239"/>
      <c r="I21" s="1239"/>
      <c r="J21" s="1239"/>
      <c r="K21" s="1239"/>
      <c r="L21" s="1239"/>
      <c r="N21" s="1600"/>
      <c r="O21" s="1596"/>
      <c r="P21" s="1596"/>
      <c r="Q21" s="1627"/>
      <c r="R21" s="1596"/>
      <c r="S21" s="1596"/>
    </row>
    <row r="22" spans="1:19" hidden="1" outlineLevel="1" x14ac:dyDescent="0.2">
      <c r="A22" s="1238" t="s">
        <v>484</v>
      </c>
      <c r="B22" s="1239">
        <f>DR!D21</f>
        <v>0</v>
      </c>
      <c r="C22" s="1239">
        <f>DR!E21</f>
        <v>0</v>
      </c>
      <c r="D22" s="1239">
        <f>DR!F21</f>
        <v>37622.480000000003</v>
      </c>
      <c r="E22" s="1249">
        <f>'DR Empresa'!C20</f>
        <v>0</v>
      </c>
      <c r="F22" s="1249">
        <f>'DR Empresa'!D20</f>
        <v>0</v>
      </c>
      <c r="G22" s="1249">
        <f>'DR Empresa'!E20</f>
        <v>0</v>
      </c>
      <c r="H22" s="1249">
        <f>'DR Empresa'!F20</f>
        <v>0</v>
      </c>
      <c r="I22" s="1249">
        <f>'DR Empresa'!G20</f>
        <v>0</v>
      </c>
      <c r="J22" s="1249">
        <f>'DR Empresa'!H20</f>
        <v>0</v>
      </c>
      <c r="K22" s="1249">
        <f>'DR Empresa'!I20</f>
        <v>0</v>
      </c>
      <c r="L22" s="1249">
        <f>'DR Empresa'!J20</f>
        <v>0</v>
      </c>
      <c r="N22" s="1600"/>
      <c r="O22" s="1596"/>
      <c r="P22" s="1596"/>
      <c r="Q22" s="1627"/>
      <c r="R22" s="1596"/>
      <c r="S22" s="1596"/>
    </row>
    <row r="23" spans="1:19" hidden="1" outlineLevel="1" x14ac:dyDescent="0.2">
      <c r="A23" s="1241" t="s">
        <v>487</v>
      </c>
      <c r="B23" s="1242"/>
      <c r="C23" s="1242"/>
      <c r="D23" s="1242"/>
      <c r="E23" s="1250"/>
      <c r="F23" s="1242"/>
      <c r="G23" s="1242"/>
      <c r="H23" s="1242"/>
      <c r="I23" s="1242"/>
      <c r="J23" s="1242"/>
      <c r="K23" s="1242"/>
      <c r="L23" s="1242"/>
      <c r="N23" s="1600"/>
      <c r="O23" s="1596"/>
      <c r="P23" s="1596"/>
      <c r="Q23" s="1627"/>
      <c r="R23" s="1596"/>
      <c r="S23" s="1596"/>
    </row>
    <row r="24" spans="1:19" hidden="1" outlineLevel="1" x14ac:dyDescent="0.2">
      <c r="A24" s="1238" t="s">
        <v>488</v>
      </c>
      <c r="B24" s="1239">
        <f>DR!D23</f>
        <v>0</v>
      </c>
      <c r="C24" s="1239">
        <f>DR!E23</f>
        <v>0</v>
      </c>
      <c r="D24" s="1239">
        <f>DR!F23</f>
        <v>15247.25</v>
      </c>
      <c r="E24" s="1249">
        <f>'DR Empresa'!C22</f>
        <v>8462.5240000000013</v>
      </c>
      <c r="F24" s="1249">
        <f>'DR Empresa'!D22</f>
        <v>18462.524000000001</v>
      </c>
      <c r="G24" s="1249">
        <f>'DR Empresa'!E22</f>
        <v>18462.523999999998</v>
      </c>
      <c r="H24" s="1249">
        <f>'DR Empresa'!F22</f>
        <v>18462.524000000005</v>
      </c>
      <c r="I24" s="1249">
        <f>'DR Empresa'!G22</f>
        <v>18462.524000000005</v>
      </c>
      <c r="J24" s="1249">
        <f>'DR Empresa'!H22</f>
        <v>8462.5240000000049</v>
      </c>
      <c r="K24" s="1249">
        <f>'DR Empresa'!I22</f>
        <v>8462.5240000000049</v>
      </c>
      <c r="L24" s="1249">
        <f>'DR Empresa'!J22</f>
        <v>8462.5240000000049</v>
      </c>
      <c r="N24" s="1600"/>
      <c r="O24" s="1596"/>
      <c r="P24" s="1596"/>
      <c r="Q24" s="1627"/>
      <c r="R24" s="1596"/>
      <c r="S24" s="1596"/>
    </row>
    <row r="25" spans="1:19" hidden="1" outlineLevel="1" x14ac:dyDescent="0.2">
      <c r="A25" s="1238" t="s">
        <v>489</v>
      </c>
      <c r="B25" s="1239">
        <f>DR!D24</f>
        <v>0</v>
      </c>
      <c r="C25" s="1239">
        <f>DR!E24</f>
        <v>0</v>
      </c>
      <c r="D25" s="1239">
        <f>DR!F24</f>
        <v>0</v>
      </c>
      <c r="E25" s="1249">
        <f>'DR Empresa'!C23</f>
        <v>0</v>
      </c>
      <c r="F25" s="1249">
        <f>'DR Empresa'!D23</f>
        <v>0</v>
      </c>
      <c r="G25" s="1249">
        <f>'DR Empresa'!E23</f>
        <v>0</v>
      </c>
      <c r="H25" s="1249">
        <f>'DR Empresa'!F23</f>
        <v>0</v>
      </c>
      <c r="I25" s="1249">
        <f>'DR Empresa'!G23</f>
        <v>0</v>
      </c>
      <c r="J25" s="1249">
        <f>'DR Empresa'!H23</f>
        <v>0</v>
      </c>
      <c r="K25" s="1249">
        <f>'DR Empresa'!I23</f>
        <v>0</v>
      </c>
      <c r="L25" s="1249">
        <f>'DR Empresa'!J23</f>
        <v>0</v>
      </c>
      <c r="N25" s="1600"/>
      <c r="O25" s="1596"/>
      <c r="P25" s="1596"/>
      <c r="Q25" s="1627"/>
      <c r="R25" s="1596"/>
      <c r="S25" s="1596"/>
    </row>
    <row r="26" spans="1:19" hidden="1" outlineLevel="1" x14ac:dyDescent="0.2">
      <c r="A26" s="1241" t="s">
        <v>490</v>
      </c>
      <c r="B26" s="1242"/>
      <c r="C26" s="1242"/>
      <c r="D26" s="1242"/>
      <c r="E26" s="1250"/>
      <c r="F26" s="1242"/>
      <c r="G26" s="1242"/>
      <c r="H26" s="1242"/>
      <c r="I26" s="1242"/>
      <c r="J26" s="1242"/>
      <c r="K26" s="1242"/>
      <c r="L26" s="1242"/>
      <c r="N26" s="1600"/>
      <c r="O26" s="1596"/>
      <c r="P26" s="1596"/>
      <c r="Q26" s="1627"/>
      <c r="R26" s="1596"/>
      <c r="S26" s="1596"/>
    </row>
    <row r="27" spans="1:19" hidden="1" outlineLevel="1" x14ac:dyDescent="0.2">
      <c r="A27" s="1238" t="s">
        <v>491</v>
      </c>
      <c r="B27" s="1239">
        <f>DR!D26</f>
        <v>0</v>
      </c>
      <c r="C27" s="1239">
        <f>DR!E26</f>
        <v>0</v>
      </c>
      <c r="D27" s="1239">
        <f>DR!F26</f>
        <v>0</v>
      </c>
      <c r="E27" s="1249">
        <f>'DR Empresa'!C25</f>
        <v>0</v>
      </c>
      <c r="F27" s="1249">
        <f>'DR Empresa'!D25</f>
        <v>0</v>
      </c>
      <c r="G27" s="1249">
        <f>'DR Empresa'!E25</f>
        <v>0</v>
      </c>
      <c r="H27" s="1249">
        <f>'DR Empresa'!F25</f>
        <v>0</v>
      </c>
      <c r="I27" s="1249">
        <f>'DR Empresa'!G25</f>
        <v>0</v>
      </c>
      <c r="J27" s="1249">
        <f>'DR Empresa'!H25</f>
        <v>0</v>
      </c>
      <c r="K27" s="1249">
        <f>'DR Empresa'!I25</f>
        <v>0</v>
      </c>
      <c r="L27" s="1249">
        <f>'DR Empresa'!J25</f>
        <v>0</v>
      </c>
      <c r="N27" s="1600"/>
      <c r="O27" s="1596"/>
      <c r="P27" s="1596"/>
      <c r="Q27" s="1627"/>
      <c r="R27" s="1596"/>
      <c r="S27" s="1596"/>
    </row>
    <row r="28" spans="1:19" hidden="1" outlineLevel="1" x14ac:dyDescent="0.2">
      <c r="A28" s="1238" t="s">
        <v>492</v>
      </c>
      <c r="B28" s="1239">
        <f>DR!D27</f>
        <v>0</v>
      </c>
      <c r="C28" s="1239">
        <f>DR!E27</f>
        <v>0</v>
      </c>
      <c r="D28" s="1239">
        <f>DR!F27</f>
        <v>1053</v>
      </c>
      <c r="E28" s="1249">
        <f>'DR Empresa'!C26</f>
        <v>11672.26302798936</v>
      </c>
      <c r="F28" s="1249">
        <f>'DR Empresa'!D26</f>
        <v>11657.009694958839</v>
      </c>
      <c r="G28" s="1249">
        <f>'DR Empresa'!E26</f>
        <v>11595.996362836757</v>
      </c>
      <c r="H28" s="1249">
        <f>'DR Empresa'!F26</f>
        <v>11534.983030714675</v>
      </c>
      <c r="I28" s="1249">
        <f>'DR Empresa'!G26</f>
        <v>11473.969698592593</v>
      </c>
      <c r="J28" s="1249">
        <f>'DR Empresa'!H26</f>
        <v>11428.209699501032</v>
      </c>
      <c r="K28" s="1249">
        <f>'DR Empresa'!I26</f>
        <v>11428.209699501032</v>
      </c>
      <c r="L28" s="1249">
        <f>'DR Empresa'!J26</f>
        <v>11428.209699501032</v>
      </c>
      <c r="N28" s="1600"/>
      <c r="O28" s="1596"/>
      <c r="P28" s="1596"/>
      <c r="Q28" s="1627"/>
      <c r="R28" s="1596"/>
      <c r="S28" s="1596"/>
    </row>
    <row r="29" spans="1:19" hidden="1" outlineLevel="1" x14ac:dyDescent="0.2">
      <c r="A29" s="1241" t="s">
        <v>493</v>
      </c>
      <c r="B29" s="1242"/>
      <c r="C29" s="1242"/>
      <c r="D29" s="1242"/>
      <c r="E29" s="1250"/>
      <c r="F29" s="1242"/>
      <c r="G29" s="1242"/>
      <c r="H29" s="1242"/>
      <c r="I29" s="1242"/>
      <c r="J29" s="1242"/>
      <c r="K29" s="1242"/>
      <c r="L29" s="1242"/>
      <c r="N29" s="1600"/>
      <c r="O29" s="1596"/>
      <c r="P29" s="1596"/>
      <c r="Q29" s="1627"/>
      <c r="R29" s="1596"/>
      <c r="S29" s="1596"/>
    </row>
    <row r="30" spans="1:19" hidden="1" outlineLevel="1" x14ac:dyDescent="0.2">
      <c r="A30" s="1238" t="s">
        <v>494</v>
      </c>
      <c r="B30" s="1239">
        <f>DR!D29</f>
        <v>0</v>
      </c>
      <c r="C30" s="1239">
        <f>DR!E29</f>
        <v>0</v>
      </c>
      <c r="D30" s="1239">
        <f>DR!F29</f>
        <v>10443.870000000001</v>
      </c>
      <c r="E30" s="1249">
        <f>'DR Empresa'!C28</f>
        <v>7184.8061343136133</v>
      </c>
      <c r="F30" s="1249">
        <f>'DR Empresa'!D28</f>
        <v>14350.048617369564</v>
      </c>
      <c r="G30" s="1249">
        <f>'DR Empresa'!E28</f>
        <v>12871.620058756949</v>
      </c>
      <c r="H30" s="1249">
        <f>'DR Empresa'!F28</f>
        <v>16199.133200407119</v>
      </c>
      <c r="I30" s="1249">
        <f>'DR Empresa'!G28</f>
        <v>16665.568544248094</v>
      </c>
      <c r="J30" s="1249">
        <f>'DR Empresa'!H28</f>
        <v>18653.732719723503</v>
      </c>
      <c r="K30" s="1249">
        <f>'DR Empresa'!I28</f>
        <v>19125.074594213354</v>
      </c>
      <c r="L30" s="1249">
        <f>'DR Empresa'!J28</f>
        <v>19606.019360453822</v>
      </c>
      <c r="N30" s="1600"/>
      <c r="O30" s="1596"/>
      <c r="P30" s="1596"/>
      <c r="Q30" s="1627"/>
      <c r="R30" s="1596"/>
      <c r="S30" s="1596"/>
    </row>
    <row r="31" spans="1:19" hidden="1" outlineLevel="1" x14ac:dyDescent="0.2">
      <c r="A31" s="1241" t="s">
        <v>495</v>
      </c>
      <c r="B31" s="1242"/>
      <c r="C31" s="1242"/>
      <c r="D31" s="1242"/>
      <c r="E31" s="1250"/>
      <c r="F31" s="1242"/>
      <c r="G31" s="1242"/>
      <c r="H31" s="1242"/>
      <c r="I31" s="1242"/>
      <c r="J31" s="1242"/>
      <c r="K31" s="1242"/>
      <c r="L31" s="1242"/>
      <c r="N31" s="1600"/>
      <c r="O31" s="1622"/>
      <c r="P31" s="1622"/>
      <c r="Q31" s="1628"/>
      <c r="R31" s="1622"/>
      <c r="S31" s="1600"/>
    </row>
    <row r="32" spans="1:19" ht="12.75" hidden="1" outlineLevel="1" thickBot="1" x14ac:dyDescent="0.25">
      <c r="A32" s="1245" t="s">
        <v>496</v>
      </c>
      <c r="B32" s="1246"/>
      <c r="C32" s="1246"/>
      <c r="D32" s="1246"/>
      <c r="E32" s="1251"/>
      <c r="F32" s="1246"/>
      <c r="G32" s="1246"/>
      <c r="H32" s="1246"/>
      <c r="I32" s="1246"/>
      <c r="J32" s="1246"/>
      <c r="K32" s="1247"/>
      <c r="L32" s="1247"/>
      <c r="N32" s="1600"/>
      <c r="O32" s="1600"/>
      <c r="P32" s="1600"/>
      <c r="Q32" s="1600"/>
      <c r="R32" s="1600"/>
      <c r="S32" s="1600"/>
    </row>
    <row r="33" spans="1:19" ht="12.75" hidden="1" outlineLevel="1" thickTop="1" x14ac:dyDescent="0.2">
      <c r="N33" s="1600"/>
      <c r="O33" s="1600"/>
      <c r="P33" s="1600"/>
      <c r="Q33" s="1600"/>
      <c r="R33" s="1600"/>
      <c r="S33" s="1600"/>
    </row>
    <row r="34" spans="1:19" hidden="1" outlineLevel="1" x14ac:dyDescent="0.2">
      <c r="A34" s="1382" t="s">
        <v>633</v>
      </c>
      <c r="B34" s="1384">
        <f t="shared" ref="B34:L34" si="2">B3+B4+B5+B6+B7-B8-B9-B10-B11-B12-B13-B14-B15+B16+B18+B19-B21-B22-B24-B25+B27-B28-B30</f>
        <v>0</v>
      </c>
      <c r="C34" s="1384">
        <f t="shared" si="2"/>
        <v>0</v>
      </c>
      <c r="D34" s="1384">
        <f t="shared" si="2"/>
        <v>31854.570000000022</v>
      </c>
      <c r="E34" s="1383">
        <f>E3+E4+E5+E6+E7-E8-E9-E10-E11-E12-E13-E14-E15+E16+E18+E19-E21-E22-E24-E25+E27-E28-E30</f>
        <v>24747.665573746894</v>
      </c>
      <c r="F34" s="1383">
        <f t="shared" si="2"/>
        <v>49427.945237606284</v>
      </c>
      <c r="G34" s="1383">
        <f t="shared" si="2"/>
        <v>44335.580202385056</v>
      </c>
      <c r="H34" s="1383">
        <f t="shared" si="2"/>
        <v>55797.014356957865</v>
      </c>
      <c r="I34" s="1383">
        <f t="shared" si="2"/>
        <v>57403.624985743445</v>
      </c>
      <c r="J34" s="1383">
        <f t="shared" si="2"/>
        <v>64251.746034603188</v>
      </c>
      <c r="K34" s="1383">
        <f t="shared" si="2"/>
        <v>65875.256935623795</v>
      </c>
      <c r="L34" s="1383">
        <f t="shared" si="2"/>
        <v>67531.844463785397</v>
      </c>
      <c r="N34" s="1600"/>
      <c r="O34" s="1600"/>
      <c r="P34" s="1600"/>
      <c r="Q34" s="1600"/>
      <c r="R34" s="1600"/>
      <c r="S34" s="1600"/>
    </row>
    <row r="35" spans="1:19" hidden="1" outlineLevel="1" x14ac:dyDescent="0.2">
      <c r="A35" s="1382" t="s">
        <v>634</v>
      </c>
      <c r="B35" s="1384">
        <f>DR!D30</f>
        <v>0</v>
      </c>
      <c r="C35" s="1384">
        <f>DR!E30</f>
        <v>0</v>
      </c>
      <c r="D35" s="1384">
        <f>DR!F30</f>
        <v>31854.570000000022</v>
      </c>
      <c r="E35" s="1383">
        <f>'DR Empresa'!C29</f>
        <v>24747.665573746894</v>
      </c>
      <c r="F35" s="1383">
        <f>'DR Empresa'!D29</f>
        <v>49427.945237606284</v>
      </c>
      <c r="G35" s="1383">
        <f>'DR Empresa'!E29</f>
        <v>44335.580202385056</v>
      </c>
      <c r="H35" s="1383">
        <f>'DR Empresa'!F29</f>
        <v>55797.014356957865</v>
      </c>
      <c r="I35" s="1383">
        <f>'DR Empresa'!G29</f>
        <v>57403.624985743445</v>
      </c>
      <c r="J35" s="1383">
        <f>'DR Empresa'!H29</f>
        <v>64251.746034603188</v>
      </c>
      <c r="K35" s="1383">
        <f>'DR Empresa'!I29</f>
        <v>65875.256935623795</v>
      </c>
      <c r="L35" s="1383">
        <f>'DR Empresa'!J29</f>
        <v>67531.844463785397</v>
      </c>
      <c r="N35" s="1600"/>
      <c r="O35" s="1600"/>
      <c r="P35" s="1600"/>
      <c r="Q35" s="1600"/>
      <c r="R35" s="1600"/>
      <c r="S35" s="1600"/>
    </row>
    <row r="36" spans="1:19" hidden="1" outlineLevel="1" x14ac:dyDescent="0.2">
      <c r="A36" s="1382" t="s">
        <v>68</v>
      </c>
      <c r="B36" s="1381">
        <f t="shared" ref="B36:D36" si="3">B34-B35</f>
        <v>0</v>
      </c>
      <c r="C36" s="1381">
        <f t="shared" si="3"/>
        <v>0</v>
      </c>
      <c r="D36" s="1381">
        <f t="shared" si="3"/>
        <v>0</v>
      </c>
      <c r="E36" s="1381">
        <f>E34-E35</f>
        <v>0</v>
      </c>
      <c r="F36" s="1381">
        <f t="shared" ref="F36:L36" si="4">F34-F35</f>
        <v>0</v>
      </c>
      <c r="G36" s="1381">
        <f t="shared" si="4"/>
        <v>0</v>
      </c>
      <c r="H36" s="1381">
        <f t="shared" si="4"/>
        <v>0</v>
      </c>
      <c r="I36" s="1381">
        <f t="shared" si="4"/>
        <v>0</v>
      </c>
      <c r="J36" s="1381">
        <f t="shared" si="4"/>
        <v>0</v>
      </c>
      <c r="K36" s="1381">
        <f t="shared" si="4"/>
        <v>0</v>
      </c>
      <c r="L36" s="1381">
        <f t="shared" si="4"/>
        <v>0</v>
      </c>
      <c r="N36" s="1600"/>
      <c r="O36" s="1600"/>
      <c r="P36" s="1600"/>
      <c r="Q36" s="1600"/>
      <c r="R36" s="1600"/>
      <c r="S36" s="1600"/>
    </row>
    <row r="37" spans="1:19" collapsed="1" x14ac:dyDescent="0.2">
      <c r="N37" s="1600"/>
      <c r="O37" s="1600"/>
      <c r="P37" s="1600"/>
      <c r="Q37" s="1600"/>
      <c r="R37" s="1600"/>
      <c r="S37" s="1600"/>
    </row>
    <row r="38" spans="1:19" x14ac:dyDescent="0.2">
      <c r="N38" s="1600"/>
      <c r="O38" s="1600"/>
      <c r="P38" s="1600"/>
      <c r="Q38" s="1600"/>
      <c r="R38" s="1600"/>
      <c r="S38" s="1600"/>
    </row>
    <row r="39" spans="1:19" ht="12.75" x14ac:dyDescent="0.2">
      <c r="A39" s="1962" t="s">
        <v>1182</v>
      </c>
      <c r="B39" s="1962"/>
      <c r="C39" s="1962"/>
      <c r="D39" s="1962"/>
      <c r="E39" s="1962"/>
      <c r="F39" s="1962"/>
      <c r="G39" s="1962"/>
      <c r="H39" s="1962"/>
      <c r="I39" s="1962"/>
      <c r="J39" s="1962"/>
      <c r="K39" s="1962"/>
      <c r="L39" s="1962"/>
      <c r="N39" s="1600"/>
      <c r="O39" s="1600"/>
      <c r="P39" s="1600"/>
      <c r="Q39" s="1600"/>
      <c r="R39" s="1600"/>
      <c r="S39" s="1600"/>
    </row>
    <row r="40" spans="1:19" ht="12.75" hidden="1" outlineLevel="1" thickBot="1" x14ac:dyDescent="0.25">
      <c r="B40" s="1235">
        <f>B2</f>
        <v>2017</v>
      </c>
      <c r="C40" s="1235">
        <f t="shared" ref="C40:L40" si="5">C2</f>
        <v>2018</v>
      </c>
      <c r="D40" s="1235">
        <f t="shared" si="5"/>
        <v>2019</v>
      </c>
      <c r="E40" s="1235">
        <f t="shared" si="5"/>
        <v>2020</v>
      </c>
      <c r="F40" s="1235">
        <f t="shared" si="5"/>
        <v>2021</v>
      </c>
      <c r="G40" s="1235">
        <f t="shared" si="5"/>
        <v>2022</v>
      </c>
      <c r="H40" s="1235">
        <f t="shared" si="5"/>
        <v>2023</v>
      </c>
      <c r="I40" s="1235">
        <f t="shared" si="5"/>
        <v>2024</v>
      </c>
      <c r="J40" s="1235">
        <f t="shared" si="5"/>
        <v>2025</v>
      </c>
      <c r="K40" s="1235">
        <f t="shared" si="5"/>
        <v>2026</v>
      </c>
      <c r="L40" s="1235">
        <f t="shared" si="5"/>
        <v>2027</v>
      </c>
      <c r="N40" s="1600"/>
      <c r="O40" s="1600"/>
      <c r="P40" s="1600"/>
      <c r="Q40" s="1600"/>
      <c r="R40" s="1600"/>
      <c r="S40" s="1600"/>
    </row>
    <row r="41" spans="1:19" ht="12.75" hidden="1" outlineLevel="1" thickTop="1" x14ac:dyDescent="0.2">
      <c r="A41" s="1236" t="s">
        <v>466</v>
      </c>
      <c r="B41" s="1237">
        <f t="shared" ref="B41:B54" si="6">ROUND(B3,2)</f>
        <v>0</v>
      </c>
      <c r="C41" s="1237">
        <f t="shared" ref="C41:L41" si="7">ROUND(C3,2)</f>
        <v>0</v>
      </c>
      <c r="D41" s="1237">
        <f t="shared" si="7"/>
        <v>3479532.14</v>
      </c>
      <c r="E41" s="1237">
        <f t="shared" si="7"/>
        <v>3690043.83</v>
      </c>
      <c r="F41" s="1237">
        <f t="shared" si="7"/>
        <v>3913291.49</v>
      </c>
      <c r="G41" s="1237">
        <f t="shared" si="7"/>
        <v>4150045.62</v>
      </c>
      <c r="H41" s="1237">
        <f t="shared" si="7"/>
        <v>4401123.38</v>
      </c>
      <c r="I41" s="1237">
        <f t="shared" si="7"/>
        <v>4489585.96</v>
      </c>
      <c r="J41" s="1237">
        <f t="shared" si="7"/>
        <v>4579826.6399999997</v>
      </c>
      <c r="K41" s="1237">
        <f t="shared" si="7"/>
        <v>4671881.1500000004</v>
      </c>
      <c r="L41" s="1237">
        <f t="shared" si="7"/>
        <v>4765785.97</v>
      </c>
      <c r="N41" s="1600"/>
      <c r="O41" s="1600"/>
      <c r="P41" s="1600"/>
      <c r="Q41" s="1600"/>
      <c r="R41" s="1625"/>
      <c r="S41" s="1600"/>
    </row>
    <row r="42" spans="1:19" hidden="1" outlineLevel="1" x14ac:dyDescent="0.2">
      <c r="A42" s="1238" t="s">
        <v>467</v>
      </c>
      <c r="B42" s="1239">
        <f t="shared" si="6"/>
        <v>0</v>
      </c>
      <c r="C42" s="1239">
        <f t="shared" ref="C42:L42" si="8">ROUND(C4,2)</f>
        <v>0</v>
      </c>
      <c r="D42" s="1239">
        <f t="shared" si="8"/>
        <v>49.26</v>
      </c>
      <c r="E42" s="1239">
        <f t="shared" si="8"/>
        <v>9281.36</v>
      </c>
      <c r="F42" s="1239">
        <f t="shared" si="8"/>
        <v>26253</v>
      </c>
      <c r="G42" s="1239">
        <f t="shared" si="8"/>
        <v>6660</v>
      </c>
      <c r="H42" s="1239">
        <f t="shared" si="8"/>
        <v>0</v>
      </c>
      <c r="I42" s="1239">
        <f t="shared" si="8"/>
        <v>0</v>
      </c>
      <c r="J42" s="1239">
        <f t="shared" si="8"/>
        <v>0</v>
      </c>
      <c r="K42" s="1239">
        <f t="shared" si="8"/>
        <v>0</v>
      </c>
      <c r="L42" s="1239">
        <f t="shared" si="8"/>
        <v>0</v>
      </c>
      <c r="N42" s="1600"/>
      <c r="O42" s="1600"/>
      <c r="P42" s="1600"/>
      <c r="Q42" s="1600"/>
      <c r="R42" s="1600"/>
      <c r="S42" s="1600"/>
    </row>
    <row r="43" spans="1:19" hidden="1" outlineLevel="1" x14ac:dyDescent="0.2">
      <c r="A43" s="1238" t="s">
        <v>468</v>
      </c>
      <c r="B43" s="1239">
        <f t="shared" si="6"/>
        <v>0</v>
      </c>
      <c r="C43" s="1239">
        <f t="shared" ref="C43:L43" si="9">ROUND(C5,2)</f>
        <v>0</v>
      </c>
      <c r="D43" s="1239">
        <f t="shared" si="9"/>
        <v>0</v>
      </c>
      <c r="E43" s="1239">
        <f t="shared" si="9"/>
        <v>0</v>
      </c>
      <c r="F43" s="1239">
        <f t="shared" si="9"/>
        <v>0</v>
      </c>
      <c r="G43" s="1239">
        <f t="shared" si="9"/>
        <v>0</v>
      </c>
      <c r="H43" s="1239">
        <f t="shared" si="9"/>
        <v>0</v>
      </c>
      <c r="I43" s="1239">
        <f t="shared" si="9"/>
        <v>0</v>
      </c>
      <c r="J43" s="1239">
        <f t="shared" si="9"/>
        <v>0</v>
      </c>
      <c r="K43" s="1239">
        <f t="shared" si="9"/>
        <v>0</v>
      </c>
      <c r="L43" s="1239">
        <f t="shared" si="9"/>
        <v>0</v>
      </c>
      <c r="N43" s="1600"/>
      <c r="O43" s="1629"/>
      <c r="P43" s="1629"/>
      <c r="Q43" s="1629"/>
      <c r="R43" s="1600"/>
      <c r="S43" s="1600"/>
    </row>
    <row r="44" spans="1:19" hidden="1" outlineLevel="1" x14ac:dyDescent="0.2">
      <c r="A44" s="1238" t="s">
        <v>469</v>
      </c>
      <c r="B44" s="1239">
        <f t="shared" si="6"/>
        <v>0</v>
      </c>
      <c r="C44" s="1239">
        <f t="shared" ref="C44:L44" si="10">ROUND(C6,2)</f>
        <v>0</v>
      </c>
      <c r="D44" s="1239">
        <f t="shared" si="10"/>
        <v>0</v>
      </c>
      <c r="E44" s="1239">
        <f t="shared" si="10"/>
        <v>0</v>
      </c>
      <c r="F44" s="1239">
        <f t="shared" si="10"/>
        <v>0</v>
      </c>
      <c r="G44" s="1239">
        <f t="shared" si="10"/>
        <v>0</v>
      </c>
      <c r="H44" s="1239">
        <f t="shared" si="10"/>
        <v>0</v>
      </c>
      <c r="I44" s="1239">
        <f t="shared" si="10"/>
        <v>0</v>
      </c>
      <c r="J44" s="1239">
        <f t="shared" si="10"/>
        <v>0</v>
      </c>
      <c r="K44" s="1239">
        <f t="shared" si="10"/>
        <v>0</v>
      </c>
      <c r="L44" s="1239">
        <f t="shared" si="10"/>
        <v>0</v>
      </c>
      <c r="N44" s="1600"/>
      <c r="O44" s="1629"/>
      <c r="P44" s="1629"/>
      <c r="Q44" s="1629"/>
      <c r="R44" s="1600"/>
      <c r="S44" s="1600"/>
    </row>
    <row r="45" spans="1:19" hidden="1" outlineLevel="1" x14ac:dyDescent="0.2">
      <c r="A45" s="1238" t="s">
        <v>470</v>
      </c>
      <c r="B45" s="1239">
        <f t="shared" si="6"/>
        <v>0</v>
      </c>
      <c r="C45" s="1239">
        <f t="shared" ref="C45:L45" si="11">ROUND(C7,2)</f>
        <v>0</v>
      </c>
      <c r="D45" s="1239">
        <f t="shared" si="11"/>
        <v>0</v>
      </c>
      <c r="E45" s="1239">
        <f t="shared" si="11"/>
        <v>0</v>
      </c>
      <c r="F45" s="1239">
        <f t="shared" si="11"/>
        <v>0</v>
      </c>
      <c r="G45" s="1239">
        <f t="shared" si="11"/>
        <v>0</v>
      </c>
      <c r="H45" s="1239">
        <f t="shared" si="11"/>
        <v>0</v>
      </c>
      <c r="I45" s="1239">
        <f t="shared" si="11"/>
        <v>0</v>
      </c>
      <c r="J45" s="1239">
        <f t="shared" si="11"/>
        <v>0</v>
      </c>
      <c r="K45" s="1239">
        <f t="shared" si="11"/>
        <v>0</v>
      </c>
      <c r="L45" s="1239">
        <f t="shared" si="11"/>
        <v>0</v>
      </c>
      <c r="N45" s="1600"/>
      <c r="O45" s="1629"/>
      <c r="P45" s="1629"/>
      <c r="Q45" s="1629"/>
      <c r="R45" s="1600"/>
      <c r="S45" s="1600"/>
    </row>
    <row r="46" spans="1:19" hidden="1" outlineLevel="1" x14ac:dyDescent="0.2">
      <c r="A46" s="1238" t="s">
        <v>471</v>
      </c>
      <c r="B46" s="1239">
        <f t="shared" si="6"/>
        <v>0</v>
      </c>
      <c r="C46" s="1239">
        <f t="shared" ref="C46:L46" si="12">ROUND(C8,2)</f>
        <v>0</v>
      </c>
      <c r="D46" s="1239">
        <f t="shared" si="12"/>
        <v>2780591.15</v>
      </c>
      <c r="E46" s="1239">
        <f t="shared" si="12"/>
        <v>2896684.41</v>
      </c>
      <c r="F46" s="1239">
        <f t="shared" si="12"/>
        <v>3071933.82</v>
      </c>
      <c r="G46" s="1239">
        <f t="shared" si="12"/>
        <v>3237035.58</v>
      </c>
      <c r="H46" s="1239">
        <f t="shared" si="12"/>
        <v>3432876.24</v>
      </c>
      <c r="I46" s="1239">
        <f t="shared" si="12"/>
        <v>3501877.05</v>
      </c>
      <c r="J46" s="1239">
        <f t="shared" si="12"/>
        <v>3572264.78</v>
      </c>
      <c r="K46" s="1239">
        <f t="shared" si="12"/>
        <v>3644067.3</v>
      </c>
      <c r="L46" s="1239">
        <f t="shared" si="12"/>
        <v>3717313.05</v>
      </c>
      <c r="N46" s="1600"/>
      <c r="O46" s="1629"/>
      <c r="P46" s="1629"/>
      <c r="Q46" s="1629"/>
      <c r="R46" s="1600"/>
      <c r="S46" s="1600"/>
    </row>
    <row r="47" spans="1:19" hidden="1" outlineLevel="1" x14ac:dyDescent="0.2">
      <c r="A47" s="1238" t="s">
        <v>472</v>
      </c>
      <c r="B47" s="1239">
        <f t="shared" si="6"/>
        <v>0</v>
      </c>
      <c r="C47" s="1239">
        <f t="shared" ref="C47:L47" si="13">ROUND(C9,2)</f>
        <v>0</v>
      </c>
      <c r="D47" s="1239">
        <f t="shared" si="13"/>
        <v>506782.86</v>
      </c>
      <c r="E47" s="1239">
        <f t="shared" si="13"/>
        <v>532475.93999999994</v>
      </c>
      <c r="F47" s="1239">
        <f t="shared" si="13"/>
        <v>546634.35</v>
      </c>
      <c r="G47" s="1239">
        <f t="shared" si="13"/>
        <v>575056.16</v>
      </c>
      <c r="H47" s="1239">
        <f t="shared" si="13"/>
        <v>594151.66</v>
      </c>
      <c r="I47" s="1239">
        <f t="shared" si="13"/>
        <v>606094.1</v>
      </c>
      <c r="J47" s="1239">
        <f t="shared" si="13"/>
        <v>618276.6</v>
      </c>
      <c r="K47" s="1239">
        <f t="shared" si="13"/>
        <v>630703.96</v>
      </c>
      <c r="L47" s="1239">
        <f t="shared" si="13"/>
        <v>643381.11</v>
      </c>
      <c r="N47" s="1600"/>
      <c r="O47" s="1600"/>
      <c r="P47" s="1600"/>
      <c r="Q47" s="1600"/>
      <c r="R47" s="1600"/>
      <c r="S47" s="1600"/>
    </row>
    <row r="48" spans="1:19" hidden="1" outlineLevel="1" x14ac:dyDescent="0.2">
      <c r="A48" s="1238" t="s">
        <v>474</v>
      </c>
      <c r="B48" s="1239">
        <f t="shared" si="6"/>
        <v>0</v>
      </c>
      <c r="C48" s="1239">
        <f t="shared" ref="C48:L48" si="14">ROUND(C10,2)</f>
        <v>0</v>
      </c>
      <c r="D48" s="1239">
        <f t="shared" si="14"/>
        <v>169363.3</v>
      </c>
      <c r="E48" s="1239">
        <f t="shared" si="14"/>
        <v>218097.59</v>
      </c>
      <c r="F48" s="1239">
        <f t="shared" si="14"/>
        <v>254274.54</v>
      </c>
      <c r="G48" s="1239">
        <f t="shared" si="14"/>
        <v>269965.03000000003</v>
      </c>
      <c r="H48" s="1239">
        <f t="shared" si="14"/>
        <v>275364.33</v>
      </c>
      <c r="I48" s="1239">
        <f t="shared" si="14"/>
        <v>280871.62</v>
      </c>
      <c r="J48" s="1239">
        <f t="shared" si="14"/>
        <v>286489.05</v>
      </c>
      <c r="K48" s="1239">
        <f t="shared" si="14"/>
        <v>292218.83</v>
      </c>
      <c r="L48" s="1239">
        <f t="shared" si="14"/>
        <v>298063.21000000002</v>
      </c>
      <c r="N48" s="1600"/>
      <c r="O48" s="1600"/>
      <c r="P48" s="1600"/>
      <c r="Q48" s="1600"/>
      <c r="R48" s="1600"/>
      <c r="S48" s="1600"/>
    </row>
    <row r="49" spans="1:19" hidden="1" outlineLevel="1" x14ac:dyDescent="0.2">
      <c r="A49" s="1238" t="s">
        <v>475</v>
      </c>
      <c r="B49" s="1239">
        <f t="shared" si="6"/>
        <v>0</v>
      </c>
      <c r="C49" s="1239">
        <f t="shared" ref="C49:L49" si="15">ROUND(C11,2)</f>
        <v>0</v>
      </c>
      <c r="D49" s="1239">
        <f t="shared" si="15"/>
        <v>0</v>
      </c>
      <c r="E49" s="1239">
        <f t="shared" si="15"/>
        <v>0</v>
      </c>
      <c r="F49" s="1239">
        <f t="shared" si="15"/>
        <v>0</v>
      </c>
      <c r="G49" s="1239">
        <f t="shared" si="15"/>
        <v>0</v>
      </c>
      <c r="H49" s="1239">
        <f t="shared" si="15"/>
        <v>0</v>
      </c>
      <c r="I49" s="1239">
        <f t="shared" si="15"/>
        <v>0</v>
      </c>
      <c r="J49" s="1239">
        <f t="shared" si="15"/>
        <v>0</v>
      </c>
      <c r="K49" s="1239">
        <f t="shared" si="15"/>
        <v>0</v>
      </c>
      <c r="L49" s="1239">
        <f t="shared" si="15"/>
        <v>0</v>
      </c>
      <c r="N49" s="1600"/>
      <c r="O49" s="1600"/>
      <c r="P49" s="1600"/>
      <c r="Q49" s="1600"/>
      <c r="R49" s="1600"/>
      <c r="S49" s="1600"/>
    </row>
    <row r="50" spans="1:19" hidden="1" outlineLevel="1" x14ac:dyDescent="0.2">
      <c r="A50" s="1238" t="s">
        <v>477</v>
      </c>
      <c r="B50" s="1239">
        <f t="shared" si="6"/>
        <v>0</v>
      </c>
      <c r="C50" s="1239">
        <f t="shared" ref="C50:L50" si="16">ROUND(C12,2)</f>
        <v>0</v>
      </c>
      <c r="D50" s="1239">
        <f t="shared" si="16"/>
        <v>40.26</v>
      </c>
      <c r="E50" s="1239">
        <f t="shared" si="16"/>
        <v>0</v>
      </c>
      <c r="F50" s="1239">
        <f t="shared" si="16"/>
        <v>0</v>
      </c>
      <c r="G50" s="1239">
        <f t="shared" si="16"/>
        <v>0</v>
      </c>
      <c r="H50" s="1239">
        <f t="shared" si="16"/>
        <v>0</v>
      </c>
      <c r="I50" s="1239">
        <f t="shared" si="16"/>
        <v>0</v>
      </c>
      <c r="J50" s="1239">
        <f t="shared" si="16"/>
        <v>0</v>
      </c>
      <c r="K50" s="1239">
        <f t="shared" si="16"/>
        <v>0</v>
      </c>
      <c r="L50" s="1239">
        <f t="shared" si="16"/>
        <v>0</v>
      </c>
      <c r="N50" s="1600"/>
      <c r="O50" s="1600"/>
      <c r="P50" s="1600"/>
      <c r="Q50" s="1600"/>
      <c r="R50" s="1600"/>
      <c r="S50" s="1600"/>
    </row>
    <row r="51" spans="1:19" hidden="1" outlineLevel="1" x14ac:dyDescent="0.2">
      <c r="A51" s="1238" t="s">
        <v>478</v>
      </c>
      <c r="B51" s="1239">
        <f t="shared" si="6"/>
        <v>0</v>
      </c>
      <c r="C51" s="1239">
        <f t="shared" ref="C51:L51" si="17">ROUND(C13,2)</f>
        <v>0</v>
      </c>
      <c r="D51" s="1239">
        <f t="shared" si="17"/>
        <v>0</v>
      </c>
      <c r="E51" s="1239">
        <f t="shared" si="17"/>
        <v>0</v>
      </c>
      <c r="F51" s="1239">
        <f t="shared" si="17"/>
        <v>0</v>
      </c>
      <c r="G51" s="1239">
        <f t="shared" si="17"/>
        <v>0</v>
      </c>
      <c r="H51" s="1239">
        <f t="shared" si="17"/>
        <v>0</v>
      </c>
      <c r="I51" s="1239">
        <f t="shared" si="17"/>
        <v>0</v>
      </c>
      <c r="J51" s="1239">
        <f t="shared" si="17"/>
        <v>0</v>
      </c>
      <c r="K51" s="1239">
        <f t="shared" si="17"/>
        <v>0</v>
      </c>
      <c r="L51" s="1239">
        <f t="shared" si="17"/>
        <v>0</v>
      </c>
      <c r="N51" s="1600"/>
      <c r="O51" s="1600"/>
      <c r="P51" s="1600"/>
      <c r="Q51" s="1600"/>
      <c r="R51" s="1600"/>
      <c r="S51" s="1600"/>
    </row>
    <row r="52" spans="1:19" hidden="1" outlineLevel="1" x14ac:dyDescent="0.2">
      <c r="A52" s="1238" t="s">
        <v>479</v>
      </c>
      <c r="B52" s="1239">
        <f t="shared" si="6"/>
        <v>0</v>
      </c>
      <c r="C52" s="1239">
        <f t="shared" ref="C52:L52" si="18">ROUND(C14,2)</f>
        <v>0</v>
      </c>
      <c r="D52" s="1239">
        <f t="shared" si="18"/>
        <v>0</v>
      </c>
      <c r="E52" s="1239">
        <f t="shared" si="18"/>
        <v>0</v>
      </c>
      <c r="F52" s="1239">
        <f t="shared" si="18"/>
        <v>0</v>
      </c>
      <c r="G52" s="1239">
        <f t="shared" si="18"/>
        <v>0</v>
      </c>
      <c r="H52" s="1239">
        <f t="shared" si="18"/>
        <v>0</v>
      </c>
      <c r="I52" s="1239">
        <f t="shared" si="18"/>
        <v>0</v>
      </c>
      <c r="J52" s="1239">
        <f t="shared" si="18"/>
        <v>0</v>
      </c>
      <c r="K52" s="1239">
        <f t="shared" si="18"/>
        <v>0</v>
      </c>
      <c r="L52" s="1239">
        <f t="shared" si="18"/>
        <v>0</v>
      </c>
      <c r="N52" s="1600"/>
      <c r="O52" s="1600"/>
      <c r="P52" s="1600"/>
      <c r="Q52" s="1600"/>
      <c r="R52" s="1600"/>
      <c r="S52" s="1600"/>
    </row>
    <row r="53" spans="1:19" hidden="1" outlineLevel="1" x14ac:dyDescent="0.2">
      <c r="A53" s="1238" t="s">
        <v>480</v>
      </c>
      <c r="B53" s="1239">
        <f t="shared" si="6"/>
        <v>0</v>
      </c>
      <c r="C53" s="1239">
        <f t="shared" ref="C53:L53" si="19">ROUND(C15,2)</f>
        <v>0</v>
      </c>
      <c r="D53" s="1239">
        <f t="shared" si="19"/>
        <v>0</v>
      </c>
      <c r="E53" s="1239">
        <f t="shared" si="19"/>
        <v>0</v>
      </c>
      <c r="F53" s="1239">
        <f t="shared" si="19"/>
        <v>0</v>
      </c>
      <c r="G53" s="1239">
        <f t="shared" si="19"/>
        <v>0</v>
      </c>
      <c r="H53" s="1239">
        <f t="shared" si="19"/>
        <v>0</v>
      </c>
      <c r="I53" s="1239">
        <f t="shared" si="19"/>
        <v>0</v>
      </c>
      <c r="J53" s="1239">
        <f t="shared" si="19"/>
        <v>0</v>
      </c>
      <c r="K53" s="1239">
        <f t="shared" si="19"/>
        <v>0</v>
      </c>
      <c r="L53" s="1239">
        <f t="shared" si="19"/>
        <v>0</v>
      </c>
      <c r="N53" s="1600"/>
      <c r="O53" s="1600"/>
      <c r="P53" s="1600"/>
      <c r="Q53" s="1600"/>
      <c r="R53" s="1600"/>
      <c r="S53" s="1600"/>
    </row>
    <row r="54" spans="1:19" hidden="1" outlineLevel="1" x14ac:dyDescent="0.2">
      <c r="A54" s="1238" t="s">
        <v>481</v>
      </c>
      <c r="B54" s="1239">
        <f t="shared" si="6"/>
        <v>0</v>
      </c>
      <c r="C54" s="1239">
        <f t="shared" ref="C54:L54" si="20">ROUND(C16,2)</f>
        <v>0</v>
      </c>
      <c r="D54" s="1239">
        <f t="shared" si="20"/>
        <v>0</v>
      </c>
      <c r="E54" s="1239">
        <f t="shared" si="20"/>
        <v>0</v>
      </c>
      <c r="F54" s="1239">
        <f t="shared" si="20"/>
        <v>0</v>
      </c>
      <c r="G54" s="1239">
        <f t="shared" si="20"/>
        <v>0</v>
      </c>
      <c r="H54" s="1239">
        <f t="shared" si="20"/>
        <v>0</v>
      </c>
      <c r="I54" s="1239">
        <f t="shared" si="20"/>
        <v>0</v>
      </c>
      <c r="J54" s="1239">
        <f t="shared" si="20"/>
        <v>0</v>
      </c>
      <c r="K54" s="1239">
        <f t="shared" si="20"/>
        <v>0</v>
      </c>
      <c r="L54" s="1239">
        <f t="shared" si="20"/>
        <v>0</v>
      </c>
      <c r="N54" s="1600"/>
      <c r="O54" s="1629"/>
      <c r="P54" s="1629"/>
      <c r="Q54" s="1629"/>
      <c r="R54" s="1600"/>
      <c r="S54" s="1600"/>
    </row>
    <row r="55" spans="1:19" hidden="1" outlineLevel="1" x14ac:dyDescent="0.2">
      <c r="A55" s="1241" t="s">
        <v>482</v>
      </c>
      <c r="B55" s="1242"/>
      <c r="C55" s="1242"/>
      <c r="D55" s="1242"/>
      <c r="E55" s="1250"/>
      <c r="F55" s="1242"/>
      <c r="G55" s="1242"/>
      <c r="H55" s="1242"/>
      <c r="I55" s="1242"/>
      <c r="J55" s="1242"/>
      <c r="K55" s="1242"/>
      <c r="L55" s="1242"/>
      <c r="N55" s="1600"/>
      <c r="O55" s="1629"/>
      <c r="P55" s="1629"/>
      <c r="Q55" s="1629"/>
      <c r="R55" s="1600"/>
      <c r="S55" s="1600"/>
    </row>
    <row r="56" spans="1:19" hidden="1" outlineLevel="1" x14ac:dyDescent="0.2">
      <c r="A56" s="1238" t="s">
        <v>483</v>
      </c>
      <c r="B56" s="1239">
        <f>ROUND(B18,2)</f>
        <v>0</v>
      </c>
      <c r="C56" s="1239">
        <f t="shared" ref="C56:L56" si="21">ROUND(C18,2)</f>
        <v>0</v>
      </c>
      <c r="D56" s="1239">
        <f t="shared" si="21"/>
        <v>0</v>
      </c>
      <c r="E56" s="1239">
        <f t="shared" si="21"/>
        <v>0</v>
      </c>
      <c r="F56" s="1239">
        <f t="shared" si="21"/>
        <v>0</v>
      </c>
      <c r="G56" s="1239">
        <f t="shared" si="21"/>
        <v>0</v>
      </c>
      <c r="H56" s="1239">
        <f t="shared" si="21"/>
        <v>0</v>
      </c>
      <c r="I56" s="1239">
        <f t="shared" si="21"/>
        <v>0</v>
      </c>
      <c r="J56" s="1239">
        <f t="shared" si="21"/>
        <v>0</v>
      </c>
      <c r="K56" s="1239">
        <f t="shared" si="21"/>
        <v>0</v>
      </c>
      <c r="L56" s="1239">
        <f t="shared" si="21"/>
        <v>0</v>
      </c>
      <c r="N56" s="1600"/>
      <c r="O56" s="1629"/>
      <c r="P56" s="1629"/>
      <c r="Q56" s="1629"/>
      <c r="R56" s="1629"/>
      <c r="S56" s="1600"/>
    </row>
    <row r="57" spans="1:19" hidden="1" outlineLevel="1" x14ac:dyDescent="0.2">
      <c r="A57" s="1238" t="s">
        <v>484</v>
      </c>
      <c r="B57" s="1239">
        <f>ROUND(B19,2)</f>
        <v>0</v>
      </c>
      <c r="C57" s="1239">
        <f t="shared" ref="C57:L57" si="22">ROUND(C19,2)</f>
        <v>0</v>
      </c>
      <c r="D57" s="1239">
        <f t="shared" si="22"/>
        <v>73417.34</v>
      </c>
      <c r="E57" s="1239">
        <f t="shared" si="22"/>
        <v>0</v>
      </c>
      <c r="F57" s="1239">
        <f t="shared" si="22"/>
        <v>27195.75</v>
      </c>
      <c r="G57" s="1239">
        <f t="shared" si="22"/>
        <v>12616.88</v>
      </c>
      <c r="H57" s="1239">
        <f t="shared" si="22"/>
        <v>3262.5</v>
      </c>
      <c r="I57" s="1239">
        <f t="shared" si="22"/>
        <v>3262.5</v>
      </c>
      <c r="J57" s="1239">
        <f t="shared" si="22"/>
        <v>0</v>
      </c>
      <c r="K57" s="1239">
        <f t="shared" si="22"/>
        <v>0</v>
      </c>
      <c r="L57" s="1239">
        <f t="shared" si="22"/>
        <v>0</v>
      </c>
      <c r="N57" s="1600"/>
      <c r="O57" s="1630"/>
      <c r="P57" s="1630"/>
      <c r="Q57" s="1630"/>
      <c r="R57" s="1630"/>
      <c r="S57" s="1600"/>
    </row>
    <row r="58" spans="1:19" hidden="1" outlineLevel="1" x14ac:dyDescent="0.2">
      <c r="A58" s="1241" t="s">
        <v>485</v>
      </c>
      <c r="B58" s="1242"/>
      <c r="C58" s="1242"/>
      <c r="D58" s="1242"/>
      <c r="E58" s="1250"/>
      <c r="F58" s="1242"/>
      <c r="G58" s="1242"/>
      <c r="H58" s="1242"/>
      <c r="I58" s="1242"/>
      <c r="J58" s="1242"/>
      <c r="K58" s="1242"/>
      <c r="L58" s="1242"/>
      <c r="N58" s="1600"/>
      <c r="O58" s="1600"/>
      <c r="P58" s="1600"/>
      <c r="Q58" s="1600"/>
      <c r="R58" s="1600"/>
      <c r="S58" s="1600"/>
    </row>
    <row r="59" spans="1:19" hidden="1" outlineLevel="1" x14ac:dyDescent="0.2">
      <c r="A59" s="1238" t="s">
        <v>486</v>
      </c>
      <c r="B59" s="1239">
        <f>ROUND(B21,2)</f>
        <v>0</v>
      </c>
      <c r="C59" s="1239">
        <f t="shared" ref="C59:L59" si="23">ROUND(C21,2)</f>
        <v>0</v>
      </c>
      <c r="D59" s="1239">
        <f t="shared" si="23"/>
        <v>0</v>
      </c>
      <c r="E59" s="1239">
        <f t="shared" si="23"/>
        <v>0</v>
      </c>
      <c r="F59" s="1239">
        <f t="shared" si="23"/>
        <v>0</v>
      </c>
      <c r="G59" s="1239">
        <f t="shared" si="23"/>
        <v>0</v>
      </c>
      <c r="H59" s="1239">
        <f t="shared" si="23"/>
        <v>0</v>
      </c>
      <c r="I59" s="1239">
        <f t="shared" si="23"/>
        <v>0</v>
      </c>
      <c r="J59" s="1239">
        <f t="shared" si="23"/>
        <v>0</v>
      </c>
      <c r="K59" s="1239">
        <f t="shared" si="23"/>
        <v>0</v>
      </c>
      <c r="L59" s="1239">
        <f t="shared" si="23"/>
        <v>0</v>
      </c>
      <c r="N59" s="1600"/>
      <c r="O59" s="1629"/>
      <c r="P59" s="1629"/>
      <c r="Q59" s="1629"/>
      <c r="R59" s="1600"/>
      <c r="S59" s="1600"/>
    </row>
    <row r="60" spans="1:19" hidden="1" outlineLevel="1" x14ac:dyDescent="0.2">
      <c r="A60" s="1238" t="s">
        <v>484</v>
      </c>
      <c r="B60" s="1239">
        <f>ROUND(B22,2)</f>
        <v>0</v>
      </c>
      <c r="C60" s="1239">
        <f t="shared" ref="C60:L60" si="24">ROUND(C22,2)</f>
        <v>0</v>
      </c>
      <c r="D60" s="1239">
        <f t="shared" si="24"/>
        <v>37622.480000000003</v>
      </c>
      <c r="E60" s="1239">
        <f t="shared" si="24"/>
        <v>0</v>
      </c>
      <c r="F60" s="1239">
        <f t="shared" si="24"/>
        <v>0</v>
      </c>
      <c r="G60" s="1239">
        <f t="shared" si="24"/>
        <v>0</v>
      </c>
      <c r="H60" s="1239">
        <f t="shared" si="24"/>
        <v>0</v>
      </c>
      <c r="I60" s="1239">
        <f t="shared" si="24"/>
        <v>0</v>
      </c>
      <c r="J60" s="1239">
        <f t="shared" si="24"/>
        <v>0</v>
      </c>
      <c r="K60" s="1239">
        <f t="shared" si="24"/>
        <v>0</v>
      </c>
      <c r="L60" s="1239">
        <f t="shared" si="24"/>
        <v>0</v>
      </c>
      <c r="N60" s="1244"/>
      <c r="O60" s="1240"/>
      <c r="P60" s="1240"/>
      <c r="Q60" s="1240"/>
      <c r="R60" s="1243"/>
    </row>
    <row r="61" spans="1:19" hidden="1" outlineLevel="1" x14ac:dyDescent="0.2">
      <c r="A61" s="1241" t="s">
        <v>487</v>
      </c>
      <c r="B61" s="1242"/>
      <c r="C61" s="1242"/>
      <c r="D61" s="1242"/>
      <c r="E61" s="1250"/>
      <c r="F61" s="1242"/>
      <c r="G61" s="1242"/>
      <c r="H61" s="1242"/>
      <c r="I61" s="1242"/>
      <c r="J61" s="1242"/>
      <c r="K61" s="1242"/>
      <c r="L61" s="1242"/>
      <c r="R61" s="1243"/>
    </row>
    <row r="62" spans="1:19" hidden="1" outlineLevel="1" x14ac:dyDescent="0.2">
      <c r="A62" s="1238" t="s">
        <v>488</v>
      </c>
      <c r="B62" s="1239">
        <f>ROUND(B24,2)</f>
        <v>0</v>
      </c>
      <c r="C62" s="1239">
        <f t="shared" ref="C62:L62" si="25">ROUND(C24,2)</f>
        <v>0</v>
      </c>
      <c r="D62" s="1239">
        <f t="shared" si="25"/>
        <v>15247.25</v>
      </c>
      <c r="E62" s="1239">
        <f t="shared" si="25"/>
        <v>8462.52</v>
      </c>
      <c r="F62" s="1239">
        <f t="shared" si="25"/>
        <v>18462.52</v>
      </c>
      <c r="G62" s="1239">
        <f t="shared" si="25"/>
        <v>18462.52</v>
      </c>
      <c r="H62" s="1239">
        <f t="shared" si="25"/>
        <v>18462.52</v>
      </c>
      <c r="I62" s="1239">
        <f t="shared" si="25"/>
        <v>18462.52</v>
      </c>
      <c r="J62" s="1239">
        <f t="shared" si="25"/>
        <v>8462.52</v>
      </c>
      <c r="K62" s="1239">
        <f t="shared" si="25"/>
        <v>8462.52</v>
      </c>
      <c r="L62" s="1239">
        <f t="shared" si="25"/>
        <v>8462.52</v>
      </c>
      <c r="R62" s="1243"/>
    </row>
    <row r="63" spans="1:19" hidden="1" outlineLevel="1" x14ac:dyDescent="0.2">
      <c r="A63" s="1238" t="s">
        <v>489</v>
      </c>
      <c r="B63" s="1239">
        <f>ROUND(B25,2)</f>
        <v>0</v>
      </c>
      <c r="C63" s="1239">
        <f t="shared" ref="C63:L63" si="26">ROUND(C25,2)</f>
        <v>0</v>
      </c>
      <c r="D63" s="1239">
        <f t="shared" si="26"/>
        <v>0</v>
      </c>
      <c r="E63" s="1239">
        <f t="shared" si="26"/>
        <v>0</v>
      </c>
      <c r="F63" s="1239">
        <f t="shared" si="26"/>
        <v>0</v>
      </c>
      <c r="G63" s="1239">
        <f t="shared" si="26"/>
        <v>0</v>
      </c>
      <c r="H63" s="1239">
        <f t="shared" si="26"/>
        <v>0</v>
      </c>
      <c r="I63" s="1239">
        <f t="shared" si="26"/>
        <v>0</v>
      </c>
      <c r="J63" s="1239">
        <f t="shared" si="26"/>
        <v>0</v>
      </c>
      <c r="K63" s="1239">
        <f t="shared" si="26"/>
        <v>0</v>
      </c>
      <c r="L63" s="1239">
        <f t="shared" si="26"/>
        <v>0</v>
      </c>
      <c r="R63" s="1243"/>
    </row>
    <row r="64" spans="1:19" hidden="1" outlineLevel="1" x14ac:dyDescent="0.2">
      <c r="A64" s="1241" t="s">
        <v>490</v>
      </c>
      <c r="B64" s="1242"/>
      <c r="C64" s="1242"/>
      <c r="D64" s="1242"/>
      <c r="E64" s="1250"/>
      <c r="F64" s="1242"/>
      <c r="G64" s="1242"/>
      <c r="H64" s="1242"/>
      <c r="I64" s="1242"/>
      <c r="J64" s="1242"/>
      <c r="K64" s="1242"/>
      <c r="L64" s="1242"/>
    </row>
    <row r="65" spans="1:12" hidden="1" outlineLevel="1" x14ac:dyDescent="0.2">
      <c r="A65" s="1238" t="s">
        <v>491</v>
      </c>
      <c r="B65" s="1239">
        <f>ROUND(B27,2)</f>
        <v>0</v>
      </c>
      <c r="C65" s="1239">
        <f t="shared" ref="C65:L65" si="27">ROUND(C27,2)</f>
        <v>0</v>
      </c>
      <c r="D65" s="1239">
        <f t="shared" si="27"/>
        <v>0</v>
      </c>
      <c r="E65" s="1239">
        <f t="shared" si="27"/>
        <v>0</v>
      </c>
      <c r="F65" s="1239">
        <f t="shared" si="27"/>
        <v>0</v>
      </c>
      <c r="G65" s="1239">
        <f t="shared" si="27"/>
        <v>0</v>
      </c>
      <c r="H65" s="1239">
        <f t="shared" si="27"/>
        <v>0</v>
      </c>
      <c r="I65" s="1239">
        <f t="shared" si="27"/>
        <v>0</v>
      </c>
      <c r="J65" s="1239">
        <f t="shared" si="27"/>
        <v>0</v>
      </c>
      <c r="K65" s="1239">
        <f t="shared" si="27"/>
        <v>0</v>
      </c>
      <c r="L65" s="1239">
        <f t="shared" si="27"/>
        <v>0</v>
      </c>
    </row>
    <row r="66" spans="1:12" hidden="1" outlineLevel="1" x14ac:dyDescent="0.2">
      <c r="A66" s="1238" t="s">
        <v>492</v>
      </c>
      <c r="B66" s="1239">
        <f>ROUND(B28,2)</f>
        <v>0</v>
      </c>
      <c r="C66" s="1239">
        <f t="shared" ref="C66:L66" si="28">ROUND(C28,2)</f>
        <v>0</v>
      </c>
      <c r="D66" s="1239">
        <f t="shared" si="28"/>
        <v>1053</v>
      </c>
      <c r="E66" s="1239">
        <f t="shared" si="28"/>
        <v>11672.26</v>
      </c>
      <c r="F66" s="1239">
        <f t="shared" si="28"/>
        <v>11657.01</v>
      </c>
      <c r="G66" s="1239">
        <f t="shared" si="28"/>
        <v>11596</v>
      </c>
      <c r="H66" s="1239">
        <f t="shared" si="28"/>
        <v>11534.98</v>
      </c>
      <c r="I66" s="1239">
        <f t="shared" si="28"/>
        <v>11473.97</v>
      </c>
      <c r="J66" s="1239">
        <f t="shared" si="28"/>
        <v>11428.21</v>
      </c>
      <c r="K66" s="1239">
        <f t="shared" si="28"/>
        <v>11428.21</v>
      </c>
      <c r="L66" s="1239">
        <f t="shared" si="28"/>
        <v>11428.21</v>
      </c>
    </row>
    <row r="67" spans="1:12" hidden="1" outlineLevel="1" x14ac:dyDescent="0.2">
      <c r="A67" s="1241" t="s">
        <v>493</v>
      </c>
      <c r="B67" s="1242"/>
      <c r="C67" s="1242"/>
      <c r="D67" s="1242"/>
      <c r="E67" s="1250"/>
      <c r="F67" s="1242"/>
      <c r="G67" s="1242"/>
      <c r="H67" s="1242"/>
      <c r="I67" s="1242"/>
      <c r="J67" s="1242"/>
      <c r="K67" s="1242"/>
      <c r="L67" s="1242"/>
    </row>
    <row r="68" spans="1:12" hidden="1" outlineLevel="1" x14ac:dyDescent="0.2">
      <c r="A68" s="1238" t="s">
        <v>494</v>
      </c>
      <c r="B68" s="1239">
        <f>ROUND(B30,2)</f>
        <v>0</v>
      </c>
      <c r="C68" s="1239">
        <f t="shared" ref="C68:L68" si="29">ROUND(C30,2)</f>
        <v>0</v>
      </c>
      <c r="D68" s="1239">
        <f t="shared" si="29"/>
        <v>10443.870000000001</v>
      </c>
      <c r="E68" s="1239">
        <f t="shared" si="29"/>
        <v>7184.81</v>
      </c>
      <c r="F68" s="1239">
        <f t="shared" si="29"/>
        <v>14350.05</v>
      </c>
      <c r="G68" s="1239">
        <f t="shared" si="29"/>
        <v>12871.62</v>
      </c>
      <c r="H68" s="1239">
        <f t="shared" si="29"/>
        <v>16199.13</v>
      </c>
      <c r="I68" s="1239">
        <f t="shared" si="29"/>
        <v>16665.57</v>
      </c>
      <c r="J68" s="1239">
        <f t="shared" si="29"/>
        <v>18653.73</v>
      </c>
      <c r="K68" s="1239">
        <f t="shared" si="29"/>
        <v>19125.07</v>
      </c>
      <c r="L68" s="1239">
        <f t="shared" si="29"/>
        <v>19606.02</v>
      </c>
    </row>
    <row r="69" spans="1:12" hidden="1" outlineLevel="1" x14ac:dyDescent="0.2">
      <c r="A69" s="1241" t="s">
        <v>495</v>
      </c>
      <c r="B69" s="1242"/>
      <c r="C69" s="1242"/>
      <c r="D69" s="1242"/>
      <c r="E69" s="1250"/>
      <c r="F69" s="1242"/>
      <c r="G69" s="1242"/>
      <c r="H69" s="1242"/>
      <c r="I69" s="1242"/>
      <c r="J69" s="1242"/>
      <c r="K69" s="1242"/>
      <c r="L69" s="1242"/>
    </row>
    <row r="70" spans="1:12" ht="12.75" hidden="1" outlineLevel="1" thickBot="1" x14ac:dyDescent="0.25">
      <c r="A70" s="1245" t="s">
        <v>496</v>
      </c>
      <c r="B70" s="1246"/>
      <c r="C70" s="1246"/>
      <c r="D70" s="1246"/>
      <c r="E70" s="1251"/>
      <c r="F70" s="1246"/>
      <c r="G70" s="1246"/>
      <c r="H70" s="1246"/>
      <c r="I70" s="1246"/>
      <c r="J70" s="1246"/>
      <c r="K70" s="1247"/>
      <c r="L70" s="1247"/>
    </row>
    <row r="71" spans="1:12" ht="12.75" hidden="1" outlineLevel="1" thickTop="1" x14ac:dyDescent="0.2"/>
    <row r="72" spans="1:12" hidden="1" outlineLevel="1" x14ac:dyDescent="0.2">
      <c r="A72" s="1382" t="s">
        <v>633</v>
      </c>
      <c r="B72" s="1383">
        <f>ROUND(B41+B42+B43+B44+B45-B46-B47-B48-B49-B50-B51-B52-B53+B54+B56+B57-B59-B60-B62-B63+B65-B66-B68,2)</f>
        <v>0</v>
      </c>
      <c r="C72" s="1383">
        <f>ROUND(C41+C42+C43+C44+C45-C46-C47-C48-C49-C50-C51-C52-C53+C54+C56+C57-C59-C60-C62-C63+C65-C66-C68,2)</f>
        <v>0</v>
      </c>
      <c r="D72" s="1383">
        <f>ROUND(D41+D42+D43+D44+D45-D46-D47-D48-D49-D50-D51-D52-D53+D54+D56+D57-D59-D60-D62-D63+D65-D66-D68,2)</f>
        <v>31854.57</v>
      </c>
      <c r="E72" s="1383">
        <f t="shared" ref="E72:K72" si="30">ROUND(E41+E42+E43+E44+E45-E46-E47-E48-E49-E50-E51-E52-E53+E54+E56+E57-E59-E60-E62-E63+E65-E66-E68,2)</f>
        <v>24747.66</v>
      </c>
      <c r="F72" s="1383">
        <f t="shared" si="30"/>
        <v>49427.95</v>
      </c>
      <c r="G72" s="1383">
        <f t="shared" si="30"/>
        <v>44335.59</v>
      </c>
      <c r="H72" s="1383">
        <f t="shared" si="30"/>
        <v>55797.02</v>
      </c>
      <c r="I72" s="1383">
        <f t="shared" si="30"/>
        <v>57403.63</v>
      </c>
      <c r="J72" s="1383">
        <f t="shared" si="30"/>
        <v>64251.75</v>
      </c>
      <c r="K72" s="1383">
        <f t="shared" si="30"/>
        <v>65875.259999999995</v>
      </c>
      <c r="L72" s="1383">
        <f>ROUND(L41+L42+L43+L44+L45-L46-L47-L48-L49-L50-L51-L52-L53+L54+L56+L57-L59-L60-L62-L63+L65-L66-L68,2)</f>
        <v>67531.850000000006</v>
      </c>
    </row>
    <row r="73" spans="1:12" hidden="1" outlineLevel="1" x14ac:dyDescent="0.2">
      <c r="A73" s="1382" t="s">
        <v>634</v>
      </c>
      <c r="B73" s="1383">
        <f>ROUND(B35,2)</f>
        <v>0</v>
      </c>
      <c r="C73" s="1383">
        <f t="shared" ref="C73:L73" si="31">ROUND(C35,2)</f>
        <v>0</v>
      </c>
      <c r="D73" s="1383">
        <f t="shared" si="31"/>
        <v>31854.57</v>
      </c>
      <c r="E73" s="1383">
        <f t="shared" si="31"/>
        <v>24747.67</v>
      </c>
      <c r="F73" s="1383">
        <f t="shared" si="31"/>
        <v>49427.95</v>
      </c>
      <c r="G73" s="1383">
        <f t="shared" si="31"/>
        <v>44335.58</v>
      </c>
      <c r="H73" s="1383">
        <f t="shared" si="31"/>
        <v>55797.01</v>
      </c>
      <c r="I73" s="1383">
        <f t="shared" si="31"/>
        <v>57403.62</v>
      </c>
      <c r="J73" s="1383">
        <f t="shared" si="31"/>
        <v>64251.75</v>
      </c>
      <c r="K73" s="1383">
        <f t="shared" si="31"/>
        <v>65875.259999999995</v>
      </c>
      <c r="L73" s="1383">
        <f t="shared" si="31"/>
        <v>67531.839999999997</v>
      </c>
    </row>
    <row r="74" spans="1:12" hidden="1" outlineLevel="1" x14ac:dyDescent="0.2">
      <c r="A74" s="1382" t="s">
        <v>68</v>
      </c>
      <c r="B74" s="1381">
        <f t="shared" ref="B74:D74" si="32">B72-B73</f>
        <v>0</v>
      </c>
      <c r="C74" s="1381">
        <f t="shared" si="32"/>
        <v>0</v>
      </c>
      <c r="D74" s="1381">
        <f t="shared" si="32"/>
        <v>0</v>
      </c>
      <c r="E74" s="1381">
        <f>E72-E73</f>
        <v>-9.9999999983992893E-3</v>
      </c>
      <c r="F74" s="1381">
        <f t="shared" ref="F74:L74" si="33">F72-F73</f>
        <v>0</v>
      </c>
      <c r="G74" s="1381">
        <f t="shared" si="33"/>
        <v>9.9999999947613105E-3</v>
      </c>
      <c r="H74" s="1381">
        <f t="shared" si="33"/>
        <v>9.9999999947613105E-3</v>
      </c>
      <c r="I74" s="1381">
        <f t="shared" si="33"/>
        <v>9.9999999947613105E-3</v>
      </c>
      <c r="J74" s="1381">
        <f t="shared" si="33"/>
        <v>0</v>
      </c>
      <c r="K74" s="1381">
        <f t="shared" si="33"/>
        <v>0</v>
      </c>
      <c r="L74" s="1381">
        <f t="shared" si="33"/>
        <v>1.0000000009313226E-2</v>
      </c>
    </row>
    <row r="75" spans="1:12" collapsed="1" x14ac:dyDescent="0.2"/>
    <row r="77" spans="1:12" ht="12.75" x14ac:dyDescent="0.2">
      <c r="A77" s="1962" t="s">
        <v>1183</v>
      </c>
      <c r="B77" s="1962"/>
      <c r="C77" s="1962"/>
      <c r="D77" s="1962"/>
      <c r="E77" s="1962"/>
      <c r="F77" s="1962"/>
      <c r="G77" s="1962"/>
      <c r="H77" s="1962"/>
      <c r="I77" s="1962"/>
      <c r="J77" s="1962"/>
      <c r="K77" s="1962"/>
      <c r="L77" s="1962"/>
    </row>
    <row r="78" spans="1:12" ht="12.75" thickBot="1" x14ac:dyDescent="0.25">
      <c r="B78" s="1235">
        <f>B2</f>
        <v>2017</v>
      </c>
      <c r="C78" s="1235">
        <f t="shared" ref="C78:L78" si="34">C2</f>
        <v>2018</v>
      </c>
      <c r="D78" s="1235">
        <f t="shared" si="34"/>
        <v>2019</v>
      </c>
      <c r="E78" s="1235">
        <f t="shared" si="34"/>
        <v>2020</v>
      </c>
      <c r="F78" s="1235">
        <f t="shared" si="34"/>
        <v>2021</v>
      </c>
      <c r="G78" s="1235">
        <f t="shared" si="34"/>
        <v>2022</v>
      </c>
      <c r="H78" s="1235">
        <f t="shared" si="34"/>
        <v>2023</v>
      </c>
      <c r="I78" s="1235">
        <f t="shared" si="34"/>
        <v>2024</v>
      </c>
      <c r="J78" s="1235">
        <f t="shared" si="34"/>
        <v>2025</v>
      </c>
      <c r="K78" s="1235">
        <f t="shared" si="34"/>
        <v>2026</v>
      </c>
      <c r="L78" s="1235">
        <f t="shared" si="34"/>
        <v>2027</v>
      </c>
    </row>
    <row r="79" spans="1:12" ht="12.75" thickTop="1" x14ac:dyDescent="0.2">
      <c r="A79" s="1236" t="s">
        <v>466</v>
      </c>
      <c r="B79" s="1775">
        <f>B41</f>
        <v>0</v>
      </c>
      <c r="C79" s="1775">
        <f t="shared" ref="C79:L79" si="35">C41</f>
        <v>0</v>
      </c>
      <c r="D79" s="1775">
        <f t="shared" si="35"/>
        <v>3479532.14</v>
      </c>
      <c r="E79" s="1237">
        <f t="shared" si="35"/>
        <v>3690043.83</v>
      </c>
      <c r="F79" s="1237">
        <f t="shared" si="35"/>
        <v>3913291.49</v>
      </c>
      <c r="G79" s="1237">
        <f t="shared" si="35"/>
        <v>4150045.62</v>
      </c>
      <c r="H79" s="1237">
        <f t="shared" si="35"/>
        <v>4401123.38</v>
      </c>
      <c r="I79" s="1237">
        <f t="shared" si="35"/>
        <v>4489585.96</v>
      </c>
      <c r="J79" s="1237">
        <f t="shared" si="35"/>
        <v>4579826.6399999997</v>
      </c>
      <c r="K79" s="1237">
        <f t="shared" si="35"/>
        <v>4671881.1500000004</v>
      </c>
      <c r="L79" s="1237">
        <f t="shared" si="35"/>
        <v>4765785.97</v>
      </c>
    </row>
    <row r="80" spans="1:12" x14ac:dyDescent="0.2">
      <c r="A80" s="1238" t="s">
        <v>467</v>
      </c>
      <c r="B80" s="1776">
        <f>B42</f>
        <v>0</v>
      </c>
      <c r="C80" s="1776">
        <f t="shared" ref="C80:L80" si="36">C42</f>
        <v>0</v>
      </c>
      <c r="D80" s="1776">
        <f t="shared" si="36"/>
        <v>49.26</v>
      </c>
      <c r="E80" s="1239">
        <f t="shared" si="36"/>
        <v>9281.36</v>
      </c>
      <c r="F80" s="1239">
        <f t="shared" si="36"/>
        <v>26253</v>
      </c>
      <c r="G80" s="1239">
        <f t="shared" si="36"/>
        <v>6660</v>
      </c>
      <c r="H80" s="1239">
        <f t="shared" si="36"/>
        <v>0</v>
      </c>
      <c r="I80" s="1239">
        <f t="shared" si="36"/>
        <v>0</v>
      </c>
      <c r="J80" s="1239">
        <f t="shared" si="36"/>
        <v>0</v>
      </c>
      <c r="K80" s="1239">
        <f t="shared" si="36"/>
        <v>0</v>
      </c>
      <c r="L80" s="1239">
        <f t="shared" si="36"/>
        <v>0</v>
      </c>
    </row>
    <row r="81" spans="1:12" x14ac:dyDescent="0.2">
      <c r="A81" s="1238" t="s">
        <v>468</v>
      </c>
      <c r="B81" s="1776">
        <f t="shared" ref="B81:L92" si="37">B43</f>
        <v>0</v>
      </c>
      <c r="C81" s="1776">
        <f t="shared" si="37"/>
        <v>0</v>
      </c>
      <c r="D81" s="1776">
        <f t="shared" si="37"/>
        <v>0</v>
      </c>
      <c r="E81" s="1239">
        <f t="shared" si="37"/>
        <v>0</v>
      </c>
      <c r="F81" s="1239">
        <f t="shared" si="37"/>
        <v>0</v>
      </c>
      <c r="G81" s="1239">
        <f t="shared" si="37"/>
        <v>0</v>
      </c>
      <c r="H81" s="1239">
        <f t="shared" si="37"/>
        <v>0</v>
      </c>
      <c r="I81" s="1239">
        <f t="shared" si="37"/>
        <v>0</v>
      </c>
      <c r="J81" s="1239">
        <f t="shared" si="37"/>
        <v>0</v>
      </c>
      <c r="K81" s="1239">
        <f t="shared" si="37"/>
        <v>0</v>
      </c>
      <c r="L81" s="1239">
        <f t="shared" si="37"/>
        <v>0</v>
      </c>
    </row>
    <row r="82" spans="1:12" x14ac:dyDescent="0.2">
      <c r="A82" s="1238" t="s">
        <v>469</v>
      </c>
      <c r="B82" s="1776">
        <f t="shared" si="37"/>
        <v>0</v>
      </c>
      <c r="C82" s="1776">
        <f t="shared" si="37"/>
        <v>0</v>
      </c>
      <c r="D82" s="1776">
        <f t="shared" si="37"/>
        <v>0</v>
      </c>
      <c r="E82" s="1239">
        <f t="shared" si="37"/>
        <v>0</v>
      </c>
      <c r="F82" s="1239">
        <f t="shared" si="37"/>
        <v>0</v>
      </c>
      <c r="G82" s="1239">
        <f t="shared" si="37"/>
        <v>0</v>
      </c>
      <c r="H82" s="1239">
        <f t="shared" si="37"/>
        <v>0</v>
      </c>
      <c r="I82" s="1239">
        <f t="shared" si="37"/>
        <v>0</v>
      </c>
      <c r="J82" s="1239">
        <f t="shared" si="37"/>
        <v>0</v>
      </c>
      <c r="K82" s="1239">
        <f t="shared" si="37"/>
        <v>0</v>
      </c>
      <c r="L82" s="1239">
        <f t="shared" si="37"/>
        <v>0</v>
      </c>
    </row>
    <row r="83" spans="1:12" x14ac:dyDescent="0.2">
      <c r="A83" s="1238" t="s">
        <v>470</v>
      </c>
      <c r="B83" s="1776">
        <f t="shared" si="37"/>
        <v>0</v>
      </c>
      <c r="C83" s="1776">
        <f t="shared" si="37"/>
        <v>0</v>
      </c>
      <c r="D83" s="1776">
        <f t="shared" si="37"/>
        <v>0</v>
      </c>
      <c r="E83" s="1239">
        <f t="shared" si="37"/>
        <v>0</v>
      </c>
      <c r="F83" s="1239">
        <f t="shared" si="37"/>
        <v>0</v>
      </c>
      <c r="G83" s="1239">
        <f t="shared" si="37"/>
        <v>0</v>
      </c>
      <c r="H83" s="1239">
        <f t="shared" si="37"/>
        <v>0</v>
      </c>
      <c r="I83" s="1239">
        <f t="shared" si="37"/>
        <v>0</v>
      </c>
      <c r="J83" s="1239">
        <f t="shared" si="37"/>
        <v>0</v>
      </c>
      <c r="K83" s="1239">
        <f t="shared" si="37"/>
        <v>0</v>
      </c>
      <c r="L83" s="1239">
        <f t="shared" si="37"/>
        <v>0</v>
      </c>
    </row>
    <row r="84" spans="1:12" x14ac:dyDescent="0.2">
      <c r="A84" s="1238" t="s">
        <v>471</v>
      </c>
      <c r="B84" s="1776">
        <f t="shared" si="37"/>
        <v>0</v>
      </c>
      <c r="C84" s="1776">
        <f t="shared" si="37"/>
        <v>0</v>
      </c>
      <c r="D84" s="1776">
        <f t="shared" si="37"/>
        <v>2780591.15</v>
      </c>
      <c r="E84" s="1239">
        <f t="shared" si="37"/>
        <v>2896684.41</v>
      </c>
      <c r="F84" s="1239">
        <f t="shared" si="37"/>
        <v>3071933.82</v>
      </c>
      <c r="G84" s="1239">
        <f t="shared" si="37"/>
        <v>3237035.58</v>
      </c>
      <c r="H84" s="1239">
        <f t="shared" si="37"/>
        <v>3432876.24</v>
      </c>
      <c r="I84" s="1239">
        <f t="shared" si="37"/>
        <v>3501877.05</v>
      </c>
      <c r="J84" s="1239">
        <f t="shared" si="37"/>
        <v>3572264.78</v>
      </c>
      <c r="K84" s="1239">
        <f t="shared" si="37"/>
        <v>3644067.3</v>
      </c>
      <c r="L84" s="1239">
        <f t="shared" si="37"/>
        <v>3717313.05</v>
      </c>
    </row>
    <row r="85" spans="1:12" x14ac:dyDescent="0.2">
      <c r="A85" s="1238" t="s">
        <v>472</v>
      </c>
      <c r="B85" s="1776">
        <f>B47</f>
        <v>0</v>
      </c>
      <c r="C85" s="1776">
        <f t="shared" si="37"/>
        <v>0</v>
      </c>
      <c r="D85" s="1776">
        <f t="shared" si="37"/>
        <v>506782.86</v>
      </c>
      <c r="E85" s="1239">
        <f t="shared" si="37"/>
        <v>532475.93999999994</v>
      </c>
      <c r="F85" s="1239">
        <f t="shared" si="37"/>
        <v>546634.35</v>
      </c>
      <c r="G85" s="1239">
        <f t="shared" si="37"/>
        <v>575056.16</v>
      </c>
      <c r="H85" s="1239">
        <f t="shared" si="37"/>
        <v>594151.66</v>
      </c>
      <c r="I85" s="1239">
        <f t="shared" si="37"/>
        <v>606094.1</v>
      </c>
      <c r="J85" s="1239">
        <f t="shared" si="37"/>
        <v>618276.6</v>
      </c>
      <c r="K85" s="1239">
        <f t="shared" si="37"/>
        <v>630703.96</v>
      </c>
      <c r="L85" s="1239">
        <f t="shared" si="37"/>
        <v>643381.11</v>
      </c>
    </row>
    <row r="86" spans="1:12" x14ac:dyDescent="0.2">
      <c r="A86" s="1238" t="s">
        <v>474</v>
      </c>
      <c r="B86" s="1776">
        <f t="shared" si="37"/>
        <v>0</v>
      </c>
      <c r="C86" s="1776">
        <f t="shared" si="37"/>
        <v>0</v>
      </c>
      <c r="D86" s="1776">
        <f t="shared" si="37"/>
        <v>169363.3</v>
      </c>
      <c r="E86" s="1239">
        <f t="shared" si="37"/>
        <v>218097.59</v>
      </c>
      <c r="F86" s="1239">
        <f t="shared" si="37"/>
        <v>254274.54</v>
      </c>
      <c r="G86" s="1239">
        <f t="shared" si="37"/>
        <v>269965.03000000003</v>
      </c>
      <c r="H86" s="1239">
        <f t="shared" si="37"/>
        <v>275364.33</v>
      </c>
      <c r="I86" s="1239">
        <f t="shared" si="37"/>
        <v>280871.62</v>
      </c>
      <c r="J86" s="1239">
        <f t="shared" si="37"/>
        <v>286489.05</v>
      </c>
      <c r="K86" s="1239">
        <f t="shared" si="37"/>
        <v>292218.83</v>
      </c>
      <c r="L86" s="1239">
        <f t="shared" si="37"/>
        <v>298063.21000000002</v>
      </c>
    </row>
    <row r="87" spans="1:12" x14ac:dyDescent="0.2">
      <c r="A87" s="1238" t="s">
        <v>475</v>
      </c>
      <c r="B87" s="1776">
        <f t="shared" si="37"/>
        <v>0</v>
      </c>
      <c r="C87" s="1776">
        <f t="shared" si="37"/>
        <v>0</v>
      </c>
      <c r="D87" s="1776">
        <f t="shared" si="37"/>
        <v>0</v>
      </c>
      <c r="E87" s="1239">
        <f t="shared" si="37"/>
        <v>0</v>
      </c>
      <c r="F87" s="1239">
        <f t="shared" si="37"/>
        <v>0</v>
      </c>
      <c r="G87" s="1239">
        <f t="shared" si="37"/>
        <v>0</v>
      </c>
      <c r="H87" s="1239">
        <f t="shared" si="37"/>
        <v>0</v>
      </c>
      <c r="I87" s="1239">
        <f t="shared" si="37"/>
        <v>0</v>
      </c>
      <c r="J87" s="1239">
        <f t="shared" si="37"/>
        <v>0</v>
      </c>
      <c r="K87" s="1239">
        <f t="shared" si="37"/>
        <v>0</v>
      </c>
      <c r="L87" s="1239">
        <f t="shared" si="37"/>
        <v>0</v>
      </c>
    </row>
    <row r="88" spans="1:12" x14ac:dyDescent="0.2">
      <c r="A88" s="1238" t="s">
        <v>477</v>
      </c>
      <c r="B88" s="1776">
        <f t="shared" si="37"/>
        <v>0</v>
      </c>
      <c r="C88" s="1776">
        <f t="shared" si="37"/>
        <v>0</v>
      </c>
      <c r="D88" s="1776">
        <f t="shared" si="37"/>
        <v>40.26</v>
      </c>
      <c r="E88" s="1239">
        <f t="shared" si="37"/>
        <v>0</v>
      </c>
      <c r="F88" s="1239">
        <f t="shared" si="37"/>
        <v>0</v>
      </c>
      <c r="G88" s="1239">
        <f t="shared" si="37"/>
        <v>0</v>
      </c>
      <c r="H88" s="1239">
        <f t="shared" si="37"/>
        <v>0</v>
      </c>
      <c r="I88" s="1239">
        <f t="shared" si="37"/>
        <v>0</v>
      </c>
      <c r="J88" s="1239">
        <f t="shared" si="37"/>
        <v>0</v>
      </c>
      <c r="K88" s="1239">
        <f t="shared" si="37"/>
        <v>0</v>
      </c>
      <c r="L88" s="1239">
        <f t="shared" si="37"/>
        <v>0</v>
      </c>
    </row>
    <row r="89" spans="1:12" x14ac:dyDescent="0.2">
      <c r="A89" s="1238" t="s">
        <v>478</v>
      </c>
      <c r="B89" s="1776">
        <f t="shared" si="37"/>
        <v>0</v>
      </c>
      <c r="C89" s="1776">
        <f t="shared" si="37"/>
        <v>0</v>
      </c>
      <c r="D89" s="1776">
        <f t="shared" si="37"/>
        <v>0</v>
      </c>
      <c r="E89" s="1239">
        <f t="shared" si="37"/>
        <v>0</v>
      </c>
      <c r="F89" s="1239">
        <f t="shared" si="37"/>
        <v>0</v>
      </c>
      <c r="G89" s="1239">
        <f t="shared" si="37"/>
        <v>0</v>
      </c>
      <c r="H89" s="1239">
        <f t="shared" si="37"/>
        <v>0</v>
      </c>
      <c r="I89" s="1239">
        <f t="shared" si="37"/>
        <v>0</v>
      </c>
      <c r="J89" s="1239">
        <f t="shared" si="37"/>
        <v>0</v>
      </c>
      <c r="K89" s="1239">
        <f t="shared" si="37"/>
        <v>0</v>
      </c>
      <c r="L89" s="1239">
        <f t="shared" si="37"/>
        <v>0</v>
      </c>
    </row>
    <row r="90" spans="1:12" x14ac:dyDescent="0.2">
      <c r="A90" s="1238" t="s">
        <v>479</v>
      </c>
      <c r="B90" s="1776">
        <f t="shared" si="37"/>
        <v>0</v>
      </c>
      <c r="C90" s="1776">
        <f t="shared" si="37"/>
        <v>0</v>
      </c>
      <c r="D90" s="1776">
        <f t="shared" si="37"/>
        <v>0</v>
      </c>
      <c r="E90" s="1239">
        <f t="shared" si="37"/>
        <v>0</v>
      </c>
      <c r="F90" s="1239">
        <f t="shared" si="37"/>
        <v>0</v>
      </c>
      <c r="G90" s="1239">
        <f t="shared" si="37"/>
        <v>0</v>
      </c>
      <c r="H90" s="1239">
        <f t="shared" si="37"/>
        <v>0</v>
      </c>
      <c r="I90" s="1239">
        <f t="shared" si="37"/>
        <v>0</v>
      </c>
      <c r="J90" s="1239">
        <f t="shared" si="37"/>
        <v>0</v>
      </c>
      <c r="K90" s="1239">
        <f t="shared" si="37"/>
        <v>0</v>
      </c>
      <c r="L90" s="1239">
        <f t="shared" si="37"/>
        <v>0</v>
      </c>
    </row>
    <row r="91" spans="1:12" x14ac:dyDescent="0.2">
      <c r="A91" s="1238" t="s">
        <v>480</v>
      </c>
      <c r="B91" s="1776">
        <f t="shared" si="37"/>
        <v>0</v>
      </c>
      <c r="C91" s="1776">
        <f t="shared" si="37"/>
        <v>0</v>
      </c>
      <c r="D91" s="1776">
        <f t="shared" si="37"/>
        <v>0</v>
      </c>
      <c r="E91" s="1239">
        <f t="shared" si="37"/>
        <v>0</v>
      </c>
      <c r="F91" s="1239">
        <f t="shared" si="37"/>
        <v>0</v>
      </c>
      <c r="G91" s="1239">
        <f t="shared" si="37"/>
        <v>0</v>
      </c>
      <c r="H91" s="1239">
        <f t="shared" si="37"/>
        <v>0</v>
      </c>
      <c r="I91" s="1239">
        <f t="shared" si="37"/>
        <v>0</v>
      </c>
      <c r="J91" s="1239">
        <f t="shared" si="37"/>
        <v>0</v>
      </c>
      <c r="K91" s="1239">
        <f t="shared" si="37"/>
        <v>0</v>
      </c>
      <c r="L91" s="1239">
        <f t="shared" si="37"/>
        <v>0</v>
      </c>
    </row>
    <row r="92" spans="1:12" x14ac:dyDescent="0.2">
      <c r="A92" s="1238" t="s">
        <v>481</v>
      </c>
      <c r="B92" s="1776">
        <f t="shared" si="37"/>
        <v>0</v>
      </c>
      <c r="C92" s="1776">
        <f t="shared" si="37"/>
        <v>0</v>
      </c>
      <c r="D92" s="1776">
        <f t="shared" si="37"/>
        <v>0</v>
      </c>
      <c r="E92" s="1239">
        <f t="shared" si="37"/>
        <v>0</v>
      </c>
      <c r="F92" s="1239">
        <f t="shared" si="37"/>
        <v>0</v>
      </c>
      <c r="G92" s="1239">
        <f t="shared" si="37"/>
        <v>0</v>
      </c>
      <c r="H92" s="1239">
        <f t="shared" si="37"/>
        <v>0</v>
      </c>
      <c r="I92" s="1239">
        <f t="shared" si="37"/>
        <v>0</v>
      </c>
      <c r="J92" s="1239">
        <f t="shared" si="37"/>
        <v>0</v>
      </c>
      <c r="K92" s="1239">
        <f t="shared" si="37"/>
        <v>0</v>
      </c>
      <c r="L92" s="1239">
        <f t="shared" si="37"/>
        <v>0</v>
      </c>
    </row>
    <row r="93" spans="1:12" x14ac:dyDescent="0.2">
      <c r="A93" s="1241" t="s">
        <v>482</v>
      </c>
      <c r="B93" s="1776">
        <f>B94+B95</f>
        <v>0</v>
      </c>
      <c r="C93" s="1776">
        <f t="shared" ref="C93:L93" si="38">C94+C95</f>
        <v>0</v>
      </c>
      <c r="D93" s="1776">
        <f t="shared" si="38"/>
        <v>73417.34</v>
      </c>
      <c r="E93" s="1242">
        <f t="shared" si="38"/>
        <v>0</v>
      </c>
      <c r="F93" s="1242">
        <f t="shared" si="38"/>
        <v>27195.75</v>
      </c>
      <c r="G93" s="1242">
        <f t="shared" si="38"/>
        <v>12616.88</v>
      </c>
      <c r="H93" s="1242">
        <f t="shared" si="38"/>
        <v>3262.5</v>
      </c>
      <c r="I93" s="1242">
        <f t="shared" si="38"/>
        <v>3262.5</v>
      </c>
      <c r="J93" s="1242">
        <f t="shared" si="38"/>
        <v>0</v>
      </c>
      <c r="K93" s="1242">
        <f t="shared" si="38"/>
        <v>0</v>
      </c>
      <c r="L93" s="1242">
        <f t="shared" si="38"/>
        <v>0</v>
      </c>
    </row>
    <row r="94" spans="1:12" x14ac:dyDescent="0.2">
      <c r="A94" s="1238" t="s">
        <v>483</v>
      </c>
      <c r="B94" s="1776">
        <f>B56</f>
        <v>0</v>
      </c>
      <c r="C94" s="1776">
        <f t="shared" ref="C94:L94" si="39">C56</f>
        <v>0</v>
      </c>
      <c r="D94" s="1776">
        <f t="shared" si="39"/>
        <v>0</v>
      </c>
      <c r="E94" s="1239">
        <f t="shared" si="39"/>
        <v>0</v>
      </c>
      <c r="F94" s="1239">
        <f t="shared" si="39"/>
        <v>0</v>
      </c>
      <c r="G94" s="1239">
        <f t="shared" si="39"/>
        <v>0</v>
      </c>
      <c r="H94" s="1239">
        <f t="shared" si="39"/>
        <v>0</v>
      </c>
      <c r="I94" s="1239">
        <f t="shared" si="39"/>
        <v>0</v>
      </c>
      <c r="J94" s="1239">
        <f t="shared" si="39"/>
        <v>0</v>
      </c>
      <c r="K94" s="1239">
        <f t="shared" si="39"/>
        <v>0</v>
      </c>
      <c r="L94" s="1239">
        <f t="shared" si="39"/>
        <v>0</v>
      </c>
    </row>
    <row r="95" spans="1:12" x14ac:dyDescent="0.2">
      <c r="A95" s="1238" t="s">
        <v>484</v>
      </c>
      <c r="B95" s="1776">
        <f>B57</f>
        <v>0</v>
      </c>
      <c r="C95" s="1776">
        <f t="shared" ref="C95:L95" si="40">C57</f>
        <v>0</v>
      </c>
      <c r="D95" s="1776">
        <f t="shared" si="40"/>
        <v>73417.34</v>
      </c>
      <c r="E95" s="1239">
        <f t="shared" si="40"/>
        <v>0</v>
      </c>
      <c r="F95" s="1239">
        <f t="shared" si="40"/>
        <v>27195.75</v>
      </c>
      <c r="G95" s="1239">
        <f t="shared" si="40"/>
        <v>12616.88</v>
      </c>
      <c r="H95" s="1239">
        <f t="shared" si="40"/>
        <v>3262.5</v>
      </c>
      <c r="I95" s="1239">
        <f t="shared" si="40"/>
        <v>3262.5</v>
      </c>
      <c r="J95" s="1239">
        <f t="shared" si="40"/>
        <v>0</v>
      </c>
      <c r="K95" s="1239">
        <f t="shared" si="40"/>
        <v>0</v>
      </c>
      <c r="L95" s="1239">
        <f t="shared" si="40"/>
        <v>0</v>
      </c>
    </row>
    <row r="96" spans="1:12" x14ac:dyDescent="0.2">
      <c r="A96" s="1241" t="s">
        <v>485</v>
      </c>
      <c r="B96" s="1776">
        <f>B97+B98</f>
        <v>0</v>
      </c>
      <c r="C96" s="1776">
        <f t="shared" ref="C96:L96" si="41">C97+C98</f>
        <v>0</v>
      </c>
      <c r="D96" s="1776">
        <f t="shared" si="41"/>
        <v>37622.480000000003</v>
      </c>
      <c r="E96" s="1242">
        <f t="shared" si="41"/>
        <v>0</v>
      </c>
      <c r="F96" s="1242">
        <f t="shared" si="41"/>
        <v>0</v>
      </c>
      <c r="G96" s="1242">
        <f t="shared" si="41"/>
        <v>0</v>
      </c>
      <c r="H96" s="1242">
        <f t="shared" si="41"/>
        <v>0</v>
      </c>
      <c r="I96" s="1242">
        <f t="shared" si="41"/>
        <v>0</v>
      </c>
      <c r="J96" s="1242">
        <f t="shared" si="41"/>
        <v>0</v>
      </c>
      <c r="K96" s="1242">
        <f t="shared" si="41"/>
        <v>0</v>
      </c>
      <c r="L96" s="1242">
        <f t="shared" si="41"/>
        <v>0</v>
      </c>
    </row>
    <row r="97" spans="1:12" x14ac:dyDescent="0.2">
      <c r="A97" s="1238" t="s">
        <v>486</v>
      </c>
      <c r="B97" s="1776">
        <f>B59</f>
        <v>0</v>
      </c>
      <c r="C97" s="1776">
        <f t="shared" ref="C97:L97" si="42">C59</f>
        <v>0</v>
      </c>
      <c r="D97" s="1776">
        <f t="shared" si="42"/>
        <v>0</v>
      </c>
      <c r="E97" s="1239">
        <f t="shared" si="42"/>
        <v>0</v>
      </c>
      <c r="F97" s="1239">
        <f t="shared" si="42"/>
        <v>0</v>
      </c>
      <c r="G97" s="1239">
        <f t="shared" si="42"/>
        <v>0</v>
      </c>
      <c r="H97" s="1239">
        <f t="shared" si="42"/>
        <v>0</v>
      </c>
      <c r="I97" s="1239">
        <f t="shared" si="42"/>
        <v>0</v>
      </c>
      <c r="J97" s="1239">
        <f t="shared" si="42"/>
        <v>0</v>
      </c>
      <c r="K97" s="1239">
        <f t="shared" si="42"/>
        <v>0</v>
      </c>
      <c r="L97" s="1239">
        <f t="shared" si="42"/>
        <v>0</v>
      </c>
    </row>
    <row r="98" spans="1:12" x14ac:dyDescent="0.2">
      <c r="A98" s="1238" t="s">
        <v>484</v>
      </c>
      <c r="B98" s="1776">
        <f>B60</f>
        <v>0</v>
      </c>
      <c r="C98" s="1776">
        <f t="shared" ref="C98:L98" si="43">C60</f>
        <v>0</v>
      </c>
      <c r="D98" s="1776">
        <f t="shared" si="43"/>
        <v>37622.480000000003</v>
      </c>
      <c r="E98" s="1239">
        <f t="shared" si="43"/>
        <v>0</v>
      </c>
      <c r="F98" s="1239">
        <f t="shared" si="43"/>
        <v>0</v>
      </c>
      <c r="G98" s="1239">
        <f t="shared" si="43"/>
        <v>0</v>
      </c>
      <c r="H98" s="1239">
        <f t="shared" si="43"/>
        <v>0</v>
      </c>
      <c r="I98" s="1239">
        <f t="shared" si="43"/>
        <v>0</v>
      </c>
      <c r="J98" s="1239">
        <f t="shared" si="43"/>
        <v>0</v>
      </c>
      <c r="K98" s="1239">
        <f t="shared" si="43"/>
        <v>0</v>
      </c>
      <c r="L98" s="1239">
        <f t="shared" si="43"/>
        <v>0</v>
      </c>
    </row>
    <row r="99" spans="1:12" x14ac:dyDescent="0.2">
      <c r="A99" s="1241" t="s">
        <v>487</v>
      </c>
      <c r="B99" s="1776">
        <f>B79+B80+B81+B82+B83-B84-B85-B86-B87-B88-B89-B90-B91+B92+B93-B96</f>
        <v>0</v>
      </c>
      <c r="C99" s="1776">
        <f t="shared" ref="C99:L99" si="44">C79+C80+C81+C82+C83-C84-C85-C86-C87-C88-C89-C90-C91+C92+C93-C96</f>
        <v>0</v>
      </c>
      <c r="D99" s="1776">
        <f t="shared" si="44"/>
        <v>58598.690000000024</v>
      </c>
      <c r="E99" s="1242">
        <f t="shared" si="44"/>
        <v>52067.249999999854</v>
      </c>
      <c r="F99" s="1242">
        <f t="shared" si="44"/>
        <v>93897.530000000406</v>
      </c>
      <c r="G99" s="1242">
        <f t="shared" si="44"/>
        <v>87265.729999999981</v>
      </c>
      <c r="H99" s="1242">
        <f t="shared" si="44"/>
        <v>101993.64999999962</v>
      </c>
      <c r="I99" s="1242">
        <f t="shared" si="44"/>
        <v>104005.69000000018</v>
      </c>
      <c r="J99" s="1242">
        <f t="shared" si="44"/>
        <v>102796.2099999999</v>
      </c>
      <c r="K99" s="1242">
        <f t="shared" si="44"/>
        <v>104891.06000000058</v>
      </c>
      <c r="L99" s="1242">
        <f t="shared" si="44"/>
        <v>107028.59999999992</v>
      </c>
    </row>
    <row r="100" spans="1:12" x14ac:dyDescent="0.2">
      <c r="A100" s="1238" t="s">
        <v>488</v>
      </c>
      <c r="B100" s="1776">
        <f>B62</f>
        <v>0</v>
      </c>
      <c r="C100" s="1776">
        <f t="shared" ref="C100:L100" si="45">C62</f>
        <v>0</v>
      </c>
      <c r="D100" s="1776">
        <f t="shared" si="45"/>
        <v>15247.25</v>
      </c>
      <c r="E100" s="1239">
        <f t="shared" si="45"/>
        <v>8462.52</v>
      </c>
      <c r="F100" s="1239">
        <f t="shared" si="45"/>
        <v>18462.52</v>
      </c>
      <c r="G100" s="1239">
        <f t="shared" si="45"/>
        <v>18462.52</v>
      </c>
      <c r="H100" s="1239">
        <f t="shared" si="45"/>
        <v>18462.52</v>
      </c>
      <c r="I100" s="1239">
        <f t="shared" si="45"/>
        <v>18462.52</v>
      </c>
      <c r="J100" s="1239">
        <f t="shared" si="45"/>
        <v>8462.52</v>
      </c>
      <c r="K100" s="1239">
        <f t="shared" si="45"/>
        <v>8462.52</v>
      </c>
      <c r="L100" s="1239">
        <f t="shared" si="45"/>
        <v>8462.52</v>
      </c>
    </row>
    <row r="101" spans="1:12" x14ac:dyDescent="0.2">
      <c r="A101" s="1238" t="s">
        <v>489</v>
      </c>
      <c r="B101" s="1776">
        <f>B63</f>
        <v>0</v>
      </c>
      <c r="C101" s="1776">
        <f t="shared" ref="C101:L101" si="46">C63</f>
        <v>0</v>
      </c>
      <c r="D101" s="1776">
        <f t="shared" si="46"/>
        <v>0</v>
      </c>
      <c r="E101" s="1239">
        <f t="shared" si="46"/>
        <v>0</v>
      </c>
      <c r="F101" s="1239">
        <f t="shared" si="46"/>
        <v>0</v>
      </c>
      <c r="G101" s="1239">
        <f t="shared" si="46"/>
        <v>0</v>
      </c>
      <c r="H101" s="1239">
        <f t="shared" si="46"/>
        <v>0</v>
      </c>
      <c r="I101" s="1239">
        <f t="shared" si="46"/>
        <v>0</v>
      </c>
      <c r="J101" s="1239">
        <f t="shared" si="46"/>
        <v>0</v>
      </c>
      <c r="K101" s="1239">
        <f t="shared" si="46"/>
        <v>0</v>
      </c>
      <c r="L101" s="1239">
        <f t="shared" si="46"/>
        <v>0</v>
      </c>
    </row>
    <row r="102" spans="1:12" x14ac:dyDescent="0.2">
      <c r="A102" s="1241" t="s">
        <v>490</v>
      </c>
      <c r="B102" s="1776">
        <f>B99-B100-B101</f>
        <v>0</v>
      </c>
      <c r="C102" s="1776">
        <f t="shared" ref="C102:L102" si="47">C99-C100-C101</f>
        <v>0</v>
      </c>
      <c r="D102" s="1776">
        <f t="shared" si="47"/>
        <v>43351.440000000024</v>
      </c>
      <c r="E102" s="1242">
        <f t="shared" si="47"/>
        <v>43604.72999999985</v>
      </c>
      <c r="F102" s="1242">
        <f t="shared" si="47"/>
        <v>75435.010000000402</v>
      </c>
      <c r="G102" s="1242">
        <f t="shared" si="47"/>
        <v>68803.209999999977</v>
      </c>
      <c r="H102" s="1242">
        <f t="shared" si="47"/>
        <v>83531.129999999612</v>
      </c>
      <c r="I102" s="1242">
        <f t="shared" si="47"/>
        <v>85543.170000000173</v>
      </c>
      <c r="J102" s="1242">
        <f t="shared" si="47"/>
        <v>94333.6899999999</v>
      </c>
      <c r="K102" s="1242">
        <f t="shared" si="47"/>
        <v>96428.540000000576</v>
      </c>
      <c r="L102" s="1242">
        <f t="shared" si="47"/>
        <v>98566.079999999914</v>
      </c>
    </row>
    <row r="103" spans="1:12" x14ac:dyDescent="0.2">
      <c r="A103" s="1238" t="s">
        <v>491</v>
      </c>
      <c r="B103" s="1776">
        <f>B65</f>
        <v>0</v>
      </c>
      <c r="C103" s="1776">
        <f t="shared" ref="C103:L103" si="48">C65</f>
        <v>0</v>
      </c>
      <c r="D103" s="1776">
        <f t="shared" si="48"/>
        <v>0</v>
      </c>
      <c r="E103" s="1239">
        <f t="shared" si="48"/>
        <v>0</v>
      </c>
      <c r="F103" s="1239">
        <f t="shared" si="48"/>
        <v>0</v>
      </c>
      <c r="G103" s="1239">
        <f t="shared" si="48"/>
        <v>0</v>
      </c>
      <c r="H103" s="1239">
        <f t="shared" si="48"/>
        <v>0</v>
      </c>
      <c r="I103" s="1239">
        <f t="shared" si="48"/>
        <v>0</v>
      </c>
      <c r="J103" s="1239">
        <f t="shared" si="48"/>
        <v>0</v>
      </c>
      <c r="K103" s="1239">
        <f t="shared" si="48"/>
        <v>0</v>
      </c>
      <c r="L103" s="1239">
        <f t="shared" si="48"/>
        <v>0</v>
      </c>
    </row>
    <row r="104" spans="1:12" x14ac:dyDescent="0.2">
      <c r="A104" s="1238" t="s">
        <v>492</v>
      </c>
      <c r="B104" s="1776">
        <f>B66</f>
        <v>0</v>
      </c>
      <c r="C104" s="1776">
        <f t="shared" ref="C104:L104" si="49">C66</f>
        <v>0</v>
      </c>
      <c r="D104" s="1776">
        <f t="shared" si="49"/>
        <v>1053</v>
      </c>
      <c r="E104" s="1239">
        <f t="shared" si="49"/>
        <v>11672.26</v>
      </c>
      <c r="F104" s="1239">
        <f t="shared" si="49"/>
        <v>11657.01</v>
      </c>
      <c r="G104" s="1239">
        <f t="shared" si="49"/>
        <v>11596</v>
      </c>
      <c r="H104" s="1239">
        <f t="shared" si="49"/>
        <v>11534.98</v>
      </c>
      <c r="I104" s="1239">
        <f t="shared" si="49"/>
        <v>11473.97</v>
      </c>
      <c r="J104" s="1239">
        <f t="shared" si="49"/>
        <v>11428.21</v>
      </c>
      <c r="K104" s="1239">
        <f t="shared" si="49"/>
        <v>11428.21</v>
      </c>
      <c r="L104" s="1239">
        <f t="shared" si="49"/>
        <v>11428.21</v>
      </c>
    </row>
    <row r="105" spans="1:12" x14ac:dyDescent="0.2">
      <c r="A105" s="1241" t="s">
        <v>493</v>
      </c>
      <c r="B105" s="1776">
        <f>B102-B104+B103</f>
        <v>0</v>
      </c>
      <c r="C105" s="1776">
        <f t="shared" ref="C105:L105" si="50">C102-C104+C103</f>
        <v>0</v>
      </c>
      <c r="D105" s="1776">
        <f t="shared" si="50"/>
        <v>42298.440000000024</v>
      </c>
      <c r="E105" s="1242">
        <f t="shared" si="50"/>
        <v>31932.469999999848</v>
      </c>
      <c r="F105" s="1242">
        <f t="shared" si="50"/>
        <v>63778.0000000004</v>
      </c>
      <c r="G105" s="1242">
        <f t="shared" si="50"/>
        <v>57207.209999999977</v>
      </c>
      <c r="H105" s="1242">
        <f t="shared" si="50"/>
        <v>71996.149999999616</v>
      </c>
      <c r="I105" s="1242">
        <f t="shared" si="50"/>
        <v>74069.200000000172</v>
      </c>
      <c r="J105" s="1242">
        <f t="shared" si="50"/>
        <v>82905.479999999894</v>
      </c>
      <c r="K105" s="1242">
        <f t="shared" si="50"/>
        <v>85000.330000000569</v>
      </c>
      <c r="L105" s="1242">
        <f t="shared" si="50"/>
        <v>87137.869999999908</v>
      </c>
    </row>
    <row r="106" spans="1:12" x14ac:dyDescent="0.2">
      <c r="A106" s="1238" t="s">
        <v>494</v>
      </c>
      <c r="B106" s="1710">
        <f t="shared" ref="B106:L106" si="51">IF(B74=0,B68,B68+B74)</f>
        <v>0</v>
      </c>
      <c r="C106" s="1710">
        <f t="shared" si="51"/>
        <v>0</v>
      </c>
      <c r="D106" s="1710">
        <f t="shared" si="51"/>
        <v>10443.870000000001</v>
      </c>
      <c r="E106" s="1249">
        <f t="shared" si="51"/>
        <v>7184.800000000002</v>
      </c>
      <c r="F106" s="1249">
        <f t="shared" si="51"/>
        <v>14350.05</v>
      </c>
      <c r="G106" s="1249">
        <f t="shared" si="51"/>
        <v>12871.629999999996</v>
      </c>
      <c r="H106" s="1249">
        <f t="shared" si="51"/>
        <v>16199.139999999994</v>
      </c>
      <c r="I106" s="1249">
        <f t="shared" si="51"/>
        <v>16665.579999999994</v>
      </c>
      <c r="J106" s="1249">
        <f t="shared" si="51"/>
        <v>18653.73</v>
      </c>
      <c r="K106" s="1249">
        <f t="shared" si="51"/>
        <v>19125.07</v>
      </c>
      <c r="L106" s="1249">
        <f t="shared" si="51"/>
        <v>19606.03000000001</v>
      </c>
    </row>
    <row r="107" spans="1:12" x14ac:dyDescent="0.2">
      <c r="A107" s="1241" t="s">
        <v>495</v>
      </c>
      <c r="B107" s="1776">
        <f>B105-B106</f>
        <v>0</v>
      </c>
      <c r="C107" s="1776">
        <f t="shared" ref="C107:L107" si="52">C105-C106</f>
        <v>0</v>
      </c>
      <c r="D107" s="1776">
        <f t="shared" si="52"/>
        <v>31854.570000000022</v>
      </c>
      <c r="E107" s="1242">
        <f t="shared" si="52"/>
        <v>24747.669999999845</v>
      </c>
      <c r="F107" s="1242">
        <f t="shared" si="52"/>
        <v>49427.950000000405</v>
      </c>
      <c r="G107" s="1242">
        <f t="shared" si="52"/>
        <v>44335.57999999998</v>
      </c>
      <c r="H107" s="1242">
        <f t="shared" si="52"/>
        <v>55797.009999999624</v>
      </c>
      <c r="I107" s="1242">
        <f t="shared" si="52"/>
        <v>57403.620000000177</v>
      </c>
      <c r="J107" s="1242">
        <f t="shared" si="52"/>
        <v>64251.749999999898</v>
      </c>
      <c r="K107" s="1242">
        <f t="shared" si="52"/>
        <v>65875.260000000562</v>
      </c>
      <c r="L107" s="1242">
        <f t="shared" si="52"/>
        <v>67531.839999999895</v>
      </c>
    </row>
    <row r="108" spans="1:12" ht="12.75" thickBot="1" x14ac:dyDescent="0.25">
      <c r="A108" s="1245" t="s">
        <v>496</v>
      </c>
      <c r="B108" s="1777"/>
      <c r="C108" s="1777"/>
      <c r="D108" s="1777"/>
      <c r="E108" s="1251"/>
      <c r="F108" s="1246"/>
      <c r="G108" s="1246"/>
      <c r="H108" s="1246"/>
      <c r="I108" s="1246"/>
      <c r="J108" s="1246"/>
      <c r="K108" s="1247"/>
      <c r="L108" s="1247"/>
    </row>
    <row r="109" spans="1:12" ht="12.75" thickTop="1" x14ac:dyDescent="0.2"/>
    <row r="110" spans="1:12" x14ac:dyDescent="0.2">
      <c r="A110" s="1382" t="s">
        <v>633</v>
      </c>
      <c r="B110" s="1778">
        <f>ROUND(B79+B80+B81+B82+B83-B84-B85-B86-B87-B88-B89-B90-B91+B92+B94+B95-B97-B98-B100-B101+B103-B104-B106,2)</f>
        <v>0</v>
      </c>
      <c r="C110" s="1778">
        <f t="shared" ref="C110:L110" si="53">ROUND(C79+C80+C81+C82+C83-C84-C85-C86-C87-C88-C89-C90-C91+C92+C94+C95-C97-C98-C100-C101+C103-C104-C106,2)</f>
        <v>0</v>
      </c>
      <c r="D110" s="1778">
        <f t="shared" si="53"/>
        <v>31854.57</v>
      </c>
      <c r="E110" s="1383">
        <f t="shared" si="53"/>
        <v>24747.67</v>
      </c>
      <c r="F110" s="1383">
        <f t="shared" si="53"/>
        <v>49427.95</v>
      </c>
      <c r="G110" s="1383">
        <f t="shared" si="53"/>
        <v>44335.58</v>
      </c>
      <c r="H110" s="1383">
        <f t="shared" si="53"/>
        <v>55797.01</v>
      </c>
      <c r="I110" s="1383">
        <f t="shared" si="53"/>
        <v>57403.62</v>
      </c>
      <c r="J110" s="1383">
        <f t="shared" si="53"/>
        <v>64251.75</v>
      </c>
      <c r="K110" s="1383">
        <f t="shared" si="53"/>
        <v>65875.259999999995</v>
      </c>
      <c r="L110" s="1383">
        <f t="shared" si="53"/>
        <v>67531.839999999997</v>
      </c>
    </row>
    <row r="111" spans="1:12" x14ac:dyDescent="0.2">
      <c r="A111" s="1382" t="s">
        <v>634</v>
      </c>
      <c r="B111" s="1778">
        <f>ROUND(B35,2)</f>
        <v>0</v>
      </c>
      <c r="C111" s="1778">
        <f t="shared" ref="C111:L111" si="54">ROUND(C35,2)</f>
        <v>0</v>
      </c>
      <c r="D111" s="1778">
        <f t="shared" si="54"/>
        <v>31854.57</v>
      </c>
      <c r="E111" s="1383">
        <f t="shared" si="54"/>
        <v>24747.67</v>
      </c>
      <c r="F111" s="1383">
        <f t="shared" si="54"/>
        <v>49427.95</v>
      </c>
      <c r="G111" s="1383">
        <f t="shared" si="54"/>
        <v>44335.58</v>
      </c>
      <c r="H111" s="1383">
        <f t="shared" si="54"/>
        <v>55797.01</v>
      </c>
      <c r="I111" s="1383">
        <f t="shared" si="54"/>
        <v>57403.62</v>
      </c>
      <c r="J111" s="1383">
        <f t="shared" si="54"/>
        <v>64251.75</v>
      </c>
      <c r="K111" s="1383">
        <f t="shared" si="54"/>
        <v>65875.259999999995</v>
      </c>
      <c r="L111" s="1383">
        <f t="shared" si="54"/>
        <v>67531.839999999997</v>
      </c>
    </row>
    <row r="112" spans="1:12" x14ac:dyDescent="0.2">
      <c r="A112" s="1382" t="s">
        <v>68</v>
      </c>
      <c r="B112" s="1778">
        <f t="shared" ref="B112:D112" si="55">B110-B111</f>
        <v>0</v>
      </c>
      <c r="C112" s="1778">
        <f t="shared" si="55"/>
        <v>0</v>
      </c>
      <c r="D112" s="1778">
        <f t="shared" si="55"/>
        <v>0</v>
      </c>
      <c r="E112" s="1381">
        <f>E110-E111</f>
        <v>0</v>
      </c>
      <c r="F112" s="1381">
        <f t="shared" ref="F112:L112" si="56">F110-F111</f>
        <v>0</v>
      </c>
      <c r="G112" s="1381">
        <f t="shared" si="56"/>
        <v>0</v>
      </c>
      <c r="H112" s="1381">
        <f t="shared" si="56"/>
        <v>0</v>
      </c>
      <c r="I112" s="1381">
        <f t="shared" si="56"/>
        <v>0</v>
      </c>
      <c r="J112" s="1381">
        <f t="shared" si="56"/>
        <v>0</v>
      </c>
      <c r="K112" s="1381">
        <f t="shared" si="56"/>
        <v>0</v>
      </c>
      <c r="L112" s="1381">
        <f t="shared" si="56"/>
        <v>0</v>
      </c>
    </row>
    <row r="114" spans="1:12" x14ac:dyDescent="0.2">
      <c r="A114" s="1382" t="s">
        <v>65</v>
      </c>
      <c r="B114" s="1383">
        <f>B107+B100+B101</f>
        <v>0</v>
      </c>
      <c r="C114" s="1383">
        <f>C107+C100+C101+(C89-B89)</f>
        <v>0</v>
      </c>
      <c r="D114" s="1383">
        <f t="shared" ref="D114:L114" si="57">D107+D100+D101+(D89-C89)</f>
        <v>47101.820000000022</v>
      </c>
      <c r="E114" s="1383">
        <f t="shared" si="57"/>
        <v>33210.189999999842</v>
      </c>
      <c r="F114" s="1383">
        <f t="shared" si="57"/>
        <v>67890.470000000409</v>
      </c>
      <c r="G114" s="1383">
        <f t="shared" si="57"/>
        <v>62798.099999999977</v>
      </c>
      <c r="H114" s="1383">
        <f t="shared" si="57"/>
        <v>74259.52999999962</v>
      </c>
      <c r="I114" s="1383">
        <f t="shared" si="57"/>
        <v>75866.140000000174</v>
      </c>
      <c r="J114" s="1383">
        <f t="shared" si="57"/>
        <v>72714.269999999902</v>
      </c>
      <c r="K114" s="1383">
        <f t="shared" si="57"/>
        <v>74337.780000000566</v>
      </c>
      <c r="L114" s="1383">
        <f t="shared" si="57"/>
        <v>75994.359999999899</v>
      </c>
    </row>
  </sheetData>
  <mergeCells count="4">
    <mergeCell ref="S17:S18"/>
    <mergeCell ref="A1:L1"/>
    <mergeCell ref="A39:L39"/>
    <mergeCell ref="A77:L7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22">
    <tabColor theme="4"/>
  </sheetPr>
  <dimension ref="A1:EA210"/>
  <sheetViews>
    <sheetView topLeftCell="A49" workbookViewId="0">
      <selection activeCell="F33" sqref="F33"/>
    </sheetView>
  </sheetViews>
  <sheetFormatPr defaultColWidth="9.140625" defaultRowHeight="11.25" outlineLevelRow="1" outlineLevelCol="1" x14ac:dyDescent="0.2"/>
  <cols>
    <col min="1" max="1" width="39.85546875" style="637" bestFit="1" customWidth="1"/>
    <col min="2" max="4" width="9.140625" style="637" customWidth="1" outlineLevel="1"/>
    <col min="5" max="10" width="9.140625" style="637" customWidth="1"/>
    <col min="11" max="12" width="9.140625" style="636" customWidth="1"/>
    <col min="13" max="131" width="9.140625" style="636"/>
    <col min="132" max="16384" width="9.140625" style="637"/>
  </cols>
  <sheetData>
    <row r="1" spans="1:131" x14ac:dyDescent="0.2">
      <c r="A1" s="1963" t="s">
        <v>1184</v>
      </c>
      <c r="B1" s="1963"/>
      <c r="C1" s="1963"/>
      <c r="D1" s="1963"/>
      <c r="E1" s="1963"/>
      <c r="F1" s="1963"/>
      <c r="G1" s="1963"/>
      <c r="H1" s="1963"/>
      <c r="I1" s="1963"/>
      <c r="J1" s="1963"/>
      <c r="K1" s="1963"/>
      <c r="L1" s="1963"/>
    </row>
    <row r="2" spans="1:131" s="1252" customFormat="1" outlineLevel="1" x14ac:dyDescent="0.2">
      <c r="A2" s="1263" t="s">
        <v>497</v>
      </c>
      <c r="B2" s="1727">
        <f t="shared" ref="B2:C2" si="0">C2-1</f>
        <v>2017</v>
      </c>
      <c r="C2" s="1727">
        <f t="shared" si="0"/>
        <v>2018</v>
      </c>
      <c r="D2" s="1727">
        <f>E2-1</f>
        <v>2019</v>
      </c>
      <c r="E2" s="1727">
        <f>Pressupostos!C11</f>
        <v>2020</v>
      </c>
      <c r="F2" s="1727">
        <f>E2+1</f>
        <v>2021</v>
      </c>
      <c r="G2" s="1727">
        <f t="shared" ref="G2:J2" si="1">F2+1</f>
        <v>2022</v>
      </c>
      <c r="H2" s="1727">
        <f t="shared" si="1"/>
        <v>2023</v>
      </c>
      <c r="I2" s="1727">
        <f t="shared" si="1"/>
        <v>2024</v>
      </c>
      <c r="J2" s="1727">
        <f t="shared" si="1"/>
        <v>2025</v>
      </c>
      <c r="K2" s="1727">
        <f t="shared" ref="K2:L2" si="2">J2+1</f>
        <v>2026</v>
      </c>
      <c r="L2" s="1727">
        <f t="shared" si="2"/>
        <v>2027</v>
      </c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6"/>
      <c r="X2" s="636"/>
      <c r="Y2" s="636"/>
      <c r="Z2" s="636"/>
      <c r="AA2" s="636"/>
      <c r="AB2" s="636"/>
      <c r="AC2" s="636"/>
      <c r="AD2" s="636"/>
      <c r="AE2" s="636"/>
      <c r="AF2" s="636"/>
      <c r="AG2" s="636"/>
      <c r="AH2" s="636"/>
      <c r="AI2" s="636"/>
      <c r="AJ2" s="636"/>
      <c r="AK2" s="636"/>
      <c r="AL2" s="636"/>
      <c r="AM2" s="636"/>
      <c r="AN2" s="636"/>
      <c r="AO2" s="636"/>
      <c r="AP2" s="636"/>
      <c r="AQ2" s="636"/>
      <c r="AR2" s="636"/>
      <c r="AS2" s="636"/>
      <c r="AT2" s="636"/>
      <c r="AU2" s="636"/>
      <c r="AV2" s="636"/>
      <c r="AW2" s="636"/>
      <c r="AX2" s="636"/>
      <c r="AY2" s="636"/>
      <c r="AZ2" s="636"/>
      <c r="BA2" s="636"/>
      <c r="BB2" s="636"/>
      <c r="BC2" s="636"/>
      <c r="BD2" s="636"/>
      <c r="BE2" s="636"/>
      <c r="BF2" s="636"/>
      <c r="BG2" s="636"/>
      <c r="BH2" s="636"/>
      <c r="BI2" s="636"/>
      <c r="BJ2" s="636"/>
      <c r="BK2" s="636"/>
      <c r="BL2" s="636"/>
      <c r="BM2" s="636"/>
      <c r="BN2" s="636"/>
      <c r="BO2" s="636"/>
      <c r="BP2" s="636"/>
      <c r="BQ2" s="636"/>
      <c r="BR2" s="636"/>
      <c r="BS2" s="636"/>
      <c r="BT2" s="636"/>
      <c r="BU2" s="636"/>
      <c r="BV2" s="636"/>
      <c r="BW2" s="636"/>
      <c r="BX2" s="636"/>
      <c r="BY2" s="636"/>
      <c r="BZ2" s="636"/>
      <c r="CA2" s="636"/>
      <c r="CB2" s="636"/>
      <c r="CC2" s="636"/>
      <c r="CD2" s="636"/>
      <c r="CE2" s="636"/>
      <c r="CF2" s="636"/>
      <c r="CG2" s="636"/>
      <c r="CH2" s="636"/>
      <c r="CI2" s="636"/>
      <c r="CJ2" s="636"/>
      <c r="CK2" s="636"/>
      <c r="CL2" s="636"/>
      <c r="CM2" s="636"/>
      <c r="CN2" s="636"/>
      <c r="CO2" s="636"/>
      <c r="CP2" s="636"/>
      <c r="CQ2" s="636"/>
      <c r="CR2" s="636"/>
      <c r="CS2" s="636"/>
      <c r="CT2" s="636"/>
      <c r="CU2" s="636"/>
      <c r="CV2" s="636"/>
      <c r="CW2" s="636"/>
      <c r="CX2" s="636"/>
      <c r="CY2" s="636"/>
      <c r="CZ2" s="636"/>
      <c r="DA2" s="636"/>
      <c r="DB2" s="636"/>
      <c r="DC2" s="636"/>
      <c r="DD2" s="636"/>
      <c r="DE2" s="636"/>
      <c r="DF2" s="636"/>
      <c r="DG2" s="636"/>
      <c r="DH2" s="636"/>
      <c r="DI2" s="636"/>
      <c r="DJ2" s="636"/>
      <c r="DK2" s="636"/>
      <c r="DL2" s="636"/>
      <c r="DM2" s="636"/>
      <c r="DN2" s="636"/>
      <c r="DO2" s="636"/>
      <c r="DP2" s="636"/>
      <c r="DQ2" s="636"/>
      <c r="DR2" s="636"/>
      <c r="DS2" s="636"/>
      <c r="DT2" s="636"/>
      <c r="DU2" s="636"/>
      <c r="DV2" s="636"/>
      <c r="DW2" s="636"/>
      <c r="DX2" s="636"/>
      <c r="DY2" s="636"/>
      <c r="DZ2" s="636"/>
      <c r="EA2" s="636"/>
    </row>
    <row r="3" spans="1:131" s="1252" customFormat="1" ht="12" outlineLevel="1" thickBot="1" x14ac:dyDescent="0.25">
      <c r="A3" s="1253" t="s">
        <v>498</v>
      </c>
      <c r="B3" s="1254"/>
      <c r="C3" s="1254"/>
      <c r="D3" s="1254"/>
      <c r="E3" s="1254"/>
      <c r="F3" s="1254"/>
      <c r="G3" s="1254"/>
      <c r="H3" s="1254"/>
      <c r="I3" s="1254"/>
      <c r="J3" s="1254"/>
      <c r="K3" s="1254"/>
      <c r="L3" s="1254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  <c r="AD3" s="636"/>
      <c r="AE3" s="636"/>
      <c r="AF3" s="636"/>
      <c r="AG3" s="636"/>
      <c r="AH3" s="636"/>
      <c r="AI3" s="636"/>
      <c r="AJ3" s="636"/>
      <c r="AK3" s="636"/>
      <c r="AL3" s="636"/>
      <c r="AM3" s="636"/>
      <c r="AN3" s="636"/>
      <c r="AO3" s="636"/>
      <c r="AP3" s="636"/>
      <c r="AQ3" s="636"/>
      <c r="AR3" s="636"/>
      <c r="AS3" s="636"/>
      <c r="AT3" s="636"/>
      <c r="AU3" s="636"/>
      <c r="AV3" s="636"/>
      <c r="AW3" s="636"/>
      <c r="AX3" s="636"/>
      <c r="AY3" s="636"/>
      <c r="AZ3" s="636"/>
      <c r="BA3" s="636"/>
      <c r="BB3" s="636"/>
      <c r="BC3" s="636"/>
      <c r="BD3" s="636"/>
      <c r="BE3" s="636"/>
      <c r="BF3" s="636"/>
      <c r="BG3" s="636"/>
      <c r="BH3" s="636"/>
      <c r="BI3" s="636"/>
      <c r="BJ3" s="636"/>
      <c r="BK3" s="636"/>
      <c r="BL3" s="636"/>
      <c r="BM3" s="636"/>
      <c r="BN3" s="636"/>
      <c r="BO3" s="636"/>
      <c r="BP3" s="636"/>
      <c r="BQ3" s="636"/>
      <c r="BR3" s="636"/>
      <c r="BS3" s="636"/>
      <c r="BT3" s="636"/>
      <c r="BU3" s="636"/>
      <c r="BV3" s="636"/>
      <c r="BW3" s="636"/>
      <c r="BX3" s="636"/>
      <c r="BY3" s="636"/>
      <c r="BZ3" s="636"/>
      <c r="CA3" s="636"/>
      <c r="CB3" s="636"/>
      <c r="CC3" s="636"/>
      <c r="CD3" s="636"/>
      <c r="CE3" s="636"/>
      <c r="CF3" s="636"/>
      <c r="CG3" s="636"/>
      <c r="CH3" s="636"/>
      <c r="CI3" s="636"/>
      <c r="CJ3" s="636"/>
      <c r="CK3" s="636"/>
      <c r="CL3" s="636"/>
      <c r="CM3" s="636"/>
      <c r="CN3" s="636"/>
      <c r="CO3" s="636"/>
      <c r="CP3" s="636"/>
      <c r="CQ3" s="636"/>
      <c r="CR3" s="636"/>
      <c r="CS3" s="636"/>
      <c r="CT3" s="636"/>
      <c r="CU3" s="636"/>
      <c r="CV3" s="636"/>
      <c r="CW3" s="636"/>
      <c r="CX3" s="636"/>
      <c r="CY3" s="636"/>
      <c r="CZ3" s="636"/>
      <c r="DA3" s="636"/>
      <c r="DB3" s="636"/>
      <c r="DC3" s="636"/>
      <c r="DD3" s="636"/>
      <c r="DE3" s="636"/>
      <c r="DF3" s="636"/>
      <c r="DG3" s="636"/>
      <c r="DH3" s="636"/>
      <c r="DI3" s="636"/>
      <c r="DJ3" s="636"/>
      <c r="DK3" s="636"/>
      <c r="DL3" s="636"/>
      <c r="DM3" s="636"/>
      <c r="DN3" s="636"/>
      <c r="DO3" s="636"/>
      <c r="DP3" s="636"/>
      <c r="DQ3" s="636"/>
      <c r="DR3" s="636"/>
      <c r="DS3" s="636"/>
      <c r="DT3" s="636"/>
      <c r="DU3" s="636"/>
      <c r="DV3" s="636"/>
      <c r="DW3" s="636"/>
      <c r="DX3" s="636"/>
      <c r="DY3" s="636"/>
      <c r="DZ3" s="636"/>
      <c r="EA3" s="636"/>
    </row>
    <row r="4" spans="1:131" s="636" customFormat="1" outlineLevel="1" x14ac:dyDescent="0.2">
      <c r="A4" s="1720" t="s">
        <v>499</v>
      </c>
      <c r="B4" s="1721">
        <f>Balanço!C7</f>
        <v>0</v>
      </c>
      <c r="C4" s="1721">
        <f>Balanço!D7</f>
        <v>0</v>
      </c>
      <c r="D4" s="1721">
        <f>Balanço!E7</f>
        <v>84625.24</v>
      </c>
      <c r="E4" s="1722">
        <f>'Balanço Futuro'!C8</f>
        <v>76162.716</v>
      </c>
      <c r="F4" s="1722">
        <f>'Balanço Futuro'!D8</f>
        <v>97700.191999999995</v>
      </c>
      <c r="G4" s="1722">
        <f>'Balanço Futuro'!E8</f>
        <v>79237.668000000005</v>
      </c>
      <c r="H4" s="1722">
        <f>'Balanço Futuro'!F8</f>
        <v>60775.144</v>
      </c>
      <c r="I4" s="1722">
        <f>'Balanço Futuro'!G8</f>
        <v>42312.619999999995</v>
      </c>
      <c r="J4" s="1722">
        <f>'Balanço Futuro'!H8</f>
        <v>33850.09599999999</v>
      </c>
      <c r="K4" s="1722">
        <f>'Balanço Futuro'!I8</f>
        <v>25387.571999999986</v>
      </c>
      <c r="L4" s="1722">
        <f>'Balanço Futuro'!J8</f>
        <v>16925.047999999981</v>
      </c>
    </row>
    <row r="5" spans="1:131" s="636" customFormat="1" outlineLevel="1" x14ac:dyDescent="0.2">
      <c r="A5" s="1715" t="s">
        <v>500</v>
      </c>
      <c r="B5" s="1721">
        <f>Balanço!C8</f>
        <v>0</v>
      </c>
      <c r="C5" s="1721">
        <f>Balanço!D8</f>
        <v>0</v>
      </c>
      <c r="D5" s="1721">
        <f>Balanço!E8</f>
        <v>102152.86</v>
      </c>
      <c r="E5" s="1722">
        <f>'Balanço Futuro'!C9</f>
        <v>102152.86</v>
      </c>
      <c r="F5" s="1722">
        <f>'Balanço Futuro'!D9</f>
        <v>102152.86</v>
      </c>
      <c r="G5" s="1722">
        <f>'Balanço Futuro'!E9</f>
        <v>102152.86</v>
      </c>
      <c r="H5" s="1722">
        <f>'Balanço Futuro'!F9</f>
        <v>102152.86</v>
      </c>
      <c r="I5" s="1722">
        <f>'Balanço Futuro'!G9</f>
        <v>102152.86</v>
      </c>
      <c r="J5" s="1722">
        <f>'Balanço Futuro'!H9</f>
        <v>102152.86</v>
      </c>
      <c r="K5" s="1722">
        <f>'Balanço Futuro'!I9</f>
        <v>102152.86</v>
      </c>
      <c r="L5" s="1722">
        <f>'Balanço Futuro'!J9</f>
        <v>102152.86</v>
      </c>
    </row>
    <row r="6" spans="1:131" s="636" customFormat="1" outlineLevel="1" x14ac:dyDescent="0.2">
      <c r="A6" s="1715" t="s">
        <v>501</v>
      </c>
      <c r="B6" s="1721">
        <f>Balanço!C9</f>
        <v>0</v>
      </c>
      <c r="C6" s="1721">
        <f>Balanço!D9</f>
        <v>0</v>
      </c>
      <c r="D6" s="1721">
        <f>Balanço!E9</f>
        <v>0</v>
      </c>
      <c r="E6" s="1722">
        <f>'Balanço Futuro'!C10</f>
        <v>0</v>
      </c>
      <c r="F6" s="1722">
        <f>'Balanço Futuro'!D10</f>
        <v>0</v>
      </c>
      <c r="G6" s="1722">
        <f>'Balanço Futuro'!E10</f>
        <v>0</v>
      </c>
      <c r="H6" s="1722">
        <f>'Balanço Futuro'!F10</f>
        <v>0</v>
      </c>
      <c r="I6" s="1722">
        <f>'Balanço Futuro'!G10</f>
        <v>0</v>
      </c>
      <c r="J6" s="1722">
        <f>'Balanço Futuro'!H10</f>
        <v>0</v>
      </c>
      <c r="K6" s="1722">
        <f>'Balanço Futuro'!I10</f>
        <v>0</v>
      </c>
      <c r="L6" s="1722">
        <f>'Balanço Futuro'!J10</f>
        <v>0</v>
      </c>
    </row>
    <row r="7" spans="1:131" s="636" customFormat="1" outlineLevel="1" x14ac:dyDescent="0.2">
      <c r="A7" s="1715" t="s">
        <v>502</v>
      </c>
      <c r="B7" s="1721">
        <f>Balanço!C10</f>
        <v>0</v>
      </c>
      <c r="C7" s="1721">
        <f>Balanço!D10</f>
        <v>0</v>
      </c>
      <c r="D7" s="1721">
        <f>Balanço!E10</f>
        <v>0</v>
      </c>
      <c r="E7" s="1722">
        <f>'Balanço Futuro'!C11</f>
        <v>0</v>
      </c>
      <c r="F7" s="1722">
        <f>'Balanço Futuro'!D11</f>
        <v>0</v>
      </c>
      <c r="G7" s="1722">
        <f>'Balanço Futuro'!E11</f>
        <v>0</v>
      </c>
      <c r="H7" s="1722">
        <f>'Balanço Futuro'!F11</f>
        <v>0</v>
      </c>
      <c r="I7" s="1722">
        <f>'Balanço Futuro'!G11</f>
        <v>0</v>
      </c>
      <c r="J7" s="1722">
        <f>'Balanço Futuro'!H11</f>
        <v>0</v>
      </c>
      <c r="K7" s="1722">
        <f>'Balanço Futuro'!I11</f>
        <v>0</v>
      </c>
      <c r="L7" s="1722">
        <f>'Balanço Futuro'!J11</f>
        <v>0</v>
      </c>
    </row>
    <row r="8" spans="1:131" s="636" customFormat="1" outlineLevel="1" x14ac:dyDescent="0.2">
      <c r="A8" s="1715" t="s">
        <v>503</v>
      </c>
      <c r="B8" s="1721">
        <f>Balanço!C11</f>
        <v>0</v>
      </c>
      <c r="C8" s="1721">
        <f>Balanço!D11</f>
        <v>0</v>
      </c>
      <c r="D8" s="1721">
        <f>Balanço!E11</f>
        <v>0</v>
      </c>
      <c r="E8" s="1722">
        <f>'Balanço Futuro'!C12</f>
        <v>0</v>
      </c>
      <c r="F8" s="1722">
        <f>'Balanço Futuro'!D12</f>
        <v>0</v>
      </c>
      <c r="G8" s="1722">
        <f>'Balanço Futuro'!E12</f>
        <v>0</v>
      </c>
      <c r="H8" s="1722">
        <f>'Balanço Futuro'!F12</f>
        <v>0</v>
      </c>
      <c r="I8" s="1722">
        <f>'Balanço Futuro'!G12</f>
        <v>0</v>
      </c>
      <c r="J8" s="1722">
        <f>'Balanço Futuro'!H12</f>
        <v>0</v>
      </c>
      <c r="K8" s="1722">
        <f>'Balanço Futuro'!I12</f>
        <v>0</v>
      </c>
      <c r="L8" s="1722">
        <f>'Balanço Futuro'!J12</f>
        <v>0</v>
      </c>
      <c r="O8" s="1714"/>
    </row>
    <row r="9" spans="1:131" s="636" customFormat="1" outlineLevel="1" x14ac:dyDescent="0.2">
      <c r="A9" s="1715" t="s">
        <v>504</v>
      </c>
      <c r="B9" s="1721">
        <f>Balanço!C12</f>
        <v>0</v>
      </c>
      <c r="C9" s="1721">
        <f>Balanço!D12</f>
        <v>0</v>
      </c>
      <c r="D9" s="1721">
        <f>Balanço!E12</f>
        <v>0</v>
      </c>
      <c r="E9" s="1722">
        <f>'Balanço Futuro'!C13</f>
        <v>0</v>
      </c>
      <c r="F9" s="1722">
        <f>'Balanço Futuro'!D13</f>
        <v>0</v>
      </c>
      <c r="G9" s="1722">
        <f>'Balanço Futuro'!E13</f>
        <v>0</v>
      </c>
      <c r="H9" s="1722">
        <f>'Balanço Futuro'!F13</f>
        <v>0</v>
      </c>
      <c r="I9" s="1722">
        <f>'Balanço Futuro'!G13</f>
        <v>0</v>
      </c>
      <c r="J9" s="1722">
        <f>'Balanço Futuro'!H13</f>
        <v>0</v>
      </c>
      <c r="K9" s="1722">
        <f>'Balanço Futuro'!I13</f>
        <v>0</v>
      </c>
      <c r="L9" s="1722">
        <f>'Balanço Futuro'!J13</f>
        <v>0</v>
      </c>
    </row>
    <row r="10" spans="1:131" s="636" customFormat="1" outlineLevel="1" x14ac:dyDescent="0.2">
      <c r="A10" s="1715" t="s">
        <v>505</v>
      </c>
      <c r="B10" s="1721">
        <f>Balanço!C13</f>
        <v>0</v>
      </c>
      <c r="C10" s="1721">
        <f>Balanço!D13</f>
        <v>0</v>
      </c>
      <c r="D10" s="1721">
        <f>Balanço!E13</f>
        <v>0</v>
      </c>
      <c r="E10" s="1722">
        <f>'Balanço Futuro'!C14</f>
        <v>0</v>
      </c>
      <c r="F10" s="1722">
        <f>'Balanço Futuro'!D14</f>
        <v>0</v>
      </c>
      <c r="G10" s="1722">
        <f>'Balanço Futuro'!E14</f>
        <v>0</v>
      </c>
      <c r="H10" s="1722">
        <f>'Balanço Futuro'!F14</f>
        <v>0</v>
      </c>
      <c r="I10" s="1722">
        <f>'Balanço Futuro'!G14</f>
        <v>0</v>
      </c>
      <c r="J10" s="1722">
        <f>'Balanço Futuro'!H14</f>
        <v>0</v>
      </c>
      <c r="K10" s="1722">
        <f>'Balanço Futuro'!I14</f>
        <v>0</v>
      </c>
      <c r="L10" s="1722">
        <f>'Balanço Futuro'!J14</f>
        <v>0</v>
      </c>
    </row>
    <row r="11" spans="1:131" s="636" customFormat="1" outlineLevel="1" x14ac:dyDescent="0.2">
      <c r="A11" s="1715" t="s">
        <v>506</v>
      </c>
      <c r="B11" s="1721">
        <f>Balanço!C14</f>
        <v>0</v>
      </c>
      <c r="C11" s="1721">
        <f>Balanço!D14</f>
        <v>0</v>
      </c>
      <c r="D11" s="1721">
        <f>Balanço!E14</f>
        <v>0</v>
      </c>
      <c r="E11" s="1722">
        <f>'Balanço Futuro'!C15</f>
        <v>0</v>
      </c>
      <c r="F11" s="1722">
        <f>'Balanço Futuro'!D15</f>
        <v>0</v>
      </c>
      <c r="G11" s="1722">
        <f>'Balanço Futuro'!E15</f>
        <v>0</v>
      </c>
      <c r="H11" s="1722">
        <f>'Balanço Futuro'!F15</f>
        <v>0</v>
      </c>
      <c r="I11" s="1722">
        <f>'Balanço Futuro'!G15</f>
        <v>0</v>
      </c>
      <c r="J11" s="1722">
        <f>'Balanço Futuro'!H15</f>
        <v>0</v>
      </c>
      <c r="K11" s="1722">
        <f>'Balanço Futuro'!I15</f>
        <v>0</v>
      </c>
      <c r="L11" s="1722">
        <f>'Balanço Futuro'!J15</f>
        <v>0</v>
      </c>
    </row>
    <row r="12" spans="1:131" s="636" customFormat="1" outlineLevel="1" x14ac:dyDescent="0.2">
      <c r="A12" s="1715" t="s">
        <v>507</v>
      </c>
      <c r="B12" s="1721">
        <f>Balanço!C15</f>
        <v>0</v>
      </c>
      <c r="C12" s="1721">
        <f>Balanço!D15</f>
        <v>0</v>
      </c>
      <c r="D12" s="1721">
        <f>Balanço!E15</f>
        <v>347.82</v>
      </c>
      <c r="E12" s="1722">
        <f>'Balanço Futuro'!C16</f>
        <v>347.82</v>
      </c>
      <c r="F12" s="1722">
        <f>'Balanço Futuro'!D16</f>
        <v>347.82</v>
      </c>
      <c r="G12" s="1722">
        <f>'Balanço Futuro'!E16</f>
        <v>347.82</v>
      </c>
      <c r="H12" s="1722">
        <f>'Balanço Futuro'!F16</f>
        <v>347.82</v>
      </c>
      <c r="I12" s="1722">
        <f>'Balanço Futuro'!G16</f>
        <v>347.82</v>
      </c>
      <c r="J12" s="1722">
        <f>'Balanço Futuro'!H16</f>
        <v>347.82</v>
      </c>
      <c r="K12" s="1722">
        <f>'Balanço Futuro'!I16</f>
        <v>347.82</v>
      </c>
      <c r="L12" s="1722">
        <f>'Balanço Futuro'!J16</f>
        <v>347.82</v>
      </c>
    </row>
    <row r="13" spans="1:131" s="636" customFormat="1" outlineLevel="1" x14ac:dyDescent="0.2">
      <c r="A13" s="1715" t="s">
        <v>508</v>
      </c>
      <c r="B13" s="1721">
        <f>Balanço!C16</f>
        <v>0</v>
      </c>
      <c r="C13" s="1721">
        <f>Balanço!D16</f>
        <v>0</v>
      </c>
      <c r="D13" s="1721">
        <f>Balanço!E16</f>
        <v>0</v>
      </c>
      <c r="E13" s="1722">
        <f>'Balanço Futuro'!C17</f>
        <v>0</v>
      </c>
      <c r="F13" s="1722">
        <f>'Balanço Futuro'!D17</f>
        <v>0</v>
      </c>
      <c r="G13" s="1722">
        <f>'Balanço Futuro'!E17</f>
        <v>0</v>
      </c>
      <c r="H13" s="1722">
        <f>'Balanço Futuro'!F17</f>
        <v>0</v>
      </c>
      <c r="I13" s="1722">
        <f>'Balanço Futuro'!G17</f>
        <v>0</v>
      </c>
      <c r="J13" s="1722">
        <f>'Balanço Futuro'!H17</f>
        <v>0</v>
      </c>
      <c r="K13" s="1722">
        <f>'Balanço Futuro'!I17</f>
        <v>0</v>
      </c>
      <c r="L13" s="1722">
        <f>'Balanço Futuro'!J17</f>
        <v>0</v>
      </c>
    </row>
    <row r="14" spans="1:131" s="636" customFormat="1" ht="12" outlineLevel="1" thickBot="1" x14ac:dyDescent="0.25">
      <c r="A14" s="1723" t="s">
        <v>509</v>
      </c>
      <c r="B14" s="1721">
        <f>Balanço!C17</f>
        <v>0</v>
      </c>
      <c r="C14" s="1721">
        <f>Balanço!D17</f>
        <v>0</v>
      </c>
      <c r="D14" s="1721">
        <f>Balanço!E17</f>
        <v>0</v>
      </c>
      <c r="E14" s="1722">
        <f>'Balanço Futuro'!C18</f>
        <v>0</v>
      </c>
      <c r="F14" s="1722">
        <f>'Balanço Futuro'!D18</f>
        <v>0</v>
      </c>
      <c r="G14" s="1722">
        <f>'Balanço Futuro'!E18</f>
        <v>0</v>
      </c>
      <c r="H14" s="1722">
        <f>'Balanço Futuro'!F18</f>
        <v>0</v>
      </c>
      <c r="I14" s="1722">
        <f>'Balanço Futuro'!G18</f>
        <v>0</v>
      </c>
      <c r="J14" s="1722">
        <f>'Balanço Futuro'!H18</f>
        <v>0</v>
      </c>
      <c r="K14" s="1722">
        <f>'Balanço Futuro'!I18</f>
        <v>0</v>
      </c>
      <c r="L14" s="1722">
        <f>'Balanço Futuro'!J18</f>
        <v>0</v>
      </c>
    </row>
    <row r="15" spans="1:131" s="1252" customFormat="1" ht="12" outlineLevel="1" thickBot="1" x14ac:dyDescent="0.25">
      <c r="A15" s="1724" t="s">
        <v>510</v>
      </c>
      <c r="B15" s="1725"/>
      <c r="C15" s="1725"/>
      <c r="D15" s="1725"/>
      <c r="E15" s="1725"/>
      <c r="F15" s="1725"/>
      <c r="G15" s="1725"/>
      <c r="H15" s="1725"/>
      <c r="I15" s="1725"/>
      <c r="J15" s="1725"/>
      <c r="K15" s="1725"/>
      <c r="L15" s="1725"/>
      <c r="M15" s="636"/>
      <c r="N15" s="636"/>
      <c r="O15" s="636"/>
      <c r="P15" s="636"/>
      <c r="Q15" s="636"/>
      <c r="R15" s="636"/>
      <c r="S15" s="636"/>
      <c r="T15" s="636"/>
      <c r="U15" s="636"/>
      <c r="V15" s="636"/>
      <c r="W15" s="636"/>
      <c r="X15" s="636"/>
      <c r="Y15" s="636"/>
      <c r="Z15" s="636"/>
      <c r="AA15" s="636"/>
      <c r="AB15" s="636"/>
      <c r="AC15" s="636"/>
      <c r="AD15" s="636"/>
      <c r="AE15" s="636"/>
      <c r="AF15" s="636"/>
      <c r="AG15" s="636"/>
      <c r="AH15" s="636"/>
      <c r="AI15" s="636"/>
      <c r="AJ15" s="636"/>
      <c r="AK15" s="636"/>
      <c r="AL15" s="636"/>
      <c r="AM15" s="636"/>
      <c r="AN15" s="636"/>
      <c r="AO15" s="636"/>
      <c r="AP15" s="636"/>
      <c r="AQ15" s="636"/>
      <c r="AR15" s="636"/>
      <c r="AS15" s="636"/>
      <c r="AT15" s="636"/>
      <c r="AU15" s="636"/>
      <c r="AV15" s="636"/>
      <c r="AW15" s="636"/>
      <c r="AX15" s="636"/>
      <c r="AY15" s="636"/>
      <c r="AZ15" s="636"/>
      <c r="BA15" s="636"/>
      <c r="BB15" s="636"/>
      <c r="BC15" s="636"/>
      <c r="BD15" s="636"/>
      <c r="BE15" s="636"/>
      <c r="BF15" s="636"/>
      <c r="BG15" s="636"/>
      <c r="BH15" s="636"/>
      <c r="BI15" s="636"/>
      <c r="BJ15" s="636"/>
      <c r="BK15" s="636"/>
      <c r="BL15" s="636"/>
      <c r="BM15" s="636"/>
      <c r="BN15" s="636"/>
      <c r="BO15" s="636"/>
      <c r="BP15" s="636"/>
      <c r="BQ15" s="636"/>
      <c r="BR15" s="636"/>
      <c r="BS15" s="636"/>
      <c r="BT15" s="636"/>
      <c r="BU15" s="636"/>
      <c r="BV15" s="636"/>
      <c r="BW15" s="636"/>
      <c r="BX15" s="636"/>
      <c r="BY15" s="636"/>
      <c r="BZ15" s="636"/>
      <c r="CA15" s="636"/>
      <c r="CB15" s="636"/>
      <c r="CC15" s="636"/>
      <c r="CD15" s="636"/>
      <c r="CE15" s="636"/>
      <c r="CF15" s="636"/>
      <c r="CG15" s="636"/>
      <c r="CH15" s="636"/>
      <c r="CI15" s="636"/>
      <c r="CJ15" s="636"/>
      <c r="CK15" s="636"/>
      <c r="CL15" s="636"/>
      <c r="CM15" s="636"/>
      <c r="CN15" s="636"/>
      <c r="CO15" s="636"/>
      <c r="CP15" s="636"/>
      <c r="CQ15" s="636"/>
      <c r="CR15" s="636"/>
      <c r="CS15" s="636"/>
      <c r="CT15" s="636"/>
      <c r="CU15" s="636"/>
      <c r="CV15" s="636"/>
      <c r="CW15" s="636"/>
      <c r="CX15" s="636"/>
      <c r="CY15" s="636"/>
      <c r="CZ15" s="636"/>
      <c r="DA15" s="636"/>
      <c r="DB15" s="636"/>
      <c r="DC15" s="636"/>
      <c r="DD15" s="636"/>
      <c r="DE15" s="636"/>
      <c r="DF15" s="636"/>
      <c r="DG15" s="636"/>
      <c r="DH15" s="636"/>
      <c r="DI15" s="636"/>
      <c r="DJ15" s="636"/>
      <c r="DK15" s="636"/>
      <c r="DL15" s="636"/>
      <c r="DM15" s="636"/>
      <c r="DN15" s="636"/>
      <c r="DO15" s="636"/>
      <c r="DP15" s="636"/>
      <c r="DQ15" s="636"/>
      <c r="DR15" s="636"/>
      <c r="DS15" s="636"/>
      <c r="DT15" s="636"/>
      <c r="DU15" s="636"/>
      <c r="DV15" s="636"/>
      <c r="DW15" s="636"/>
      <c r="DX15" s="636"/>
      <c r="DY15" s="636"/>
      <c r="DZ15" s="636"/>
      <c r="EA15" s="636"/>
    </row>
    <row r="16" spans="1:131" s="636" customFormat="1" outlineLevel="1" x14ac:dyDescent="0.2">
      <c r="A16" s="1720" t="s">
        <v>511</v>
      </c>
      <c r="B16" s="1721">
        <f>Balanço!C20</f>
        <v>0</v>
      </c>
      <c r="C16" s="1721">
        <f>Balanço!D20</f>
        <v>0</v>
      </c>
      <c r="D16" s="1721">
        <f>Balanço!E20</f>
        <v>343630.82</v>
      </c>
      <c r="E16" s="1722">
        <f>'Balanço Futuro'!C21</f>
        <v>241390.36750491254</v>
      </c>
      <c r="F16" s="1722">
        <f>'Balanço Futuro'!D21</f>
        <v>255994.48473895979</v>
      </c>
      <c r="G16" s="1722">
        <f>'Balanço Futuro'!E21</f>
        <v>269752.96539008938</v>
      </c>
      <c r="H16" s="1722">
        <f>'Balanço Futuro'!F21</f>
        <v>286073.01979618974</v>
      </c>
      <c r="I16" s="1722">
        <f>'Balanço Futuro'!G21</f>
        <v>291823.08749409311</v>
      </c>
      <c r="J16" s="1722">
        <f>'Balanço Futuro'!H21</f>
        <v>297688.73155272438</v>
      </c>
      <c r="K16" s="1722">
        <f>'Balanço Futuro'!I21</f>
        <v>303672.2750569341</v>
      </c>
      <c r="L16" s="1722">
        <f>'Balanço Futuro'!J21</f>
        <v>309776.08778557845</v>
      </c>
    </row>
    <row r="17" spans="1:131" s="636" customFormat="1" outlineLevel="1" x14ac:dyDescent="0.2">
      <c r="A17" s="1715" t="s">
        <v>503</v>
      </c>
      <c r="B17" s="1721">
        <f>Balanço!C21</f>
        <v>0</v>
      </c>
      <c r="C17" s="1721">
        <f>Balanço!D21</f>
        <v>0</v>
      </c>
      <c r="D17" s="1721">
        <f>Balanço!E21</f>
        <v>0</v>
      </c>
      <c r="E17" s="1722">
        <f>'Balanço Futuro'!C22</f>
        <v>0</v>
      </c>
      <c r="F17" s="1722">
        <f>'Balanço Futuro'!D22</f>
        <v>0</v>
      </c>
      <c r="G17" s="1722">
        <f>'Balanço Futuro'!E22</f>
        <v>0</v>
      </c>
      <c r="H17" s="1722">
        <f>'Balanço Futuro'!F22</f>
        <v>0</v>
      </c>
      <c r="I17" s="1722">
        <f>'Balanço Futuro'!G22</f>
        <v>0</v>
      </c>
      <c r="J17" s="1722">
        <f>'Balanço Futuro'!H22</f>
        <v>0</v>
      </c>
      <c r="K17" s="1722">
        <f>'Balanço Futuro'!I22</f>
        <v>0</v>
      </c>
      <c r="L17" s="1722">
        <f>'Balanço Futuro'!J22</f>
        <v>0</v>
      </c>
    </row>
    <row r="18" spans="1:131" s="636" customFormat="1" outlineLevel="1" x14ac:dyDescent="0.2">
      <c r="A18" s="1715" t="s">
        <v>512</v>
      </c>
      <c r="B18" s="1721">
        <f>Balanço!C22</f>
        <v>0</v>
      </c>
      <c r="C18" s="1721">
        <f>Balanço!D22</f>
        <v>0</v>
      </c>
      <c r="D18" s="1721">
        <f>Balanço!E22</f>
        <v>758084.77</v>
      </c>
      <c r="E18" s="1722">
        <f>'Balanço Futuro'!C23</f>
        <v>1134688.4790995251</v>
      </c>
      <c r="F18" s="1722">
        <f>'Balanço Futuro'!D23</f>
        <v>1203337.1320850465</v>
      </c>
      <c r="G18" s="1722">
        <f>'Balanço Futuro'!E23</f>
        <v>1276139.0285761917</v>
      </c>
      <c r="H18" s="1722">
        <f>'Balanço Futuro'!F23</f>
        <v>1353345.4398050513</v>
      </c>
      <c r="I18" s="1722">
        <f>'Balanço Futuro'!G23</f>
        <v>1380547.6831451328</v>
      </c>
      <c r="J18" s="1722">
        <f>'Balanço Futuro'!H23</f>
        <v>1408296.6915763498</v>
      </c>
      <c r="K18" s="1722">
        <f>'Balanço Futuro'!I23</f>
        <v>1436603.4550770344</v>
      </c>
      <c r="L18" s="1722">
        <f>'Balanço Futuro'!J23</f>
        <v>1465479.1845240826</v>
      </c>
    </row>
    <row r="19" spans="1:131" s="636" customFormat="1" outlineLevel="1" x14ac:dyDescent="0.2">
      <c r="A19" s="1715" t="s">
        <v>513</v>
      </c>
      <c r="B19" s="1721">
        <f>Balanço!C23</f>
        <v>0</v>
      </c>
      <c r="C19" s="1721">
        <f>Balanço!D23</f>
        <v>0</v>
      </c>
      <c r="D19" s="1721">
        <f>Balanço!E23</f>
        <v>0</v>
      </c>
      <c r="E19" s="1722">
        <f>'Balanço Futuro'!C24</f>
        <v>0</v>
      </c>
      <c r="F19" s="1722">
        <f>'Balanço Futuro'!D24</f>
        <v>0</v>
      </c>
      <c r="G19" s="1722">
        <f>'Balanço Futuro'!E24</f>
        <v>0</v>
      </c>
      <c r="H19" s="1722">
        <f>'Balanço Futuro'!F24</f>
        <v>0</v>
      </c>
      <c r="I19" s="1722">
        <f>'Balanço Futuro'!G24</f>
        <v>0</v>
      </c>
      <c r="J19" s="1722">
        <f>'Balanço Futuro'!H24</f>
        <v>0</v>
      </c>
      <c r="K19" s="1722">
        <f>'Balanço Futuro'!I24</f>
        <v>0</v>
      </c>
      <c r="L19" s="1722">
        <f>'Balanço Futuro'!J24</f>
        <v>0</v>
      </c>
    </row>
    <row r="20" spans="1:131" s="636" customFormat="1" outlineLevel="1" x14ac:dyDescent="0.2">
      <c r="A20" s="1715" t="s">
        <v>514</v>
      </c>
      <c r="B20" s="1721">
        <f>Balanço!C24</f>
        <v>0</v>
      </c>
      <c r="C20" s="1721">
        <f>Balanço!D24</f>
        <v>0</v>
      </c>
      <c r="D20" s="1721">
        <f>Balanço!E24</f>
        <v>21003.43</v>
      </c>
      <c r="E20" s="1722">
        <f>'Balanço Futuro'!C25</f>
        <v>0</v>
      </c>
      <c r="F20" s="1722">
        <f>'Balanço Futuro'!D25</f>
        <v>0</v>
      </c>
      <c r="G20" s="1722">
        <f>'Balanço Futuro'!E25</f>
        <v>0</v>
      </c>
      <c r="H20" s="1722">
        <f>'Balanço Futuro'!F25</f>
        <v>0</v>
      </c>
      <c r="I20" s="1722">
        <f>'Balanço Futuro'!G25</f>
        <v>0</v>
      </c>
      <c r="J20" s="1722">
        <f>'Balanço Futuro'!H25</f>
        <v>0</v>
      </c>
      <c r="K20" s="1722">
        <f>'Balanço Futuro'!I25</f>
        <v>0</v>
      </c>
      <c r="L20" s="1722">
        <f>'Balanço Futuro'!J25</f>
        <v>0</v>
      </c>
    </row>
    <row r="21" spans="1:131" s="636" customFormat="1" outlineLevel="1" x14ac:dyDescent="0.2">
      <c r="A21" s="1715" t="s">
        <v>506</v>
      </c>
      <c r="B21" s="1721">
        <f>Balanço!C25</f>
        <v>0</v>
      </c>
      <c r="C21" s="1721">
        <f>Balanço!D25</f>
        <v>0</v>
      </c>
      <c r="D21" s="1721">
        <f>Balanço!E25</f>
        <v>0</v>
      </c>
      <c r="E21" s="1722">
        <f>'Balanço Futuro'!C26</f>
        <v>0</v>
      </c>
      <c r="F21" s="1722">
        <f>'Balanço Futuro'!D26</f>
        <v>0</v>
      </c>
      <c r="G21" s="1722">
        <f>'Balanço Futuro'!E26</f>
        <v>0</v>
      </c>
      <c r="H21" s="1722">
        <f>'Balanço Futuro'!F26</f>
        <v>0</v>
      </c>
      <c r="I21" s="1722">
        <f>'Balanço Futuro'!G26</f>
        <v>0</v>
      </c>
      <c r="J21" s="1722">
        <f>'Balanço Futuro'!H26</f>
        <v>0</v>
      </c>
      <c r="K21" s="1722">
        <f>'Balanço Futuro'!I26</f>
        <v>0</v>
      </c>
      <c r="L21" s="1722">
        <f>'Balanço Futuro'!J26</f>
        <v>0</v>
      </c>
    </row>
    <row r="22" spans="1:131" s="636" customFormat="1" outlineLevel="1" x14ac:dyDescent="0.2">
      <c r="A22" s="1715" t="s">
        <v>515</v>
      </c>
      <c r="B22" s="1721">
        <f>Balanço!C26</f>
        <v>0</v>
      </c>
      <c r="C22" s="1721">
        <f>Balanço!D26</f>
        <v>0</v>
      </c>
      <c r="D22" s="1721">
        <f>Balanço!E26</f>
        <v>80826.210000000006</v>
      </c>
      <c r="E22" s="1722">
        <f>'Balanço Futuro'!C27</f>
        <v>80826.210000000006</v>
      </c>
      <c r="F22" s="1722">
        <f>'Balanço Futuro'!D27</f>
        <v>80826.210000000006</v>
      </c>
      <c r="G22" s="1722">
        <f>'Balanço Futuro'!E27</f>
        <v>80826.210000000006</v>
      </c>
      <c r="H22" s="1722">
        <f>'Balanço Futuro'!F27</f>
        <v>80826.210000000006</v>
      </c>
      <c r="I22" s="1722">
        <f>'Balanço Futuro'!G27</f>
        <v>80826.210000000006</v>
      </c>
      <c r="J22" s="1722">
        <f>'Balanço Futuro'!H27</f>
        <v>80826.210000000006</v>
      </c>
      <c r="K22" s="1722">
        <f>'Balanço Futuro'!I27</f>
        <v>80826.210000000006</v>
      </c>
      <c r="L22" s="1722">
        <f>'Balanço Futuro'!J27</f>
        <v>80826.210000000006</v>
      </c>
    </row>
    <row r="23" spans="1:131" s="636" customFormat="1" outlineLevel="1" x14ac:dyDescent="0.2">
      <c r="A23" s="1715" t="s">
        <v>516</v>
      </c>
      <c r="B23" s="1721">
        <f>Balanço!C27</f>
        <v>0</v>
      </c>
      <c r="C23" s="1721">
        <f>Balanço!D27</f>
        <v>0</v>
      </c>
      <c r="D23" s="1721">
        <f>Balanço!E27</f>
        <v>955.33</v>
      </c>
      <c r="E23" s="1722">
        <f>'Balanço Futuro'!C28</f>
        <v>955.33</v>
      </c>
      <c r="F23" s="1722">
        <f>'Balanço Futuro'!D28</f>
        <v>955.33</v>
      </c>
      <c r="G23" s="1722">
        <f>'Balanço Futuro'!E28</f>
        <v>955.33</v>
      </c>
      <c r="H23" s="1722">
        <f>'Balanço Futuro'!F28</f>
        <v>955.33</v>
      </c>
      <c r="I23" s="1722">
        <f>'Balanço Futuro'!G28</f>
        <v>955.33</v>
      </c>
      <c r="J23" s="1722">
        <f>'Balanço Futuro'!H28</f>
        <v>955.33</v>
      </c>
      <c r="K23" s="1722">
        <f>'Balanço Futuro'!I28</f>
        <v>955.33</v>
      </c>
      <c r="L23" s="1722">
        <f>'Balanço Futuro'!J28</f>
        <v>955.33</v>
      </c>
    </row>
    <row r="24" spans="1:131" s="636" customFormat="1" outlineLevel="1" x14ac:dyDescent="0.2">
      <c r="A24" s="1715" t="s">
        <v>517</v>
      </c>
      <c r="B24" s="1721">
        <f>Balanço!C28</f>
        <v>0</v>
      </c>
      <c r="C24" s="1721">
        <f>Balanço!D28</f>
        <v>0</v>
      </c>
      <c r="D24" s="1721">
        <f>Balanço!E28</f>
        <v>0</v>
      </c>
      <c r="E24" s="1722">
        <f>'Balanço Futuro'!C29</f>
        <v>0</v>
      </c>
      <c r="F24" s="1722">
        <f>'Balanço Futuro'!D29</f>
        <v>0</v>
      </c>
      <c r="G24" s="1722">
        <f>'Balanço Futuro'!E29</f>
        <v>0</v>
      </c>
      <c r="H24" s="1722">
        <f>'Balanço Futuro'!F29</f>
        <v>0</v>
      </c>
      <c r="I24" s="1722">
        <f>'Balanço Futuro'!G29</f>
        <v>0</v>
      </c>
      <c r="J24" s="1722">
        <f>'Balanço Futuro'!H29</f>
        <v>0</v>
      </c>
      <c r="K24" s="1722">
        <f>'Balanço Futuro'!I29</f>
        <v>0</v>
      </c>
      <c r="L24" s="1722">
        <f>'Balanço Futuro'!J29</f>
        <v>0</v>
      </c>
    </row>
    <row r="25" spans="1:131" s="636" customFormat="1" outlineLevel="1" x14ac:dyDescent="0.2">
      <c r="A25" s="1715" t="s">
        <v>507</v>
      </c>
      <c r="B25" s="1721">
        <f>Balanço!C29</f>
        <v>0</v>
      </c>
      <c r="C25" s="1721">
        <f>Balanço!D29</f>
        <v>0</v>
      </c>
      <c r="D25" s="1721">
        <f>Balanço!E29</f>
        <v>0</v>
      </c>
      <c r="E25" s="1722">
        <f>'Balanço Futuro'!C30</f>
        <v>0</v>
      </c>
      <c r="F25" s="1722">
        <f>'Balanço Futuro'!D30</f>
        <v>0</v>
      </c>
      <c r="G25" s="1722">
        <f>'Balanço Futuro'!E30</f>
        <v>0</v>
      </c>
      <c r="H25" s="1722">
        <f>'Balanço Futuro'!F30</f>
        <v>0</v>
      </c>
      <c r="I25" s="1722">
        <f>'Balanço Futuro'!G30</f>
        <v>0</v>
      </c>
      <c r="J25" s="1722">
        <f>'Balanço Futuro'!H30</f>
        <v>0</v>
      </c>
      <c r="K25" s="1722">
        <f>'Balanço Futuro'!I30</f>
        <v>0</v>
      </c>
      <c r="L25" s="1722">
        <f>'Balanço Futuro'!J30</f>
        <v>0</v>
      </c>
    </row>
    <row r="26" spans="1:131" s="636" customFormat="1" outlineLevel="1" x14ac:dyDescent="0.2">
      <c r="A26" s="1715" t="s">
        <v>518</v>
      </c>
      <c r="B26" s="1721">
        <f>Balanço!C30</f>
        <v>0</v>
      </c>
      <c r="C26" s="1721">
        <f>Balanço!D30</f>
        <v>0</v>
      </c>
      <c r="D26" s="1721">
        <f>Balanço!E30</f>
        <v>0</v>
      </c>
      <c r="E26" s="1722">
        <f>'Balanço Futuro'!C31</f>
        <v>0</v>
      </c>
      <c r="F26" s="1722">
        <f>'Balanço Futuro'!D31</f>
        <v>0</v>
      </c>
      <c r="G26" s="1722">
        <f>'Balanço Futuro'!E31</f>
        <v>0</v>
      </c>
      <c r="H26" s="1722">
        <f>'Balanço Futuro'!F31</f>
        <v>0</v>
      </c>
      <c r="I26" s="1722">
        <f>'Balanço Futuro'!G31</f>
        <v>0</v>
      </c>
      <c r="J26" s="1722">
        <f>'Balanço Futuro'!H31</f>
        <v>0</v>
      </c>
      <c r="K26" s="1722">
        <f>'Balanço Futuro'!I31</f>
        <v>0</v>
      </c>
      <c r="L26" s="1722">
        <f>'Balanço Futuro'!J31</f>
        <v>0</v>
      </c>
    </row>
    <row r="27" spans="1:131" s="636" customFormat="1" outlineLevel="1" x14ac:dyDescent="0.2">
      <c r="A27" s="1715" t="s">
        <v>519</v>
      </c>
      <c r="B27" s="1721">
        <f>Balanço!C31</f>
        <v>0</v>
      </c>
      <c r="C27" s="1721">
        <f>Balanço!D31</f>
        <v>0</v>
      </c>
      <c r="D27" s="1721">
        <f>Balanço!E31</f>
        <v>0</v>
      </c>
      <c r="E27" s="1722">
        <f>'Balanço Futuro'!C32</f>
        <v>0</v>
      </c>
      <c r="F27" s="1722">
        <f>'Balanço Futuro'!D32</f>
        <v>0</v>
      </c>
      <c r="G27" s="1722">
        <f>'Balanço Futuro'!E32</f>
        <v>0</v>
      </c>
      <c r="H27" s="1722">
        <f>'Balanço Futuro'!F32</f>
        <v>0</v>
      </c>
      <c r="I27" s="1722">
        <f>'Balanço Futuro'!G32</f>
        <v>0</v>
      </c>
      <c r="J27" s="1722">
        <f>'Balanço Futuro'!H32</f>
        <v>0</v>
      </c>
      <c r="K27" s="1722">
        <f>'Balanço Futuro'!I32</f>
        <v>0</v>
      </c>
      <c r="L27" s="1722">
        <f>'Balanço Futuro'!J32</f>
        <v>0</v>
      </c>
    </row>
    <row r="28" spans="1:131" s="636" customFormat="1" outlineLevel="1" x14ac:dyDescent="0.2">
      <c r="A28" s="1715" t="s">
        <v>520</v>
      </c>
      <c r="B28" s="1721">
        <f>Balanço!C32</f>
        <v>0</v>
      </c>
      <c r="C28" s="1721">
        <f>Balanço!D32</f>
        <v>0</v>
      </c>
      <c r="D28" s="1721">
        <f>Balanço!E32</f>
        <v>215805.41</v>
      </c>
      <c r="E28" s="1722">
        <f>'Balanço Futuro'!C33</f>
        <v>23550.44291667291</v>
      </c>
      <c r="F28" s="1722">
        <f>'Balanço Futuro'!D33</f>
        <v>85411.438034743041</v>
      </c>
      <c r="G28" s="1722">
        <f>'Balanço Futuro'!E33</f>
        <v>134863.93049060827</v>
      </c>
      <c r="H28" s="1722">
        <f>'Balanço Futuro'!F33</f>
        <v>171226.1790051033</v>
      </c>
      <c r="I28" s="1722">
        <f>'Balanço Futuro'!G33</f>
        <v>233278.83945584184</v>
      </c>
      <c r="J28" s="1722">
        <f>'Balanço Futuro'!H33</f>
        <v>293205.42551958561</v>
      </c>
      <c r="K28" s="1722">
        <f>'Balanço Futuro'!I33</f>
        <v>352941.68616927351</v>
      </c>
      <c r="L28" s="1722">
        <f>'Balanço Futuro'!J33</f>
        <v>414041.15285377222</v>
      </c>
    </row>
    <row r="29" spans="1:131" s="1260" customFormat="1" outlineLevel="1" x14ac:dyDescent="0.2">
      <c r="A29" s="1257" t="s">
        <v>521</v>
      </c>
      <c r="B29" s="1258"/>
      <c r="C29" s="1258"/>
      <c r="D29" s="1258"/>
      <c r="E29" s="1258"/>
      <c r="F29" s="1258"/>
      <c r="G29" s="1258"/>
      <c r="H29" s="1258"/>
      <c r="I29" s="1258"/>
      <c r="J29" s="1275"/>
      <c r="K29" s="1275"/>
      <c r="L29" s="1275"/>
      <c r="M29" s="1259"/>
      <c r="N29" s="1259"/>
      <c r="O29" s="1259"/>
      <c r="P29" s="1259"/>
      <c r="Q29" s="1259"/>
      <c r="R29" s="1259"/>
      <c r="S29" s="1259"/>
      <c r="T29" s="1259"/>
      <c r="U29" s="1259"/>
      <c r="V29" s="1259"/>
      <c r="W29" s="1259"/>
      <c r="X29" s="1259"/>
      <c r="Y29" s="1259"/>
      <c r="Z29" s="1259"/>
      <c r="AA29" s="1259"/>
      <c r="AB29" s="1259"/>
      <c r="AC29" s="1259"/>
      <c r="AD29" s="1259"/>
      <c r="AE29" s="1259"/>
      <c r="AF29" s="1259"/>
      <c r="AG29" s="1259"/>
      <c r="AH29" s="1259"/>
      <c r="AI29" s="1259"/>
      <c r="AJ29" s="1259"/>
      <c r="AK29" s="1259"/>
      <c r="AL29" s="1259"/>
      <c r="AM29" s="1259"/>
      <c r="AN29" s="1259"/>
      <c r="AO29" s="1259"/>
      <c r="AP29" s="1259"/>
      <c r="AQ29" s="1259"/>
      <c r="AR29" s="1259"/>
      <c r="AS29" s="1259"/>
      <c r="AT29" s="1259"/>
      <c r="AU29" s="1259"/>
      <c r="AV29" s="1259"/>
      <c r="AW29" s="1259"/>
      <c r="AX29" s="1259"/>
      <c r="AY29" s="1259"/>
      <c r="AZ29" s="1259"/>
      <c r="BA29" s="1259"/>
      <c r="BB29" s="1259"/>
      <c r="BC29" s="1259"/>
      <c r="BD29" s="1259"/>
      <c r="BE29" s="1259"/>
      <c r="BF29" s="1259"/>
      <c r="BG29" s="1259"/>
      <c r="BH29" s="1259"/>
      <c r="BI29" s="1259"/>
      <c r="BJ29" s="1259"/>
      <c r="BK29" s="1259"/>
      <c r="BL29" s="1259"/>
      <c r="BM29" s="1259"/>
      <c r="BN29" s="1259"/>
      <c r="BO29" s="1259"/>
      <c r="BP29" s="1259"/>
      <c r="BQ29" s="1259"/>
      <c r="BR29" s="1259"/>
      <c r="BS29" s="1259"/>
      <c r="BT29" s="1259"/>
      <c r="BU29" s="1259"/>
      <c r="BV29" s="1259"/>
      <c r="BW29" s="1259"/>
      <c r="BX29" s="1259"/>
      <c r="BY29" s="1259"/>
      <c r="BZ29" s="1259"/>
      <c r="CA29" s="1259"/>
      <c r="CB29" s="1259"/>
      <c r="CC29" s="1259"/>
      <c r="CD29" s="1259"/>
      <c r="CE29" s="1259"/>
      <c r="CF29" s="1259"/>
      <c r="CG29" s="1259"/>
      <c r="CH29" s="1259"/>
      <c r="CI29" s="1259"/>
      <c r="CJ29" s="1259"/>
      <c r="CK29" s="1259"/>
      <c r="CL29" s="1259"/>
      <c r="CM29" s="1259"/>
      <c r="CN29" s="1259"/>
      <c r="CO29" s="1259"/>
      <c r="CP29" s="1259"/>
      <c r="CQ29" s="1259"/>
      <c r="CR29" s="1259"/>
      <c r="CS29" s="1259"/>
      <c r="CT29" s="1259"/>
      <c r="CU29" s="1259"/>
      <c r="CV29" s="1259"/>
      <c r="CW29" s="1259"/>
      <c r="CX29" s="1259"/>
      <c r="CY29" s="1259"/>
      <c r="CZ29" s="1259"/>
      <c r="DA29" s="1259"/>
      <c r="DB29" s="1259"/>
      <c r="DC29" s="1259"/>
      <c r="DD29" s="1259"/>
      <c r="DE29" s="1259"/>
      <c r="DF29" s="1259"/>
      <c r="DG29" s="1259"/>
      <c r="DH29" s="1259"/>
      <c r="DI29" s="1259"/>
      <c r="DJ29" s="1259"/>
      <c r="DK29" s="1259"/>
      <c r="DL29" s="1259"/>
      <c r="DM29" s="1259"/>
      <c r="DN29" s="1259"/>
      <c r="DO29" s="1259"/>
      <c r="DP29" s="1259"/>
      <c r="DQ29" s="1259"/>
      <c r="DR29" s="1259"/>
      <c r="DS29" s="1259"/>
      <c r="DT29" s="1259"/>
      <c r="DU29" s="1259"/>
      <c r="DV29" s="1259"/>
      <c r="DW29" s="1259"/>
      <c r="DX29" s="1259"/>
      <c r="DY29" s="1259"/>
      <c r="DZ29" s="1259"/>
      <c r="EA29" s="1259"/>
    </row>
    <row r="30" spans="1:131" s="636" customFormat="1" outlineLevel="1" x14ac:dyDescent="0.2">
      <c r="A30" s="1715" t="s">
        <v>522</v>
      </c>
      <c r="B30" s="1719"/>
      <c r="C30" s="1719"/>
      <c r="D30" s="1719"/>
      <c r="E30" s="1719"/>
      <c r="F30" s="1719"/>
      <c r="G30" s="1719"/>
      <c r="H30" s="1719"/>
      <c r="I30" s="1719"/>
      <c r="J30" s="1719"/>
      <c r="K30" s="1719"/>
      <c r="L30" s="1719"/>
    </row>
    <row r="31" spans="1:131" s="636" customFormat="1" outlineLevel="1" x14ac:dyDescent="0.2">
      <c r="A31" s="1715" t="s">
        <v>523</v>
      </c>
      <c r="B31" s="1716">
        <f>Balanço!C37</f>
        <v>0</v>
      </c>
      <c r="C31" s="1716">
        <f>Balanço!D37</f>
        <v>0</v>
      </c>
      <c r="D31" s="1716">
        <f>Balanço!E37</f>
        <v>300000</v>
      </c>
      <c r="E31" s="1716">
        <f>'Balanço Futuro'!C38</f>
        <v>300000</v>
      </c>
      <c r="F31" s="1716">
        <f>'Balanço Futuro'!D38</f>
        <v>300000</v>
      </c>
      <c r="G31" s="1716">
        <f>'Balanço Futuro'!E38</f>
        <v>300000</v>
      </c>
      <c r="H31" s="1716">
        <f>'Balanço Futuro'!F38</f>
        <v>300000</v>
      </c>
      <c r="I31" s="1716">
        <f>'Balanço Futuro'!G38</f>
        <v>300000</v>
      </c>
      <c r="J31" s="1716">
        <f>'Balanço Futuro'!H38</f>
        <v>300000</v>
      </c>
      <c r="K31" s="1716">
        <f>'Balanço Futuro'!I38</f>
        <v>300000</v>
      </c>
      <c r="L31" s="1716">
        <f>'Balanço Futuro'!J38</f>
        <v>300000</v>
      </c>
    </row>
    <row r="32" spans="1:131" s="636" customFormat="1" outlineLevel="1" x14ac:dyDescent="0.2">
      <c r="A32" s="1715" t="s">
        <v>524</v>
      </c>
      <c r="B32" s="1716">
        <f>Balanço!C38</f>
        <v>0</v>
      </c>
      <c r="C32" s="1716">
        <f>Balanço!D38</f>
        <v>0</v>
      </c>
      <c r="D32" s="1716">
        <f>Balanço!E38</f>
        <v>0</v>
      </c>
      <c r="E32" s="1716">
        <f>'Balanço Futuro'!C39</f>
        <v>0</v>
      </c>
      <c r="F32" s="1716">
        <f>'Balanço Futuro'!D39</f>
        <v>0</v>
      </c>
      <c r="G32" s="1716">
        <f>'Balanço Futuro'!E39</f>
        <v>0</v>
      </c>
      <c r="H32" s="1716">
        <f>'Balanço Futuro'!F39</f>
        <v>0</v>
      </c>
      <c r="I32" s="1716">
        <f>'Balanço Futuro'!G39</f>
        <v>0</v>
      </c>
      <c r="J32" s="1716">
        <f>'Balanço Futuro'!H39</f>
        <v>0</v>
      </c>
      <c r="K32" s="1716">
        <f>'Balanço Futuro'!I39</f>
        <v>0</v>
      </c>
      <c r="L32" s="1716">
        <f>'Balanço Futuro'!J39</f>
        <v>0</v>
      </c>
    </row>
    <row r="33" spans="1:131" s="636" customFormat="1" outlineLevel="1" x14ac:dyDescent="0.2">
      <c r="A33" s="1715" t="s">
        <v>525</v>
      </c>
      <c r="B33" s="1716">
        <f>Balanço!C39</f>
        <v>0</v>
      </c>
      <c r="C33" s="1716">
        <f>Balanço!D39</f>
        <v>0</v>
      </c>
      <c r="D33" s="1716">
        <f>Balanço!E39</f>
        <v>0</v>
      </c>
      <c r="E33" s="1716">
        <f>'Balanço Futuro'!C40</f>
        <v>5158.8125</v>
      </c>
      <c r="F33" s="1716">
        <f>'Balanço Futuro'!D40</f>
        <v>28514.605</v>
      </c>
      <c r="G33" s="1716">
        <f>'Balanço Futuro'!E40</f>
        <v>37087.25</v>
      </c>
      <c r="H33" s="1716">
        <f>'Balanço Futuro'!F40</f>
        <v>37087.25</v>
      </c>
      <c r="I33" s="1716">
        <f>'Balanço Futuro'!G40</f>
        <v>37087.25</v>
      </c>
      <c r="J33" s="1716">
        <f>'Balanço Futuro'!H40</f>
        <v>37087.25</v>
      </c>
      <c r="K33" s="1716">
        <f>'Balanço Futuro'!I40</f>
        <v>37087.25</v>
      </c>
      <c r="L33" s="1716">
        <f>'Balanço Futuro'!J40</f>
        <v>37087.25</v>
      </c>
    </row>
    <row r="34" spans="1:131" s="636" customFormat="1" outlineLevel="1" x14ac:dyDescent="0.2">
      <c r="A34" s="1715" t="s">
        <v>526</v>
      </c>
      <c r="B34" s="1716">
        <f>Balanço!C40</f>
        <v>0</v>
      </c>
      <c r="C34" s="1716">
        <f>Balanço!D40</f>
        <v>0</v>
      </c>
      <c r="D34" s="1716">
        <f>Balanço!E40</f>
        <v>0</v>
      </c>
      <c r="E34" s="1716">
        <f>'Balanço Futuro'!C41</f>
        <v>0</v>
      </c>
      <c r="F34" s="1716">
        <f>'Balanço Futuro'!D41</f>
        <v>0</v>
      </c>
      <c r="G34" s="1716">
        <f>'Balanço Futuro'!E41</f>
        <v>0</v>
      </c>
      <c r="H34" s="1716">
        <f>'Balanço Futuro'!F41</f>
        <v>0</v>
      </c>
      <c r="I34" s="1716">
        <f>'Balanço Futuro'!G41</f>
        <v>0</v>
      </c>
      <c r="J34" s="1716">
        <f>'Balanço Futuro'!H41</f>
        <v>0</v>
      </c>
      <c r="K34" s="1716">
        <f>'Balanço Futuro'!I41</f>
        <v>0</v>
      </c>
      <c r="L34" s="1716">
        <f>'Balanço Futuro'!J41</f>
        <v>0</v>
      </c>
    </row>
    <row r="35" spans="1:131" s="636" customFormat="1" outlineLevel="1" x14ac:dyDescent="0.2">
      <c r="A35" s="1715" t="s">
        <v>527</v>
      </c>
      <c r="B35" s="1716">
        <f>Balanço!C41</f>
        <v>0</v>
      </c>
      <c r="C35" s="1716">
        <f>Balanço!D41</f>
        <v>0</v>
      </c>
      <c r="D35" s="1716">
        <f>Balanço!E41</f>
        <v>14785.57</v>
      </c>
      <c r="E35" s="1716">
        <f>'Balanço Futuro'!C42</f>
        <v>29109.658000000003</v>
      </c>
      <c r="F35" s="1716">
        <f>'Balanço Futuro'!D42</f>
        <v>43954.92487868735</v>
      </c>
      <c r="G35" s="1716">
        <f>'Balanço Futuro'!E42</f>
        <v>60000</v>
      </c>
      <c r="H35" s="1716">
        <f>'Balanço Futuro'!F42</f>
        <v>60000</v>
      </c>
      <c r="I35" s="1716">
        <f>'Balanço Futuro'!G42</f>
        <v>60000</v>
      </c>
      <c r="J35" s="1716">
        <f>'Balanço Futuro'!H42</f>
        <v>60000</v>
      </c>
      <c r="K35" s="1716">
        <f>'Balanço Futuro'!I42</f>
        <v>60000</v>
      </c>
      <c r="L35" s="1716">
        <f>'Balanço Futuro'!J42</f>
        <v>60000</v>
      </c>
    </row>
    <row r="36" spans="1:131" s="636" customFormat="1" outlineLevel="1" x14ac:dyDescent="0.2">
      <c r="A36" s="1715" t="s">
        <v>528</v>
      </c>
      <c r="B36" s="1716">
        <f>Balanço!C42</f>
        <v>0</v>
      </c>
      <c r="C36" s="1716">
        <f>Balanço!D42</f>
        <v>0</v>
      </c>
      <c r="D36" s="1716">
        <f>Balanço!E42</f>
        <v>0</v>
      </c>
      <c r="E36" s="1716">
        <f>'Balanço Futuro'!C43</f>
        <v>0</v>
      </c>
      <c r="F36" s="1716">
        <f>'Balanço Futuro'!D43</f>
        <v>0</v>
      </c>
      <c r="G36" s="1716">
        <f>'Balanço Futuro'!E43</f>
        <v>0</v>
      </c>
      <c r="H36" s="1716">
        <f>'Balanço Futuro'!F43</f>
        <v>0</v>
      </c>
      <c r="I36" s="1716">
        <f>'Balanço Futuro'!G43</f>
        <v>0</v>
      </c>
      <c r="J36" s="1716">
        <f>'Balanço Futuro'!H43</f>
        <v>0</v>
      </c>
      <c r="K36" s="1716">
        <f>'Balanço Futuro'!I43</f>
        <v>0</v>
      </c>
      <c r="L36" s="1716">
        <f>'Balanço Futuro'!J43</f>
        <v>0</v>
      </c>
    </row>
    <row r="37" spans="1:131" s="636" customFormat="1" outlineLevel="1" x14ac:dyDescent="0.2">
      <c r="A37" s="1715" t="s">
        <v>529</v>
      </c>
      <c r="B37" s="1716">
        <f>Balanço!C43</f>
        <v>0</v>
      </c>
      <c r="C37" s="1716">
        <f>Balanço!D43</f>
        <v>0</v>
      </c>
      <c r="D37" s="1716">
        <f>Balanço!E43</f>
        <v>254627.19</v>
      </c>
      <c r="E37" s="1716">
        <f>'Balanço Futuro'!C44</f>
        <v>272157.67200000002</v>
      </c>
      <c r="F37" s="1716">
        <f>'Balanço Futuro'!D44</f>
        <v>282060.07069505955</v>
      </c>
      <c r="G37" s="1716">
        <f>'Balanço Futuro'!E44</f>
        <v>315442.94081135321</v>
      </c>
      <c r="H37" s="1716">
        <f>'Balanço Futuro'!F44</f>
        <v>359778.52101373824</v>
      </c>
      <c r="I37" s="1716">
        <f>'Balanço Futuro'!G44</f>
        <v>415575.5353706961</v>
      </c>
      <c r="J37" s="1716">
        <f>'Balanço Futuro'!H44</f>
        <v>472979.16035643953</v>
      </c>
      <c r="K37" s="1716">
        <f>'Balanço Futuro'!I44</f>
        <v>537230.90639104275</v>
      </c>
      <c r="L37" s="1716">
        <f>'Balanço Futuro'!J44</f>
        <v>603106.16332666657</v>
      </c>
    </row>
    <row r="38" spans="1:131" s="636" customFormat="1" outlineLevel="1" x14ac:dyDescent="0.2">
      <c r="A38" s="1715" t="s">
        <v>530</v>
      </c>
      <c r="B38" s="1716">
        <f>Balanço!C44</f>
        <v>0</v>
      </c>
      <c r="C38" s="1716">
        <f>Balanço!D44</f>
        <v>0</v>
      </c>
      <c r="D38" s="1716">
        <f>Balanço!E44</f>
        <v>0</v>
      </c>
      <c r="E38" s="1716">
        <f>'Balanço Futuro'!C45</f>
        <v>0</v>
      </c>
      <c r="F38" s="1716">
        <f>'Balanço Futuro'!D45</f>
        <v>0</v>
      </c>
      <c r="G38" s="1716">
        <f>'Balanço Futuro'!E45</f>
        <v>0</v>
      </c>
      <c r="H38" s="1716">
        <f>'Balanço Futuro'!F45</f>
        <v>0</v>
      </c>
      <c r="I38" s="1716">
        <f>'Balanço Futuro'!G45</f>
        <v>0</v>
      </c>
      <c r="J38" s="1716">
        <f>'Balanço Futuro'!H45</f>
        <v>0</v>
      </c>
      <c r="K38" s="1716">
        <f>'Balanço Futuro'!I45</f>
        <v>0</v>
      </c>
      <c r="L38" s="1716">
        <f>'Balanço Futuro'!J45</f>
        <v>0</v>
      </c>
    </row>
    <row r="39" spans="1:131" s="636" customFormat="1" outlineLevel="1" x14ac:dyDescent="0.2">
      <c r="A39" s="1715" t="s">
        <v>531</v>
      </c>
      <c r="B39" s="1716">
        <f>Balanço!C45</f>
        <v>0</v>
      </c>
      <c r="C39" s="1716">
        <f>Balanço!D45</f>
        <v>0</v>
      </c>
      <c r="D39" s="1716">
        <f>Balanço!E45</f>
        <v>0</v>
      </c>
      <c r="E39" s="1716">
        <f>'Balanço Futuro'!C46</f>
        <v>0</v>
      </c>
      <c r="F39" s="1716">
        <f>'Balanço Futuro'!D46</f>
        <v>0</v>
      </c>
      <c r="G39" s="1716">
        <f>'Balanço Futuro'!E46</f>
        <v>0</v>
      </c>
      <c r="H39" s="1716">
        <f>'Balanço Futuro'!F46</f>
        <v>0</v>
      </c>
      <c r="I39" s="1716">
        <f>'Balanço Futuro'!G46</f>
        <v>0</v>
      </c>
      <c r="J39" s="1716">
        <f>'Balanço Futuro'!H46</f>
        <v>0</v>
      </c>
      <c r="K39" s="1716">
        <f>'Balanço Futuro'!I46</f>
        <v>0</v>
      </c>
      <c r="L39" s="1716">
        <f>'Balanço Futuro'!J46</f>
        <v>0</v>
      </c>
    </row>
    <row r="40" spans="1:131" s="636" customFormat="1" outlineLevel="1" x14ac:dyDescent="0.2">
      <c r="A40" s="1715" t="s">
        <v>532</v>
      </c>
      <c r="B40" s="1716">
        <f>Balanço!C46</f>
        <v>0</v>
      </c>
      <c r="C40" s="1716">
        <f>Balanço!D46</f>
        <v>0</v>
      </c>
      <c r="D40" s="1716">
        <f>Balanço!E46</f>
        <v>0</v>
      </c>
      <c r="E40" s="1716">
        <f>'Balanço Futuro'!C47</f>
        <v>9285.8625000000011</v>
      </c>
      <c r="F40" s="1716">
        <f>'Balanço Futuro'!D47</f>
        <v>51326.289000000004</v>
      </c>
      <c r="G40" s="1716">
        <f>'Balanço Futuro'!E47</f>
        <v>66757.05</v>
      </c>
      <c r="H40" s="1716">
        <f>'Balanço Futuro'!F47</f>
        <v>66757.05</v>
      </c>
      <c r="I40" s="1716">
        <f>'Balanço Futuro'!G47</f>
        <v>66757.05</v>
      </c>
      <c r="J40" s="1716">
        <f>'Balanço Futuro'!H47</f>
        <v>66757.05</v>
      </c>
      <c r="K40" s="1716">
        <f>'Balanço Futuro'!I47</f>
        <v>66757.05</v>
      </c>
      <c r="L40" s="1716">
        <f>'Balanço Futuro'!J47</f>
        <v>66757.05</v>
      </c>
    </row>
    <row r="41" spans="1:131" s="636" customFormat="1" outlineLevel="1" x14ac:dyDescent="0.2">
      <c r="A41" s="1715" t="s">
        <v>495</v>
      </c>
      <c r="B41" s="1716">
        <f>DR_Form!B110</f>
        <v>0</v>
      </c>
      <c r="C41" s="1716">
        <f>DR_Form!C110</f>
        <v>0</v>
      </c>
      <c r="D41" s="1716">
        <f>DR_Form!D110</f>
        <v>31854.57</v>
      </c>
      <c r="E41" s="1716">
        <f>DR_Form!E110</f>
        <v>24747.67</v>
      </c>
      <c r="F41" s="1716">
        <f>DR_Form!F110</f>
        <v>49427.95</v>
      </c>
      <c r="G41" s="1716">
        <f>DR_Form!G110</f>
        <v>44335.58</v>
      </c>
      <c r="H41" s="1716">
        <f>DR_Form!H110</f>
        <v>55797.01</v>
      </c>
      <c r="I41" s="1716">
        <f>DR_Form!I110</f>
        <v>57403.62</v>
      </c>
      <c r="J41" s="1716">
        <f>DR_Form!J110</f>
        <v>64251.75</v>
      </c>
      <c r="K41" s="1716">
        <f>DR_Form!K110</f>
        <v>65875.259999999995</v>
      </c>
      <c r="L41" s="1716">
        <f>DR_Form!L110</f>
        <v>67531.839999999997</v>
      </c>
    </row>
    <row r="42" spans="1:131" s="636" customFormat="1" outlineLevel="1" x14ac:dyDescent="0.2">
      <c r="A42" s="1715" t="s">
        <v>533</v>
      </c>
      <c r="B42" s="1716">
        <v>0</v>
      </c>
      <c r="C42" s="1716">
        <v>0</v>
      </c>
      <c r="D42" s="1716">
        <v>0</v>
      </c>
      <c r="E42" s="1716">
        <v>0</v>
      </c>
      <c r="F42" s="1716">
        <v>0</v>
      </c>
      <c r="G42" s="1716">
        <v>0</v>
      </c>
      <c r="H42" s="1716">
        <v>0</v>
      </c>
      <c r="I42" s="1716">
        <v>0</v>
      </c>
      <c r="J42" s="1716">
        <v>0</v>
      </c>
      <c r="K42" s="1716">
        <v>0</v>
      </c>
      <c r="L42" s="1716">
        <v>0</v>
      </c>
    </row>
    <row r="43" spans="1:131" s="636" customFormat="1" outlineLevel="1" x14ac:dyDescent="0.2">
      <c r="A43" s="1715" t="s">
        <v>534</v>
      </c>
      <c r="B43" s="1716">
        <v>0</v>
      </c>
      <c r="C43" s="1716">
        <v>0</v>
      </c>
      <c r="D43" s="1716">
        <v>0</v>
      </c>
      <c r="E43" s="1716">
        <v>0</v>
      </c>
      <c r="F43" s="1716">
        <v>0</v>
      </c>
      <c r="G43" s="1716">
        <v>0</v>
      </c>
      <c r="H43" s="1716">
        <v>0</v>
      </c>
      <c r="I43" s="1716">
        <v>0</v>
      </c>
      <c r="J43" s="1716">
        <v>0</v>
      </c>
      <c r="K43" s="1716">
        <v>0</v>
      </c>
      <c r="L43" s="1716">
        <v>0</v>
      </c>
    </row>
    <row r="44" spans="1:131" s="1260" customFormat="1" ht="12" outlineLevel="1" thickBot="1" x14ac:dyDescent="0.25">
      <c r="A44" s="1261" t="s">
        <v>535</v>
      </c>
      <c r="B44" s="1262"/>
      <c r="C44" s="1262"/>
      <c r="D44" s="1262"/>
      <c r="E44" s="1262"/>
      <c r="F44" s="1262"/>
      <c r="G44" s="1262"/>
      <c r="H44" s="1262"/>
      <c r="I44" s="1262"/>
      <c r="J44" s="1276"/>
      <c r="K44" s="1276"/>
      <c r="L44" s="1276"/>
      <c r="M44" s="1259"/>
      <c r="N44" s="1259"/>
      <c r="O44" s="1259"/>
      <c r="P44" s="1259"/>
      <c r="Q44" s="1259"/>
      <c r="R44" s="1259"/>
      <c r="S44" s="1259"/>
      <c r="T44" s="1259"/>
      <c r="U44" s="1259"/>
      <c r="V44" s="1259"/>
      <c r="W44" s="1259"/>
      <c r="X44" s="1259"/>
      <c r="Y44" s="1259"/>
      <c r="Z44" s="1259"/>
      <c r="AA44" s="1259"/>
      <c r="AB44" s="1259"/>
      <c r="AC44" s="1259"/>
      <c r="AD44" s="1259"/>
      <c r="AE44" s="1259"/>
      <c r="AF44" s="1259"/>
      <c r="AG44" s="1259"/>
      <c r="AH44" s="1259"/>
      <c r="AI44" s="1259"/>
      <c r="AJ44" s="1259"/>
      <c r="AK44" s="1259"/>
      <c r="AL44" s="1259"/>
      <c r="AM44" s="1259"/>
      <c r="AN44" s="1259"/>
      <c r="AO44" s="1259"/>
      <c r="AP44" s="1259"/>
      <c r="AQ44" s="1259"/>
      <c r="AR44" s="1259"/>
      <c r="AS44" s="1259"/>
      <c r="AT44" s="1259"/>
      <c r="AU44" s="1259"/>
      <c r="AV44" s="1259"/>
      <c r="AW44" s="1259"/>
      <c r="AX44" s="1259"/>
      <c r="AY44" s="1259"/>
      <c r="AZ44" s="1259"/>
      <c r="BA44" s="1259"/>
      <c r="BB44" s="1259"/>
      <c r="BC44" s="1259"/>
      <c r="BD44" s="1259"/>
      <c r="BE44" s="1259"/>
      <c r="BF44" s="1259"/>
      <c r="BG44" s="1259"/>
      <c r="BH44" s="1259"/>
      <c r="BI44" s="1259"/>
      <c r="BJ44" s="1259"/>
      <c r="BK44" s="1259"/>
      <c r="BL44" s="1259"/>
      <c r="BM44" s="1259"/>
      <c r="BN44" s="1259"/>
      <c r="BO44" s="1259"/>
      <c r="BP44" s="1259"/>
      <c r="BQ44" s="1259"/>
      <c r="BR44" s="1259"/>
      <c r="BS44" s="1259"/>
      <c r="BT44" s="1259"/>
      <c r="BU44" s="1259"/>
      <c r="BV44" s="1259"/>
      <c r="BW44" s="1259"/>
      <c r="BX44" s="1259"/>
      <c r="BY44" s="1259"/>
      <c r="BZ44" s="1259"/>
      <c r="CA44" s="1259"/>
      <c r="CB44" s="1259"/>
      <c r="CC44" s="1259"/>
      <c r="CD44" s="1259"/>
      <c r="CE44" s="1259"/>
      <c r="CF44" s="1259"/>
      <c r="CG44" s="1259"/>
      <c r="CH44" s="1259"/>
      <c r="CI44" s="1259"/>
      <c r="CJ44" s="1259"/>
      <c r="CK44" s="1259"/>
      <c r="CL44" s="1259"/>
      <c r="CM44" s="1259"/>
      <c r="CN44" s="1259"/>
      <c r="CO44" s="1259"/>
      <c r="CP44" s="1259"/>
      <c r="CQ44" s="1259"/>
      <c r="CR44" s="1259"/>
      <c r="CS44" s="1259"/>
      <c r="CT44" s="1259"/>
      <c r="CU44" s="1259"/>
      <c r="CV44" s="1259"/>
      <c r="CW44" s="1259"/>
      <c r="CX44" s="1259"/>
      <c r="CY44" s="1259"/>
      <c r="CZ44" s="1259"/>
      <c r="DA44" s="1259"/>
      <c r="DB44" s="1259"/>
      <c r="DC44" s="1259"/>
      <c r="DD44" s="1259"/>
      <c r="DE44" s="1259"/>
      <c r="DF44" s="1259"/>
      <c r="DG44" s="1259"/>
      <c r="DH44" s="1259"/>
      <c r="DI44" s="1259"/>
      <c r="DJ44" s="1259"/>
      <c r="DK44" s="1259"/>
      <c r="DL44" s="1259"/>
      <c r="DM44" s="1259"/>
      <c r="DN44" s="1259"/>
      <c r="DO44" s="1259"/>
      <c r="DP44" s="1259"/>
      <c r="DQ44" s="1259"/>
      <c r="DR44" s="1259"/>
      <c r="DS44" s="1259"/>
      <c r="DT44" s="1259"/>
      <c r="DU44" s="1259"/>
      <c r="DV44" s="1259"/>
      <c r="DW44" s="1259"/>
      <c r="DX44" s="1259"/>
      <c r="DY44" s="1259"/>
      <c r="DZ44" s="1259"/>
      <c r="EA44" s="1259"/>
    </row>
    <row r="45" spans="1:131" s="1252" customFormat="1" ht="12" outlineLevel="1" thickBot="1" x14ac:dyDescent="0.25">
      <c r="A45" s="1255" t="s">
        <v>536</v>
      </c>
      <c r="B45" s="1256"/>
      <c r="C45" s="1256"/>
      <c r="D45" s="1256"/>
      <c r="E45" s="1256"/>
      <c r="F45" s="1256"/>
      <c r="G45" s="1256"/>
      <c r="H45" s="1256"/>
      <c r="I45" s="1256"/>
      <c r="J45" s="1256"/>
      <c r="K45" s="1256"/>
      <c r="L45" s="1256"/>
      <c r="M45" s="636"/>
      <c r="N45" s="636"/>
      <c r="O45" s="636"/>
      <c r="P45" s="636"/>
      <c r="Q45" s="636"/>
      <c r="R45" s="636"/>
      <c r="S45" s="636"/>
      <c r="T45" s="636"/>
      <c r="U45" s="636"/>
      <c r="V45" s="636"/>
      <c r="W45" s="636"/>
      <c r="X45" s="636"/>
      <c r="Y45" s="636"/>
      <c r="Z45" s="636"/>
      <c r="AA45" s="636"/>
      <c r="AB45" s="636"/>
      <c r="AC45" s="636"/>
      <c r="AD45" s="636"/>
      <c r="AE45" s="636"/>
      <c r="AF45" s="636"/>
      <c r="AG45" s="636"/>
      <c r="AH45" s="636"/>
      <c r="AI45" s="636"/>
      <c r="AJ45" s="636"/>
      <c r="AK45" s="636"/>
      <c r="AL45" s="636"/>
      <c r="AM45" s="636"/>
      <c r="AN45" s="636"/>
      <c r="AO45" s="636"/>
      <c r="AP45" s="636"/>
      <c r="AQ45" s="636"/>
      <c r="AR45" s="636"/>
      <c r="AS45" s="636"/>
      <c r="AT45" s="636"/>
      <c r="AU45" s="636"/>
      <c r="AV45" s="636"/>
      <c r="AW45" s="636"/>
      <c r="AX45" s="636"/>
      <c r="AY45" s="636"/>
      <c r="AZ45" s="636"/>
      <c r="BA45" s="636"/>
      <c r="BB45" s="636"/>
      <c r="BC45" s="636"/>
      <c r="BD45" s="636"/>
      <c r="BE45" s="636"/>
      <c r="BF45" s="636"/>
      <c r="BG45" s="636"/>
      <c r="BH45" s="636"/>
      <c r="BI45" s="636"/>
      <c r="BJ45" s="636"/>
      <c r="BK45" s="636"/>
      <c r="BL45" s="636"/>
      <c r="BM45" s="636"/>
      <c r="BN45" s="636"/>
      <c r="BO45" s="636"/>
      <c r="BP45" s="636"/>
      <c r="BQ45" s="636"/>
      <c r="BR45" s="636"/>
      <c r="BS45" s="636"/>
      <c r="BT45" s="636"/>
      <c r="BU45" s="636"/>
      <c r="BV45" s="636"/>
      <c r="BW45" s="636"/>
      <c r="BX45" s="636"/>
      <c r="BY45" s="636"/>
      <c r="BZ45" s="636"/>
      <c r="CA45" s="636"/>
      <c r="CB45" s="636"/>
      <c r="CC45" s="636"/>
      <c r="CD45" s="636"/>
      <c r="CE45" s="636"/>
      <c r="CF45" s="636"/>
      <c r="CG45" s="636"/>
      <c r="CH45" s="636"/>
      <c r="CI45" s="636"/>
      <c r="CJ45" s="636"/>
      <c r="CK45" s="636"/>
      <c r="CL45" s="636"/>
      <c r="CM45" s="636"/>
      <c r="CN45" s="636"/>
      <c r="CO45" s="636"/>
      <c r="CP45" s="636"/>
      <c r="CQ45" s="636"/>
      <c r="CR45" s="636"/>
      <c r="CS45" s="636"/>
      <c r="CT45" s="636"/>
      <c r="CU45" s="636"/>
      <c r="CV45" s="636"/>
      <c r="CW45" s="636"/>
      <c r="CX45" s="636"/>
      <c r="CY45" s="636"/>
      <c r="CZ45" s="636"/>
      <c r="DA45" s="636"/>
      <c r="DB45" s="636"/>
      <c r="DC45" s="636"/>
      <c r="DD45" s="636"/>
      <c r="DE45" s="636"/>
      <c r="DF45" s="636"/>
      <c r="DG45" s="636"/>
      <c r="DH45" s="636"/>
      <c r="DI45" s="636"/>
      <c r="DJ45" s="636"/>
      <c r="DK45" s="636"/>
      <c r="DL45" s="636"/>
      <c r="DM45" s="636"/>
      <c r="DN45" s="636"/>
      <c r="DO45" s="636"/>
      <c r="DP45" s="636"/>
      <c r="DQ45" s="636"/>
      <c r="DR45" s="636"/>
      <c r="DS45" s="636"/>
      <c r="DT45" s="636"/>
      <c r="DU45" s="636"/>
      <c r="DV45" s="636"/>
      <c r="DW45" s="636"/>
      <c r="DX45" s="636"/>
      <c r="DY45" s="636"/>
      <c r="DZ45" s="636"/>
      <c r="EA45" s="636"/>
    </row>
    <row r="46" spans="1:131" s="1252" customFormat="1" outlineLevel="1" x14ac:dyDescent="0.2">
      <c r="A46" s="1263" t="s">
        <v>537</v>
      </c>
      <c r="B46" s="1264"/>
      <c r="C46" s="1264"/>
      <c r="D46" s="1264"/>
      <c r="E46" s="1264"/>
      <c r="F46" s="1264"/>
      <c r="G46" s="1264"/>
      <c r="H46" s="1264"/>
      <c r="I46" s="1264"/>
      <c r="J46" s="1264"/>
      <c r="K46" s="1264"/>
      <c r="L46" s="1264"/>
      <c r="M46" s="636"/>
      <c r="N46" s="636"/>
      <c r="O46" s="636"/>
      <c r="P46" s="636"/>
      <c r="Q46" s="636"/>
      <c r="R46" s="636"/>
      <c r="S46" s="636"/>
      <c r="T46" s="636"/>
      <c r="U46" s="636"/>
      <c r="V46" s="636"/>
      <c r="W46" s="636"/>
      <c r="X46" s="636"/>
      <c r="Y46" s="636"/>
      <c r="Z46" s="636"/>
      <c r="AA46" s="636"/>
      <c r="AB46" s="636"/>
      <c r="AC46" s="636"/>
      <c r="AD46" s="636"/>
      <c r="AE46" s="636"/>
      <c r="AF46" s="636"/>
      <c r="AG46" s="636"/>
      <c r="AH46" s="636"/>
      <c r="AI46" s="636"/>
      <c r="AJ46" s="636"/>
      <c r="AK46" s="636"/>
      <c r="AL46" s="636"/>
      <c r="AM46" s="636"/>
      <c r="AN46" s="636"/>
      <c r="AO46" s="636"/>
      <c r="AP46" s="636"/>
      <c r="AQ46" s="636"/>
      <c r="AR46" s="636"/>
      <c r="AS46" s="636"/>
      <c r="AT46" s="636"/>
      <c r="AU46" s="636"/>
      <c r="AV46" s="636"/>
      <c r="AW46" s="636"/>
      <c r="AX46" s="636"/>
      <c r="AY46" s="636"/>
      <c r="AZ46" s="636"/>
      <c r="BA46" s="636"/>
      <c r="BB46" s="636"/>
      <c r="BC46" s="636"/>
      <c r="BD46" s="636"/>
      <c r="BE46" s="636"/>
      <c r="BF46" s="636"/>
      <c r="BG46" s="636"/>
      <c r="BH46" s="636"/>
      <c r="BI46" s="636"/>
      <c r="BJ46" s="636"/>
      <c r="BK46" s="636"/>
      <c r="BL46" s="636"/>
      <c r="BM46" s="636"/>
      <c r="BN46" s="636"/>
      <c r="BO46" s="636"/>
      <c r="BP46" s="636"/>
      <c r="BQ46" s="636"/>
      <c r="BR46" s="636"/>
      <c r="BS46" s="636"/>
      <c r="BT46" s="636"/>
      <c r="BU46" s="636"/>
      <c r="BV46" s="636"/>
      <c r="BW46" s="636"/>
      <c r="BX46" s="636"/>
      <c r="BY46" s="636"/>
      <c r="BZ46" s="636"/>
      <c r="CA46" s="636"/>
      <c r="CB46" s="636"/>
      <c r="CC46" s="636"/>
      <c r="CD46" s="636"/>
      <c r="CE46" s="636"/>
      <c r="CF46" s="636"/>
      <c r="CG46" s="636"/>
      <c r="CH46" s="636"/>
      <c r="CI46" s="636"/>
      <c r="CJ46" s="636"/>
      <c r="CK46" s="636"/>
      <c r="CL46" s="636"/>
      <c r="CM46" s="636"/>
      <c r="CN46" s="636"/>
      <c r="CO46" s="636"/>
      <c r="CP46" s="636"/>
      <c r="CQ46" s="636"/>
      <c r="CR46" s="636"/>
      <c r="CS46" s="636"/>
      <c r="CT46" s="636"/>
      <c r="CU46" s="636"/>
      <c r="CV46" s="636"/>
      <c r="CW46" s="636"/>
      <c r="CX46" s="636"/>
      <c r="CY46" s="636"/>
      <c r="CZ46" s="636"/>
      <c r="DA46" s="636"/>
      <c r="DB46" s="636"/>
      <c r="DC46" s="636"/>
      <c r="DD46" s="636"/>
      <c r="DE46" s="636"/>
      <c r="DF46" s="636"/>
      <c r="DG46" s="636"/>
      <c r="DH46" s="636"/>
      <c r="DI46" s="636"/>
      <c r="DJ46" s="636"/>
      <c r="DK46" s="636"/>
      <c r="DL46" s="636"/>
      <c r="DM46" s="636"/>
      <c r="DN46" s="636"/>
      <c r="DO46" s="636"/>
      <c r="DP46" s="636"/>
      <c r="DQ46" s="636"/>
      <c r="DR46" s="636"/>
      <c r="DS46" s="636"/>
      <c r="DT46" s="636"/>
      <c r="DU46" s="636"/>
      <c r="DV46" s="636"/>
      <c r="DW46" s="636"/>
      <c r="DX46" s="636"/>
      <c r="DY46" s="636"/>
      <c r="DZ46" s="636"/>
      <c r="EA46" s="636"/>
    </row>
    <row r="47" spans="1:131" s="636" customFormat="1" outlineLevel="1" x14ac:dyDescent="0.2">
      <c r="A47" s="1718" t="s">
        <v>538</v>
      </c>
      <c r="B47" s="1719">
        <f>Balanço!C53</f>
        <v>0</v>
      </c>
      <c r="C47" s="1719">
        <f>Balanço!D53</f>
        <v>0</v>
      </c>
      <c r="D47" s="1719">
        <f>Balanço!E53</f>
        <v>0</v>
      </c>
      <c r="E47" s="1719">
        <f>'Balanço Futuro'!C54</f>
        <v>0</v>
      </c>
      <c r="F47" s="1719">
        <f>'Balanço Futuro'!D54</f>
        <v>0</v>
      </c>
      <c r="G47" s="1719">
        <f>'Balanço Futuro'!E54</f>
        <v>0</v>
      </c>
      <c r="H47" s="1719">
        <f>'Balanço Futuro'!F54</f>
        <v>0</v>
      </c>
      <c r="I47" s="1719">
        <f>'Balanço Futuro'!G54</f>
        <v>0</v>
      </c>
      <c r="J47" s="1719">
        <f>'Balanço Futuro'!H54</f>
        <v>0</v>
      </c>
      <c r="K47" s="1719">
        <f>'Balanço Futuro'!I54</f>
        <v>0</v>
      </c>
      <c r="L47" s="1719">
        <f>'Balanço Futuro'!J54</f>
        <v>0</v>
      </c>
    </row>
    <row r="48" spans="1:131" s="636" customFormat="1" outlineLevel="1" x14ac:dyDescent="0.2">
      <c r="A48" s="1715" t="s">
        <v>539</v>
      </c>
      <c r="B48" s="1719">
        <f>Balanço!C54</f>
        <v>0</v>
      </c>
      <c r="C48" s="1719">
        <f>Balanço!D54</f>
        <v>0</v>
      </c>
      <c r="D48" s="1719">
        <f>Balanço!E54</f>
        <v>0</v>
      </c>
      <c r="E48" s="1719">
        <f>'Balanço Futuro'!C55</f>
        <v>0</v>
      </c>
      <c r="F48" s="1719">
        <f ca="1">'Balanço Futuro'!D55</f>
        <v>0</v>
      </c>
      <c r="G48" s="1719">
        <f ca="1">'Balanço Futuro'!E55</f>
        <v>0</v>
      </c>
      <c r="H48" s="1719">
        <f ca="1">'Balanço Futuro'!F55</f>
        <v>0</v>
      </c>
      <c r="I48" s="1719">
        <f ca="1">'Balanço Futuro'!G55</f>
        <v>0</v>
      </c>
      <c r="J48" s="1719">
        <f ca="1">'Balanço Futuro'!H55</f>
        <v>0</v>
      </c>
      <c r="K48" s="1719">
        <f ca="1">'Balanço Futuro'!I55</f>
        <v>0</v>
      </c>
      <c r="L48" s="1719">
        <f ca="1">'Balanço Futuro'!J55</f>
        <v>0</v>
      </c>
    </row>
    <row r="49" spans="1:131" s="636" customFormat="1" outlineLevel="1" x14ac:dyDescent="0.2">
      <c r="A49" s="1715" t="s">
        <v>540</v>
      </c>
      <c r="B49" s="1719">
        <f>Balanço!C55</f>
        <v>0</v>
      </c>
      <c r="C49" s="1719">
        <f>Balanço!D55</f>
        <v>0</v>
      </c>
      <c r="D49" s="1719">
        <f>Balanço!E55</f>
        <v>0</v>
      </c>
      <c r="E49" s="1719">
        <f>'Balanço Futuro'!C56</f>
        <v>0</v>
      </c>
      <c r="F49" s="1719">
        <f>'Balanço Futuro'!D56</f>
        <v>0</v>
      </c>
      <c r="G49" s="1719">
        <f>'Balanço Futuro'!E56</f>
        <v>0</v>
      </c>
      <c r="H49" s="1719">
        <f>'Balanço Futuro'!F56</f>
        <v>0</v>
      </c>
      <c r="I49" s="1719">
        <f>'Balanço Futuro'!G56</f>
        <v>0</v>
      </c>
      <c r="J49" s="1719">
        <f>'Balanço Futuro'!H56</f>
        <v>0</v>
      </c>
      <c r="K49" s="1719">
        <f>'Balanço Futuro'!I56</f>
        <v>0</v>
      </c>
      <c r="L49" s="1719">
        <f>'Balanço Futuro'!J56</f>
        <v>0</v>
      </c>
    </row>
    <row r="50" spans="1:131" s="636" customFormat="1" outlineLevel="1" x14ac:dyDescent="0.2">
      <c r="A50" s="1715" t="s">
        <v>541</v>
      </c>
      <c r="B50" s="1719">
        <f>Balanço!C56</f>
        <v>0</v>
      </c>
      <c r="C50" s="1719">
        <f>Balanço!D56</f>
        <v>0</v>
      </c>
      <c r="D50" s="1719">
        <f>Balanço!E56</f>
        <v>0</v>
      </c>
      <c r="E50" s="1719">
        <f>'Balanço Futuro'!C57</f>
        <v>0</v>
      </c>
      <c r="F50" s="1719">
        <f>'Balanço Futuro'!D57</f>
        <v>0</v>
      </c>
      <c r="G50" s="1719">
        <f>'Balanço Futuro'!E57</f>
        <v>0</v>
      </c>
      <c r="H50" s="1719">
        <f>'Balanço Futuro'!F57</f>
        <v>0</v>
      </c>
      <c r="I50" s="1719">
        <f>'Balanço Futuro'!G57</f>
        <v>0</v>
      </c>
      <c r="J50" s="1719">
        <f>'Balanço Futuro'!H57</f>
        <v>0</v>
      </c>
      <c r="K50" s="1719">
        <f>'Balanço Futuro'!I57</f>
        <v>0</v>
      </c>
      <c r="L50" s="1719">
        <f>'Balanço Futuro'!J57</f>
        <v>0</v>
      </c>
    </row>
    <row r="51" spans="1:131" s="636" customFormat="1" outlineLevel="1" x14ac:dyDescent="0.2">
      <c r="A51" s="1715" t="s">
        <v>542</v>
      </c>
      <c r="B51" s="1719">
        <f>Balanço!C57</f>
        <v>0</v>
      </c>
      <c r="C51" s="1719">
        <f>Balanço!D57</f>
        <v>0</v>
      </c>
      <c r="D51" s="1719">
        <f>Balanço!E57</f>
        <v>0</v>
      </c>
      <c r="E51" s="1719">
        <f>'Balanço Futuro'!C58</f>
        <v>0</v>
      </c>
      <c r="F51" s="1719">
        <f>'Balanço Futuro'!D58</f>
        <v>0</v>
      </c>
      <c r="G51" s="1719">
        <f>'Balanço Futuro'!E58</f>
        <v>0</v>
      </c>
      <c r="H51" s="1719">
        <f>'Balanço Futuro'!F58</f>
        <v>0</v>
      </c>
      <c r="I51" s="1719">
        <f>'Balanço Futuro'!G58</f>
        <v>0</v>
      </c>
      <c r="J51" s="1719">
        <f>'Balanço Futuro'!H58</f>
        <v>0</v>
      </c>
      <c r="K51" s="1719">
        <f>'Balanço Futuro'!I58</f>
        <v>0</v>
      </c>
      <c r="L51" s="1719">
        <f>'Balanço Futuro'!J58</f>
        <v>0</v>
      </c>
    </row>
    <row r="52" spans="1:131" s="1252" customFormat="1" outlineLevel="1" x14ac:dyDescent="0.2">
      <c r="A52" s="1265" t="s">
        <v>543</v>
      </c>
      <c r="B52" s="1266"/>
      <c r="C52" s="1266"/>
      <c r="D52" s="1266"/>
      <c r="E52" s="1266"/>
      <c r="F52" s="1266"/>
      <c r="G52" s="1266"/>
      <c r="H52" s="1266"/>
      <c r="I52" s="1266"/>
      <c r="J52" s="1266"/>
      <c r="K52" s="1266"/>
      <c r="L52" s="1266"/>
      <c r="M52" s="636"/>
      <c r="N52" s="636"/>
      <c r="O52" s="636"/>
      <c r="P52" s="636"/>
      <c r="Q52" s="636"/>
      <c r="R52" s="636"/>
      <c r="S52" s="636"/>
      <c r="T52" s="636"/>
      <c r="U52" s="636"/>
      <c r="V52" s="636"/>
      <c r="W52" s="636"/>
      <c r="X52" s="636"/>
      <c r="Y52" s="636"/>
      <c r="Z52" s="636"/>
      <c r="AA52" s="636"/>
      <c r="AB52" s="636"/>
      <c r="AC52" s="636"/>
      <c r="AD52" s="636"/>
      <c r="AE52" s="636"/>
      <c r="AF52" s="636"/>
      <c r="AG52" s="636"/>
      <c r="AH52" s="636"/>
      <c r="AI52" s="636"/>
      <c r="AJ52" s="636"/>
      <c r="AK52" s="636"/>
      <c r="AL52" s="636"/>
      <c r="AM52" s="636"/>
      <c r="AN52" s="636"/>
      <c r="AO52" s="636"/>
      <c r="AP52" s="636"/>
      <c r="AQ52" s="636"/>
      <c r="AR52" s="636"/>
      <c r="AS52" s="636"/>
      <c r="AT52" s="636"/>
      <c r="AU52" s="636"/>
      <c r="AV52" s="636"/>
      <c r="AW52" s="636"/>
      <c r="AX52" s="636"/>
      <c r="AY52" s="636"/>
      <c r="AZ52" s="636"/>
      <c r="BA52" s="636"/>
      <c r="BB52" s="636"/>
      <c r="BC52" s="636"/>
      <c r="BD52" s="636"/>
      <c r="BE52" s="636"/>
      <c r="BF52" s="636"/>
      <c r="BG52" s="636"/>
      <c r="BH52" s="636"/>
      <c r="BI52" s="636"/>
      <c r="BJ52" s="636"/>
      <c r="BK52" s="636"/>
      <c r="BL52" s="636"/>
      <c r="BM52" s="636"/>
      <c r="BN52" s="636"/>
      <c r="BO52" s="636"/>
      <c r="BP52" s="636"/>
      <c r="BQ52" s="636"/>
      <c r="BR52" s="636"/>
      <c r="BS52" s="636"/>
      <c r="BT52" s="636"/>
      <c r="BU52" s="636"/>
      <c r="BV52" s="636"/>
      <c r="BW52" s="636"/>
      <c r="BX52" s="636"/>
      <c r="BY52" s="636"/>
      <c r="BZ52" s="636"/>
      <c r="CA52" s="636"/>
      <c r="CB52" s="636"/>
      <c r="CC52" s="636"/>
      <c r="CD52" s="636"/>
      <c r="CE52" s="636"/>
      <c r="CF52" s="636"/>
      <c r="CG52" s="636"/>
      <c r="CH52" s="636"/>
      <c r="CI52" s="636"/>
      <c r="CJ52" s="636"/>
      <c r="CK52" s="636"/>
      <c r="CL52" s="636"/>
      <c r="CM52" s="636"/>
      <c r="CN52" s="636"/>
      <c r="CO52" s="636"/>
      <c r="CP52" s="636"/>
      <c r="CQ52" s="636"/>
      <c r="CR52" s="636"/>
      <c r="CS52" s="636"/>
      <c r="CT52" s="636"/>
      <c r="CU52" s="636"/>
      <c r="CV52" s="636"/>
      <c r="CW52" s="636"/>
      <c r="CX52" s="636"/>
      <c r="CY52" s="636"/>
      <c r="CZ52" s="636"/>
      <c r="DA52" s="636"/>
      <c r="DB52" s="636"/>
      <c r="DC52" s="636"/>
      <c r="DD52" s="636"/>
      <c r="DE52" s="636"/>
      <c r="DF52" s="636"/>
      <c r="DG52" s="636"/>
      <c r="DH52" s="636"/>
      <c r="DI52" s="636"/>
      <c r="DJ52" s="636"/>
      <c r="DK52" s="636"/>
      <c r="DL52" s="636"/>
      <c r="DM52" s="636"/>
      <c r="DN52" s="636"/>
      <c r="DO52" s="636"/>
      <c r="DP52" s="636"/>
      <c r="DQ52" s="636"/>
      <c r="DR52" s="636"/>
      <c r="DS52" s="636"/>
      <c r="DT52" s="636"/>
      <c r="DU52" s="636"/>
      <c r="DV52" s="636"/>
      <c r="DW52" s="636"/>
      <c r="DX52" s="636"/>
      <c r="DY52" s="636"/>
      <c r="DZ52" s="636"/>
      <c r="EA52" s="636"/>
    </row>
    <row r="53" spans="1:131" s="636" customFormat="1" outlineLevel="1" x14ac:dyDescent="0.2">
      <c r="A53" s="1715" t="s">
        <v>406</v>
      </c>
      <c r="B53" s="1716">
        <f>Balanço!C60</f>
        <v>0</v>
      </c>
      <c r="C53" s="1716">
        <f>Balanço!D60</f>
        <v>0</v>
      </c>
      <c r="D53" s="1716">
        <f>Balanço!E60</f>
        <v>760538.01</v>
      </c>
      <c r="E53" s="1716">
        <f>'Balanço Futuro'!C61</f>
        <v>756458.98606635001</v>
      </c>
      <c r="F53" s="1716">
        <f>'Balanço Futuro'!D61</f>
        <v>802224.75472336425</v>
      </c>
      <c r="G53" s="1716">
        <f>'Balanço Futuro'!E61</f>
        <v>850759.35238412779</v>
      </c>
      <c r="H53" s="1716">
        <f>'Balanço Futuro'!F61</f>
        <v>902230.2932033675</v>
      </c>
      <c r="I53" s="1716">
        <f>'Balanço Futuro'!G61</f>
        <v>920365.12209675531</v>
      </c>
      <c r="J53" s="1716">
        <f>'Balanço Futuro'!H61</f>
        <v>938864.46105089982</v>
      </c>
      <c r="K53" s="1716">
        <f>'Balanço Futuro'!I61</f>
        <v>957735.63671802299</v>
      </c>
      <c r="L53" s="1716">
        <f>'Balanço Futuro'!J61</f>
        <v>976986.12301605509</v>
      </c>
    </row>
    <row r="54" spans="1:131" s="636" customFormat="1" outlineLevel="1" x14ac:dyDescent="0.2">
      <c r="A54" s="1715" t="s">
        <v>544</v>
      </c>
      <c r="B54" s="1716">
        <f>Balanço!C61</f>
        <v>0</v>
      </c>
      <c r="C54" s="1716">
        <f>Balanço!D61</f>
        <v>0</v>
      </c>
      <c r="D54" s="1716">
        <f>Balanço!E61</f>
        <v>0</v>
      </c>
      <c r="E54" s="1716">
        <f>'Balanço Futuro'!C62</f>
        <v>0</v>
      </c>
      <c r="F54" s="1716">
        <f>'Balanço Futuro'!D62</f>
        <v>0</v>
      </c>
      <c r="G54" s="1716">
        <f>'Balanço Futuro'!E62</f>
        <v>0</v>
      </c>
      <c r="H54" s="1716">
        <f>'Balanço Futuro'!F62</f>
        <v>0</v>
      </c>
      <c r="I54" s="1716">
        <f>'Balanço Futuro'!G62</f>
        <v>0</v>
      </c>
      <c r="J54" s="1716">
        <f>'Balanço Futuro'!H62</f>
        <v>0</v>
      </c>
      <c r="K54" s="1716">
        <f>'Balanço Futuro'!I62</f>
        <v>0</v>
      </c>
      <c r="L54" s="1716">
        <f>'Balanço Futuro'!J62</f>
        <v>0</v>
      </c>
    </row>
    <row r="55" spans="1:131" s="636" customFormat="1" outlineLevel="1" x14ac:dyDescent="0.2">
      <c r="A55" s="1715" t="s">
        <v>514</v>
      </c>
      <c r="B55" s="1716">
        <f>Balanço!C62</f>
        <v>0</v>
      </c>
      <c r="C55" s="1716">
        <f>Balanço!D62</f>
        <v>0</v>
      </c>
      <c r="D55" s="1716">
        <f>Balanço!E62</f>
        <v>4173.5</v>
      </c>
      <c r="E55" s="1716">
        <f>'Balanço Futuro'!C63</f>
        <v>21702.518881014585</v>
      </c>
      <c r="F55" s="1716">
        <f>'Balanço Futuro'!D63</f>
        <v>27763.827324031983</v>
      </c>
      <c r="G55" s="1716">
        <f>'Balanço Futuro'!E63</f>
        <v>28440.589059023296</v>
      </c>
      <c r="H55" s="1716">
        <f>'Balanço Futuro'!F63</f>
        <v>32598.824032280852</v>
      </c>
      <c r="I55" s="1716">
        <f>'Balanço Futuro'!G63</f>
        <v>33602.817641873007</v>
      </c>
      <c r="J55" s="1716">
        <f>'Balanço Futuro'!H63</f>
        <v>35930.447206717356</v>
      </c>
      <c r="K55" s="1716">
        <f>'Balanço Futuro'!I63</f>
        <v>36748.058258552635</v>
      </c>
      <c r="L55" s="1716">
        <f>'Balanço Futuro'!J63</f>
        <v>37582.212356926299</v>
      </c>
    </row>
    <row r="56" spans="1:131" s="636" customFormat="1" outlineLevel="1" x14ac:dyDescent="0.2">
      <c r="A56" s="1715" t="s">
        <v>506</v>
      </c>
      <c r="B56" s="1716">
        <f>Balanço!C63</f>
        <v>0</v>
      </c>
      <c r="C56" s="1716">
        <f>Balanço!D63</f>
        <v>0</v>
      </c>
      <c r="D56" s="1716">
        <f>Balanço!E63</f>
        <v>0</v>
      </c>
      <c r="E56" s="1716">
        <f>'Balanço Futuro'!C64</f>
        <v>0</v>
      </c>
      <c r="F56" s="1716">
        <f>'Balanço Futuro'!D64</f>
        <v>0</v>
      </c>
      <c r="G56" s="1716">
        <f>'Balanço Futuro'!E64</f>
        <v>0</v>
      </c>
      <c r="H56" s="1716">
        <f>'Balanço Futuro'!F64</f>
        <v>0</v>
      </c>
      <c r="I56" s="1716">
        <f>'Balanço Futuro'!G64</f>
        <v>0</v>
      </c>
      <c r="J56" s="1716">
        <f>'Balanço Futuro'!H64</f>
        <v>0</v>
      </c>
      <c r="K56" s="1716">
        <f>'Balanço Futuro'!I64</f>
        <v>0</v>
      </c>
      <c r="L56" s="1716">
        <f>'Balanço Futuro'!J64</f>
        <v>0</v>
      </c>
    </row>
    <row r="57" spans="1:131" s="636" customFormat="1" outlineLevel="1" x14ac:dyDescent="0.2">
      <c r="A57" s="1715" t="s">
        <v>539</v>
      </c>
      <c r="B57" s="1716">
        <f>Balanço!C64</f>
        <v>0</v>
      </c>
      <c r="C57" s="1716">
        <f>Balanço!D64</f>
        <v>0</v>
      </c>
      <c r="D57" s="1716">
        <f>Balanço!E64</f>
        <v>0</v>
      </c>
      <c r="E57" s="1716">
        <f>'Balanço Futuro'!C65</f>
        <v>0</v>
      </c>
      <c r="F57" s="1716">
        <f ca="1">'Balanço Futuro'!D65</f>
        <v>0</v>
      </c>
      <c r="G57" s="1716">
        <f ca="1">'Balanço Futuro'!E65</f>
        <v>0</v>
      </c>
      <c r="H57" s="1716">
        <f ca="1">'Balanço Futuro'!F65</f>
        <v>0</v>
      </c>
      <c r="I57" s="1716">
        <f ca="1">'Balanço Futuro'!G65</f>
        <v>0</v>
      </c>
      <c r="J57" s="1716">
        <f ca="1">'Balanço Futuro'!H65</f>
        <v>0</v>
      </c>
      <c r="K57" s="1716">
        <f ca="1">'Balanço Futuro'!I65</f>
        <v>0</v>
      </c>
      <c r="L57" s="1716">
        <f ca="1">'Balanço Futuro'!J65</f>
        <v>0</v>
      </c>
    </row>
    <row r="58" spans="1:131" s="636" customFormat="1" outlineLevel="1" x14ac:dyDescent="0.2">
      <c r="A58" s="1715" t="s">
        <v>542</v>
      </c>
      <c r="B58" s="1716">
        <f>Balanço!C65</f>
        <v>0</v>
      </c>
      <c r="C58" s="1716">
        <f>Balanço!D65</f>
        <v>0</v>
      </c>
      <c r="D58" s="1716">
        <f>Balanço!E65</f>
        <v>241453.05</v>
      </c>
      <c r="E58" s="1716">
        <f>'Balanço Futuro'!C66</f>
        <v>241453.05</v>
      </c>
      <c r="F58" s="1716">
        <f>'Balanço Futuro'!D66</f>
        <v>241453.05</v>
      </c>
      <c r="G58" s="1716">
        <f>'Balanço Futuro'!E66</f>
        <v>241453.05</v>
      </c>
      <c r="H58" s="1716">
        <f>'Balanço Futuro'!F66</f>
        <v>241453.05</v>
      </c>
      <c r="I58" s="1716">
        <f>'Balanço Futuro'!G66</f>
        <v>241453.05</v>
      </c>
      <c r="J58" s="1716">
        <f>'Balanço Futuro'!H66</f>
        <v>241453.05</v>
      </c>
      <c r="K58" s="1716">
        <f>'Balanço Futuro'!I66</f>
        <v>241453.05</v>
      </c>
      <c r="L58" s="1716">
        <f>'Balanço Futuro'!J66</f>
        <v>241453.05</v>
      </c>
    </row>
    <row r="59" spans="1:131" s="636" customFormat="1" outlineLevel="1" x14ac:dyDescent="0.2">
      <c r="A59" s="1715" t="s">
        <v>516</v>
      </c>
      <c r="B59" s="1716">
        <f>Balanço!C66</f>
        <v>0</v>
      </c>
      <c r="C59" s="1716">
        <f>Balanço!D66</f>
        <v>0</v>
      </c>
      <c r="D59" s="1716">
        <f>Balanço!E66</f>
        <v>0</v>
      </c>
      <c r="E59" s="1716">
        <f>'Balanço Futuro'!C67</f>
        <v>0</v>
      </c>
      <c r="F59" s="1716">
        <f>'Balanço Futuro'!D67</f>
        <v>0</v>
      </c>
      <c r="G59" s="1716">
        <f>'Balanço Futuro'!E67</f>
        <v>0</v>
      </c>
      <c r="H59" s="1716">
        <f>'Balanço Futuro'!F67</f>
        <v>0</v>
      </c>
      <c r="I59" s="1716">
        <f>'Balanço Futuro'!G67</f>
        <v>0</v>
      </c>
      <c r="J59" s="1716">
        <f>'Balanço Futuro'!H67</f>
        <v>0</v>
      </c>
      <c r="K59" s="1716">
        <f>'Balanço Futuro'!I67</f>
        <v>0</v>
      </c>
      <c r="L59" s="1716">
        <f>'Balanço Futuro'!J67</f>
        <v>0</v>
      </c>
    </row>
    <row r="60" spans="1:131" s="636" customFormat="1" outlineLevel="1" x14ac:dyDescent="0.2">
      <c r="A60" s="1715" t="s">
        <v>545</v>
      </c>
      <c r="B60" s="1716">
        <f>Balanço!C67</f>
        <v>0</v>
      </c>
      <c r="C60" s="1716">
        <f>Balanço!D67</f>
        <v>0</v>
      </c>
      <c r="D60" s="1716">
        <f>Balanço!E67</f>
        <v>0</v>
      </c>
      <c r="E60" s="1716">
        <f>'Balanço Futuro'!C68</f>
        <v>0</v>
      </c>
      <c r="F60" s="1716">
        <f>'Balanço Futuro'!D68</f>
        <v>0</v>
      </c>
      <c r="G60" s="1716">
        <f>'Balanço Futuro'!E68</f>
        <v>0</v>
      </c>
      <c r="H60" s="1716">
        <f>'Balanço Futuro'!F68</f>
        <v>0</v>
      </c>
      <c r="I60" s="1716">
        <f>'Balanço Futuro'!G68</f>
        <v>0</v>
      </c>
      <c r="J60" s="1716">
        <f>'Balanço Futuro'!H68</f>
        <v>0</v>
      </c>
      <c r="K60" s="1716">
        <f>'Balanço Futuro'!I68</f>
        <v>0</v>
      </c>
      <c r="L60" s="1716">
        <f>'Balanço Futuro'!J68</f>
        <v>0</v>
      </c>
    </row>
    <row r="61" spans="1:131" s="636" customFormat="1" outlineLevel="1" x14ac:dyDescent="0.2">
      <c r="A61" s="1715" t="s">
        <v>546</v>
      </c>
      <c r="B61" s="1716">
        <f>Balanço!C68</f>
        <v>0</v>
      </c>
      <c r="C61" s="1716">
        <f>Balanço!D68</f>
        <v>0</v>
      </c>
      <c r="D61" s="1716">
        <f>Balanço!E68</f>
        <v>0</v>
      </c>
      <c r="E61" s="1716">
        <f>'Balanço Futuro'!C69</f>
        <v>0</v>
      </c>
      <c r="F61" s="1716">
        <f>'Balanço Futuro'!D69</f>
        <v>0</v>
      </c>
      <c r="G61" s="1716">
        <f>'Balanço Futuro'!E69</f>
        <v>0</v>
      </c>
      <c r="H61" s="1716">
        <f>'Balanço Futuro'!F69</f>
        <v>0</v>
      </c>
      <c r="I61" s="1716">
        <f>'Balanço Futuro'!G69</f>
        <v>0</v>
      </c>
      <c r="J61" s="1716">
        <f>'Balanço Futuro'!H69</f>
        <v>0</v>
      </c>
      <c r="K61" s="1716">
        <f>'Balanço Futuro'!I69</f>
        <v>0</v>
      </c>
      <c r="L61" s="1716">
        <f>'Balanço Futuro'!J69</f>
        <v>0</v>
      </c>
    </row>
    <row r="62" spans="1:131" s="636" customFormat="1" outlineLevel="1" x14ac:dyDescent="0.2">
      <c r="A62" s="1715" t="s">
        <v>547</v>
      </c>
      <c r="B62" s="1716">
        <f>Balanço!C69</f>
        <v>0</v>
      </c>
      <c r="C62" s="1716">
        <f>Balanço!D69</f>
        <v>0</v>
      </c>
      <c r="D62" s="1716">
        <f>Balanço!E69</f>
        <v>0</v>
      </c>
      <c r="E62" s="1716">
        <f>'Balanço Futuro'!C70</f>
        <v>0</v>
      </c>
      <c r="F62" s="1716">
        <f>'Balanço Futuro'!D70</f>
        <v>0</v>
      </c>
      <c r="G62" s="1716">
        <f>'Balanço Futuro'!E70</f>
        <v>0</v>
      </c>
      <c r="H62" s="1716">
        <f>'Balanço Futuro'!F70</f>
        <v>0</v>
      </c>
      <c r="I62" s="1716">
        <f>'Balanço Futuro'!G70</f>
        <v>0</v>
      </c>
      <c r="J62" s="1716">
        <f>'Balanço Futuro'!H70</f>
        <v>0</v>
      </c>
      <c r="K62" s="1716">
        <f>'Balanço Futuro'!I70</f>
        <v>0</v>
      </c>
      <c r="L62" s="1716">
        <f>'Balanço Futuro'!J70</f>
        <v>0</v>
      </c>
    </row>
    <row r="63" spans="1:131" s="636" customFormat="1" outlineLevel="1" x14ac:dyDescent="0.2">
      <c r="A63" s="1717" t="s">
        <v>548</v>
      </c>
      <c r="B63" s="1716">
        <f>Balanço!C70</f>
        <v>0</v>
      </c>
      <c r="C63" s="1716">
        <f>Balanço!D70</f>
        <v>0</v>
      </c>
      <c r="D63" s="1716">
        <f>Balanço!E70</f>
        <v>0</v>
      </c>
      <c r="E63" s="1716">
        <f>'Balanço Futuro'!C71</f>
        <v>0</v>
      </c>
      <c r="F63" s="1716">
        <f>'Balanço Futuro'!D71</f>
        <v>0</v>
      </c>
      <c r="G63" s="1716">
        <f>'Balanço Futuro'!E71</f>
        <v>0</v>
      </c>
      <c r="H63" s="1716">
        <f>'Balanço Futuro'!F71</f>
        <v>0</v>
      </c>
      <c r="I63" s="1716">
        <f>'Balanço Futuro'!G71</f>
        <v>0</v>
      </c>
      <c r="J63" s="1716">
        <f>'Balanço Futuro'!H71</f>
        <v>0</v>
      </c>
      <c r="K63" s="1716">
        <f>'Balanço Futuro'!I71</f>
        <v>0</v>
      </c>
      <c r="L63" s="1716">
        <f>'Balanço Futuro'!J71</f>
        <v>0</v>
      </c>
    </row>
    <row r="64" spans="1:131" s="1269" customFormat="1" outlineLevel="1" x14ac:dyDescent="0.2">
      <c r="A64" s="1267" t="s">
        <v>549</v>
      </c>
      <c r="B64" s="1268"/>
      <c r="C64" s="1268"/>
      <c r="D64" s="1268"/>
      <c r="E64" s="1268"/>
      <c r="F64" s="1268"/>
      <c r="G64" s="1268"/>
      <c r="H64" s="1268"/>
      <c r="I64" s="1268"/>
      <c r="J64" s="1277"/>
      <c r="K64" s="1277"/>
      <c r="L64" s="1277"/>
      <c r="M64" s="636"/>
      <c r="N64" s="636"/>
      <c r="O64" s="636"/>
      <c r="P64" s="636"/>
      <c r="Q64" s="636"/>
      <c r="R64" s="636"/>
      <c r="S64" s="636"/>
      <c r="T64" s="636"/>
      <c r="U64" s="636"/>
      <c r="V64" s="636"/>
      <c r="W64" s="636"/>
      <c r="X64" s="636"/>
      <c r="Y64" s="636"/>
      <c r="Z64" s="636"/>
      <c r="AA64" s="636"/>
      <c r="AB64" s="636"/>
      <c r="AC64" s="636"/>
      <c r="AD64" s="636"/>
      <c r="AE64" s="636"/>
      <c r="AF64" s="636"/>
      <c r="AG64" s="636"/>
      <c r="AH64" s="636"/>
      <c r="AI64" s="636"/>
      <c r="AJ64" s="636"/>
      <c r="AK64" s="636"/>
      <c r="AL64" s="636"/>
      <c r="AM64" s="636"/>
      <c r="AN64" s="636"/>
      <c r="AO64" s="636"/>
      <c r="AP64" s="636"/>
      <c r="AQ64" s="636"/>
      <c r="AR64" s="636"/>
      <c r="AS64" s="636"/>
      <c r="AT64" s="636"/>
      <c r="AU64" s="636"/>
      <c r="AV64" s="636"/>
      <c r="AW64" s="636"/>
      <c r="AX64" s="636"/>
      <c r="AY64" s="636"/>
      <c r="AZ64" s="636"/>
      <c r="BA64" s="636"/>
      <c r="BB64" s="636"/>
      <c r="BC64" s="636"/>
      <c r="BD64" s="636"/>
      <c r="BE64" s="636"/>
      <c r="BF64" s="636"/>
      <c r="BG64" s="636"/>
      <c r="BH64" s="636"/>
      <c r="BI64" s="636"/>
      <c r="BJ64" s="636"/>
      <c r="BK64" s="636"/>
      <c r="BL64" s="636"/>
      <c r="BM64" s="636"/>
      <c r="BN64" s="636"/>
      <c r="BO64" s="636"/>
      <c r="BP64" s="636"/>
      <c r="BQ64" s="636"/>
      <c r="BR64" s="636"/>
      <c r="BS64" s="636"/>
      <c r="BT64" s="636"/>
      <c r="BU64" s="636"/>
      <c r="BV64" s="636"/>
      <c r="BW64" s="636"/>
      <c r="BX64" s="636"/>
      <c r="BY64" s="636"/>
      <c r="BZ64" s="636"/>
      <c r="CA64" s="636"/>
      <c r="CB64" s="636"/>
      <c r="CC64" s="636"/>
      <c r="CD64" s="636"/>
      <c r="CE64" s="636"/>
      <c r="CF64" s="636"/>
      <c r="CG64" s="636"/>
      <c r="CH64" s="636"/>
      <c r="CI64" s="636"/>
      <c r="CJ64" s="636"/>
      <c r="CK64" s="636"/>
      <c r="CL64" s="636"/>
      <c r="CM64" s="636"/>
      <c r="CN64" s="636"/>
      <c r="CO64" s="636"/>
      <c r="CP64" s="636"/>
      <c r="CQ64" s="636"/>
      <c r="CR64" s="636"/>
      <c r="CS64" s="636"/>
      <c r="CT64" s="636"/>
      <c r="CU64" s="636"/>
      <c r="CV64" s="636"/>
      <c r="CW64" s="636"/>
      <c r="CX64" s="636"/>
      <c r="CY64" s="636"/>
      <c r="CZ64" s="636"/>
      <c r="DA64" s="636"/>
      <c r="DB64" s="636"/>
      <c r="DC64" s="636"/>
      <c r="DD64" s="636"/>
      <c r="DE64" s="636"/>
      <c r="DF64" s="636"/>
      <c r="DG64" s="636"/>
      <c r="DH64" s="636"/>
      <c r="DI64" s="636"/>
      <c r="DJ64" s="636"/>
      <c r="DK64" s="636"/>
      <c r="DL64" s="636"/>
      <c r="DM64" s="636"/>
      <c r="DN64" s="636"/>
      <c r="DO64" s="636"/>
      <c r="DP64" s="636"/>
      <c r="DQ64" s="636"/>
      <c r="DR64" s="636"/>
      <c r="DS64" s="636"/>
      <c r="DT64" s="636"/>
      <c r="DU64" s="636"/>
      <c r="DV64" s="636"/>
      <c r="DW64" s="636"/>
      <c r="DX64" s="636"/>
      <c r="DY64" s="636"/>
      <c r="DZ64" s="636"/>
      <c r="EA64" s="636"/>
    </row>
    <row r="65" spans="1:131" s="1260" customFormat="1" ht="12" outlineLevel="1" thickBot="1" x14ac:dyDescent="0.25">
      <c r="A65" s="1270" t="s">
        <v>550</v>
      </c>
      <c r="B65" s="1271"/>
      <c r="C65" s="1271"/>
      <c r="D65" s="1271"/>
      <c r="E65" s="1271"/>
      <c r="F65" s="1271"/>
      <c r="G65" s="1271"/>
      <c r="H65" s="1271"/>
      <c r="I65" s="1271"/>
      <c r="J65" s="1278"/>
      <c r="K65" s="1278"/>
      <c r="L65" s="1278"/>
      <c r="M65" s="1259"/>
      <c r="N65" s="1259"/>
      <c r="O65" s="1259"/>
      <c r="P65" s="1259"/>
      <c r="Q65" s="1259"/>
      <c r="R65" s="1259"/>
      <c r="S65" s="1259"/>
      <c r="T65" s="1259"/>
      <c r="U65" s="1259"/>
      <c r="V65" s="1259"/>
      <c r="W65" s="1259"/>
      <c r="X65" s="1259"/>
      <c r="Y65" s="1259"/>
      <c r="Z65" s="1259"/>
      <c r="AA65" s="1259"/>
      <c r="AB65" s="1259"/>
      <c r="AC65" s="1259"/>
      <c r="AD65" s="1259"/>
      <c r="AE65" s="1259"/>
      <c r="AF65" s="1259"/>
      <c r="AG65" s="1259"/>
      <c r="AH65" s="1259"/>
      <c r="AI65" s="1259"/>
      <c r="AJ65" s="1259"/>
      <c r="AK65" s="1259"/>
      <c r="AL65" s="1259"/>
      <c r="AM65" s="1259"/>
      <c r="AN65" s="1259"/>
      <c r="AO65" s="1259"/>
      <c r="AP65" s="1259"/>
      <c r="AQ65" s="1259"/>
      <c r="AR65" s="1259"/>
      <c r="AS65" s="1259"/>
      <c r="AT65" s="1259"/>
      <c r="AU65" s="1259"/>
      <c r="AV65" s="1259"/>
      <c r="AW65" s="1259"/>
      <c r="AX65" s="1259"/>
      <c r="AY65" s="1259"/>
      <c r="AZ65" s="1259"/>
      <c r="BA65" s="1259"/>
      <c r="BB65" s="1259"/>
      <c r="BC65" s="1259"/>
      <c r="BD65" s="1259"/>
      <c r="BE65" s="1259"/>
      <c r="BF65" s="1259"/>
      <c r="BG65" s="1259"/>
      <c r="BH65" s="1259"/>
      <c r="BI65" s="1259"/>
      <c r="BJ65" s="1259"/>
      <c r="BK65" s="1259"/>
      <c r="BL65" s="1259"/>
      <c r="BM65" s="1259"/>
      <c r="BN65" s="1259"/>
      <c r="BO65" s="1259"/>
      <c r="BP65" s="1259"/>
      <c r="BQ65" s="1259"/>
      <c r="BR65" s="1259"/>
      <c r="BS65" s="1259"/>
      <c r="BT65" s="1259"/>
      <c r="BU65" s="1259"/>
      <c r="BV65" s="1259"/>
      <c r="BW65" s="1259"/>
      <c r="BX65" s="1259"/>
      <c r="BY65" s="1259"/>
      <c r="BZ65" s="1259"/>
      <c r="CA65" s="1259"/>
      <c r="CB65" s="1259"/>
      <c r="CC65" s="1259"/>
      <c r="CD65" s="1259"/>
      <c r="CE65" s="1259"/>
      <c r="CF65" s="1259"/>
      <c r="CG65" s="1259"/>
      <c r="CH65" s="1259"/>
      <c r="CI65" s="1259"/>
      <c r="CJ65" s="1259"/>
      <c r="CK65" s="1259"/>
      <c r="CL65" s="1259"/>
      <c r="CM65" s="1259"/>
      <c r="CN65" s="1259"/>
      <c r="CO65" s="1259"/>
      <c r="CP65" s="1259"/>
      <c r="CQ65" s="1259"/>
      <c r="CR65" s="1259"/>
      <c r="CS65" s="1259"/>
      <c r="CT65" s="1259"/>
      <c r="CU65" s="1259"/>
      <c r="CV65" s="1259"/>
      <c r="CW65" s="1259"/>
      <c r="CX65" s="1259"/>
      <c r="CY65" s="1259"/>
      <c r="CZ65" s="1259"/>
      <c r="DA65" s="1259"/>
      <c r="DB65" s="1259"/>
      <c r="DC65" s="1259"/>
      <c r="DD65" s="1259"/>
      <c r="DE65" s="1259"/>
      <c r="DF65" s="1259"/>
      <c r="DG65" s="1259"/>
      <c r="DH65" s="1259"/>
      <c r="DI65" s="1259"/>
      <c r="DJ65" s="1259"/>
      <c r="DK65" s="1259"/>
      <c r="DL65" s="1259"/>
      <c r="DM65" s="1259"/>
      <c r="DN65" s="1259"/>
      <c r="DO65" s="1259"/>
      <c r="DP65" s="1259"/>
      <c r="DQ65" s="1259"/>
      <c r="DR65" s="1259"/>
      <c r="DS65" s="1259"/>
      <c r="DT65" s="1259"/>
      <c r="DU65" s="1259"/>
      <c r="DV65" s="1259"/>
      <c r="DW65" s="1259"/>
      <c r="DX65" s="1259"/>
      <c r="DY65" s="1259"/>
      <c r="DZ65" s="1259"/>
      <c r="EA65" s="1259"/>
    </row>
    <row r="66" spans="1:131" s="636" customFormat="1" ht="12" outlineLevel="1" thickTop="1" x14ac:dyDescent="0.2"/>
    <row r="67" spans="1:131" s="1272" customFormat="1" outlineLevel="1" x14ac:dyDescent="0.25">
      <c r="B67" s="1272" t="str">
        <f t="shared" ref="B67:L67" si="3">IF(B68=0, "OK", "VERIFICAR")</f>
        <v>OK</v>
      </c>
      <c r="C67" s="1272" t="str">
        <f t="shared" si="3"/>
        <v>OK</v>
      </c>
      <c r="D67" s="1272" t="str">
        <f t="shared" si="3"/>
        <v>OK</v>
      </c>
      <c r="E67" s="1272" t="str">
        <f t="shared" si="3"/>
        <v>VERIFICAR</v>
      </c>
      <c r="F67" s="1272" t="str">
        <f t="shared" ca="1" si="3"/>
        <v>VERIFICAR</v>
      </c>
      <c r="G67" s="1272" t="str">
        <f t="shared" ca="1" si="3"/>
        <v>VERIFICAR</v>
      </c>
      <c r="H67" s="1272" t="str">
        <f t="shared" ca="1" si="3"/>
        <v>VERIFICAR</v>
      </c>
      <c r="I67" s="1272" t="str">
        <f t="shared" ca="1" si="3"/>
        <v>VERIFICAR</v>
      </c>
      <c r="J67" s="1272" t="str">
        <f t="shared" ca="1" si="3"/>
        <v>VERIFICAR</v>
      </c>
      <c r="K67" s="1272" t="str">
        <f t="shared" ca="1" si="3"/>
        <v>VERIFICAR</v>
      </c>
      <c r="L67" s="1272" t="str">
        <f t="shared" ca="1" si="3"/>
        <v>VERIFICAR</v>
      </c>
    </row>
    <row r="68" spans="1:131" s="1273" customFormat="1" outlineLevel="1" x14ac:dyDescent="0.2">
      <c r="B68" s="1274">
        <f>SUM(B4:B28)-SUM(B31:B63)</f>
        <v>0</v>
      </c>
      <c r="C68" s="1274">
        <f t="shared" ref="C68:K68" si="4">SUM(C4:C28)-SUM(C31:C63)</f>
        <v>0</v>
      </c>
      <c r="D68" s="1274">
        <f t="shared" si="4"/>
        <v>0</v>
      </c>
      <c r="E68" s="1274">
        <f t="shared" si="4"/>
        <v>-4.4262539595365524E-3</v>
      </c>
      <c r="F68" s="1274">
        <f t="shared" ca="1" si="4"/>
        <v>-4.7623938880860806E-3</v>
      </c>
      <c r="G68" s="1274">
        <f t="shared" ca="1" si="4"/>
        <v>2.0238524302840233E-4</v>
      </c>
      <c r="H68" s="1274">
        <f t="shared" ca="1" si="4"/>
        <v>4.3569577392190695E-3</v>
      </c>
      <c r="I68" s="1274">
        <f t="shared" ca="1" si="4"/>
        <v>4.9857436679303646E-3</v>
      </c>
      <c r="J68" s="1274">
        <f t="shared" ca="1" si="4"/>
        <v>-3.9653973653912544E-3</v>
      </c>
      <c r="K68" s="1274">
        <f t="shared" ca="1" si="4"/>
        <v>-3.0643763020634651E-3</v>
      </c>
      <c r="L68" s="1274">
        <f t="shared" ref="L68" ca="1" si="5">SUM(L4:L28)-SUM(L31:L63)</f>
        <v>4.4637853279709816E-3</v>
      </c>
    </row>
    <row r="69" spans="1:131" s="1272" customFormat="1" x14ac:dyDescent="0.25"/>
    <row r="70" spans="1:131" s="636" customFormat="1" x14ac:dyDescent="0.2"/>
    <row r="71" spans="1:131" s="636" customFormat="1" x14ac:dyDescent="0.2"/>
    <row r="72" spans="1:131" s="636" customFormat="1" x14ac:dyDescent="0.2">
      <c r="A72" s="1963" t="s">
        <v>1185</v>
      </c>
      <c r="B72" s="1963"/>
      <c r="C72" s="1963"/>
      <c r="D72" s="1963"/>
      <c r="E72" s="1963"/>
      <c r="F72" s="1963"/>
      <c r="G72" s="1963"/>
      <c r="H72" s="1963"/>
      <c r="I72" s="1963"/>
      <c r="J72" s="1963"/>
      <c r="K72" s="1963"/>
      <c r="L72" s="1963"/>
    </row>
    <row r="73" spans="1:131" s="636" customFormat="1" outlineLevel="1" x14ac:dyDescent="0.2">
      <c r="A73" s="1263" t="s">
        <v>497</v>
      </c>
      <c r="B73" s="1727">
        <f>B2</f>
        <v>2017</v>
      </c>
      <c r="C73" s="1727">
        <f t="shared" ref="C73:L73" si="6">C2</f>
        <v>2018</v>
      </c>
      <c r="D73" s="1727">
        <f t="shared" si="6"/>
        <v>2019</v>
      </c>
      <c r="E73" s="1727">
        <f t="shared" si="6"/>
        <v>2020</v>
      </c>
      <c r="F73" s="1727">
        <f t="shared" si="6"/>
        <v>2021</v>
      </c>
      <c r="G73" s="1727">
        <f t="shared" si="6"/>
        <v>2022</v>
      </c>
      <c r="H73" s="1727">
        <f t="shared" si="6"/>
        <v>2023</v>
      </c>
      <c r="I73" s="1727">
        <f t="shared" si="6"/>
        <v>2024</v>
      </c>
      <c r="J73" s="1727">
        <f t="shared" si="6"/>
        <v>2025</v>
      </c>
      <c r="K73" s="1727">
        <f t="shared" si="6"/>
        <v>2026</v>
      </c>
      <c r="L73" s="1727">
        <f t="shared" si="6"/>
        <v>2027</v>
      </c>
    </row>
    <row r="74" spans="1:131" s="636" customFormat="1" ht="12" outlineLevel="1" thickBot="1" x14ac:dyDescent="0.25">
      <c r="A74" s="1253" t="s">
        <v>498</v>
      </c>
      <c r="B74" s="1254"/>
      <c r="C74" s="1254"/>
      <c r="D74" s="1254"/>
      <c r="E74" s="1254"/>
      <c r="F74" s="1254"/>
      <c r="G74" s="1254"/>
      <c r="H74" s="1254"/>
      <c r="I74" s="1254"/>
      <c r="J74" s="1254"/>
      <c r="K74" s="1254"/>
      <c r="L74" s="1254"/>
    </row>
    <row r="75" spans="1:131" s="636" customFormat="1" outlineLevel="1" x14ac:dyDescent="0.2">
      <c r="A75" s="1720" t="s">
        <v>499</v>
      </c>
      <c r="B75" s="1721">
        <f>ROUND(B4,2)</f>
        <v>0</v>
      </c>
      <c r="C75" s="1721">
        <f t="shared" ref="C75:L75" si="7">ROUND(C4,2)</f>
        <v>0</v>
      </c>
      <c r="D75" s="1721">
        <f t="shared" si="7"/>
        <v>84625.24</v>
      </c>
      <c r="E75" s="1721">
        <f t="shared" si="7"/>
        <v>76162.720000000001</v>
      </c>
      <c r="F75" s="1721">
        <f t="shared" si="7"/>
        <v>97700.19</v>
      </c>
      <c r="G75" s="1721">
        <f t="shared" si="7"/>
        <v>79237.67</v>
      </c>
      <c r="H75" s="1721">
        <f t="shared" si="7"/>
        <v>60775.14</v>
      </c>
      <c r="I75" s="1721">
        <f t="shared" si="7"/>
        <v>42312.62</v>
      </c>
      <c r="J75" s="1721">
        <f t="shared" si="7"/>
        <v>33850.1</v>
      </c>
      <c r="K75" s="1721">
        <f t="shared" si="7"/>
        <v>25387.57</v>
      </c>
      <c r="L75" s="1721">
        <f t="shared" si="7"/>
        <v>16925.05</v>
      </c>
    </row>
    <row r="76" spans="1:131" s="636" customFormat="1" outlineLevel="1" x14ac:dyDescent="0.2">
      <c r="A76" s="1715" t="s">
        <v>500</v>
      </c>
      <c r="B76" s="1721">
        <f>ROUND(B5,2)</f>
        <v>0</v>
      </c>
      <c r="C76" s="1721">
        <f t="shared" ref="C76:L76" si="8">ROUND(C5,2)</f>
        <v>0</v>
      </c>
      <c r="D76" s="1721">
        <f t="shared" si="8"/>
        <v>102152.86</v>
      </c>
      <c r="E76" s="1721">
        <f t="shared" si="8"/>
        <v>102152.86</v>
      </c>
      <c r="F76" s="1721">
        <f t="shared" si="8"/>
        <v>102152.86</v>
      </c>
      <c r="G76" s="1721">
        <f t="shared" si="8"/>
        <v>102152.86</v>
      </c>
      <c r="H76" s="1721">
        <f t="shared" si="8"/>
        <v>102152.86</v>
      </c>
      <c r="I76" s="1721">
        <f t="shared" si="8"/>
        <v>102152.86</v>
      </c>
      <c r="J76" s="1721">
        <f t="shared" si="8"/>
        <v>102152.86</v>
      </c>
      <c r="K76" s="1721">
        <f t="shared" si="8"/>
        <v>102152.86</v>
      </c>
      <c r="L76" s="1721">
        <f t="shared" si="8"/>
        <v>102152.86</v>
      </c>
    </row>
    <row r="77" spans="1:131" s="636" customFormat="1" outlineLevel="1" x14ac:dyDescent="0.2">
      <c r="A77" s="1715" t="s">
        <v>501</v>
      </c>
      <c r="B77" s="1721">
        <f t="shared" ref="B77:L85" si="9">ROUND(B6,2)</f>
        <v>0</v>
      </c>
      <c r="C77" s="1721">
        <f t="shared" si="9"/>
        <v>0</v>
      </c>
      <c r="D77" s="1721">
        <f t="shared" si="9"/>
        <v>0</v>
      </c>
      <c r="E77" s="1721">
        <f t="shared" si="9"/>
        <v>0</v>
      </c>
      <c r="F77" s="1721">
        <f t="shared" si="9"/>
        <v>0</v>
      </c>
      <c r="G77" s="1721">
        <f t="shared" si="9"/>
        <v>0</v>
      </c>
      <c r="H77" s="1721">
        <f t="shared" si="9"/>
        <v>0</v>
      </c>
      <c r="I77" s="1721">
        <f t="shared" si="9"/>
        <v>0</v>
      </c>
      <c r="J77" s="1721">
        <f t="shared" si="9"/>
        <v>0</v>
      </c>
      <c r="K77" s="1721">
        <f t="shared" si="9"/>
        <v>0</v>
      </c>
      <c r="L77" s="1721">
        <f t="shared" si="9"/>
        <v>0</v>
      </c>
    </row>
    <row r="78" spans="1:131" s="636" customFormat="1" outlineLevel="1" x14ac:dyDescent="0.2">
      <c r="A78" s="1715" t="s">
        <v>502</v>
      </c>
      <c r="B78" s="1721">
        <f t="shared" si="9"/>
        <v>0</v>
      </c>
      <c r="C78" s="1721">
        <f t="shared" si="9"/>
        <v>0</v>
      </c>
      <c r="D78" s="1721">
        <f t="shared" si="9"/>
        <v>0</v>
      </c>
      <c r="E78" s="1721">
        <f t="shared" si="9"/>
        <v>0</v>
      </c>
      <c r="F78" s="1721">
        <f t="shared" si="9"/>
        <v>0</v>
      </c>
      <c r="G78" s="1721">
        <f t="shared" si="9"/>
        <v>0</v>
      </c>
      <c r="H78" s="1721">
        <f t="shared" si="9"/>
        <v>0</v>
      </c>
      <c r="I78" s="1721">
        <f t="shared" si="9"/>
        <v>0</v>
      </c>
      <c r="J78" s="1721">
        <f t="shared" si="9"/>
        <v>0</v>
      </c>
      <c r="K78" s="1721">
        <f t="shared" si="9"/>
        <v>0</v>
      </c>
      <c r="L78" s="1721">
        <f t="shared" si="9"/>
        <v>0</v>
      </c>
    </row>
    <row r="79" spans="1:131" s="636" customFormat="1" outlineLevel="1" x14ac:dyDescent="0.2">
      <c r="A79" s="1715" t="s">
        <v>503</v>
      </c>
      <c r="B79" s="1721">
        <f t="shared" si="9"/>
        <v>0</v>
      </c>
      <c r="C79" s="1721">
        <f t="shared" si="9"/>
        <v>0</v>
      </c>
      <c r="D79" s="1721">
        <f t="shared" si="9"/>
        <v>0</v>
      </c>
      <c r="E79" s="1721">
        <f t="shared" si="9"/>
        <v>0</v>
      </c>
      <c r="F79" s="1721">
        <f t="shared" si="9"/>
        <v>0</v>
      </c>
      <c r="G79" s="1721">
        <f t="shared" si="9"/>
        <v>0</v>
      </c>
      <c r="H79" s="1721">
        <f t="shared" si="9"/>
        <v>0</v>
      </c>
      <c r="I79" s="1721">
        <f t="shared" si="9"/>
        <v>0</v>
      </c>
      <c r="J79" s="1721">
        <f t="shared" si="9"/>
        <v>0</v>
      </c>
      <c r="K79" s="1721">
        <f t="shared" si="9"/>
        <v>0</v>
      </c>
      <c r="L79" s="1721">
        <f t="shared" si="9"/>
        <v>0</v>
      </c>
    </row>
    <row r="80" spans="1:131" s="636" customFormat="1" outlineLevel="1" x14ac:dyDescent="0.2">
      <c r="A80" s="1715" t="s">
        <v>504</v>
      </c>
      <c r="B80" s="1721">
        <f t="shared" si="9"/>
        <v>0</v>
      </c>
      <c r="C80" s="1721">
        <f t="shared" si="9"/>
        <v>0</v>
      </c>
      <c r="D80" s="1721">
        <f t="shared" si="9"/>
        <v>0</v>
      </c>
      <c r="E80" s="1721">
        <f t="shared" si="9"/>
        <v>0</v>
      </c>
      <c r="F80" s="1721">
        <f t="shared" si="9"/>
        <v>0</v>
      </c>
      <c r="G80" s="1721">
        <f t="shared" si="9"/>
        <v>0</v>
      </c>
      <c r="H80" s="1721">
        <f t="shared" si="9"/>
        <v>0</v>
      </c>
      <c r="I80" s="1721">
        <f t="shared" si="9"/>
        <v>0</v>
      </c>
      <c r="J80" s="1721">
        <f t="shared" si="9"/>
        <v>0</v>
      </c>
      <c r="K80" s="1721">
        <f t="shared" si="9"/>
        <v>0</v>
      </c>
      <c r="L80" s="1721">
        <f t="shared" si="9"/>
        <v>0</v>
      </c>
    </row>
    <row r="81" spans="1:12" s="636" customFormat="1" outlineLevel="1" x14ac:dyDescent="0.2">
      <c r="A81" s="1715" t="s">
        <v>505</v>
      </c>
      <c r="B81" s="1721">
        <f t="shared" si="9"/>
        <v>0</v>
      </c>
      <c r="C81" s="1721">
        <f t="shared" si="9"/>
        <v>0</v>
      </c>
      <c r="D81" s="1721">
        <f t="shared" si="9"/>
        <v>0</v>
      </c>
      <c r="E81" s="1721">
        <f t="shared" si="9"/>
        <v>0</v>
      </c>
      <c r="F81" s="1721">
        <f t="shared" si="9"/>
        <v>0</v>
      </c>
      <c r="G81" s="1721">
        <f t="shared" si="9"/>
        <v>0</v>
      </c>
      <c r="H81" s="1721">
        <f t="shared" si="9"/>
        <v>0</v>
      </c>
      <c r="I81" s="1721">
        <f t="shared" si="9"/>
        <v>0</v>
      </c>
      <c r="J81" s="1721">
        <f t="shared" si="9"/>
        <v>0</v>
      </c>
      <c r="K81" s="1721">
        <f t="shared" si="9"/>
        <v>0</v>
      </c>
      <c r="L81" s="1721">
        <f t="shared" si="9"/>
        <v>0</v>
      </c>
    </row>
    <row r="82" spans="1:12" s="636" customFormat="1" outlineLevel="1" x14ac:dyDescent="0.2">
      <c r="A82" s="1715" t="s">
        <v>506</v>
      </c>
      <c r="B82" s="1721">
        <f t="shared" si="9"/>
        <v>0</v>
      </c>
      <c r="C82" s="1721">
        <f t="shared" si="9"/>
        <v>0</v>
      </c>
      <c r="D82" s="1721">
        <f t="shared" si="9"/>
        <v>0</v>
      </c>
      <c r="E82" s="1721">
        <f t="shared" si="9"/>
        <v>0</v>
      </c>
      <c r="F82" s="1721">
        <f t="shared" si="9"/>
        <v>0</v>
      </c>
      <c r="G82" s="1721">
        <f t="shared" si="9"/>
        <v>0</v>
      </c>
      <c r="H82" s="1721">
        <f t="shared" si="9"/>
        <v>0</v>
      </c>
      <c r="I82" s="1721">
        <f t="shared" si="9"/>
        <v>0</v>
      </c>
      <c r="J82" s="1721">
        <f t="shared" si="9"/>
        <v>0</v>
      </c>
      <c r="K82" s="1721">
        <f t="shared" si="9"/>
        <v>0</v>
      </c>
      <c r="L82" s="1721">
        <f t="shared" si="9"/>
        <v>0</v>
      </c>
    </row>
    <row r="83" spans="1:12" s="636" customFormat="1" outlineLevel="1" x14ac:dyDescent="0.2">
      <c r="A83" s="1715" t="s">
        <v>507</v>
      </c>
      <c r="B83" s="1721">
        <f t="shared" si="9"/>
        <v>0</v>
      </c>
      <c r="C83" s="1721">
        <f t="shared" si="9"/>
        <v>0</v>
      </c>
      <c r="D83" s="1721">
        <f t="shared" si="9"/>
        <v>347.82</v>
      </c>
      <c r="E83" s="1721">
        <f t="shared" si="9"/>
        <v>347.82</v>
      </c>
      <c r="F83" s="1721">
        <f t="shared" si="9"/>
        <v>347.82</v>
      </c>
      <c r="G83" s="1721">
        <f t="shared" si="9"/>
        <v>347.82</v>
      </c>
      <c r="H83" s="1721">
        <f t="shared" si="9"/>
        <v>347.82</v>
      </c>
      <c r="I83" s="1721">
        <f t="shared" si="9"/>
        <v>347.82</v>
      </c>
      <c r="J83" s="1721">
        <f t="shared" si="9"/>
        <v>347.82</v>
      </c>
      <c r="K83" s="1721">
        <f t="shared" si="9"/>
        <v>347.82</v>
      </c>
      <c r="L83" s="1721">
        <f t="shared" si="9"/>
        <v>347.82</v>
      </c>
    </row>
    <row r="84" spans="1:12" s="636" customFormat="1" outlineLevel="1" x14ac:dyDescent="0.2">
      <c r="A84" s="1715" t="s">
        <v>508</v>
      </c>
      <c r="B84" s="1721">
        <f t="shared" si="9"/>
        <v>0</v>
      </c>
      <c r="C84" s="1721">
        <f t="shared" si="9"/>
        <v>0</v>
      </c>
      <c r="D84" s="1721">
        <f t="shared" si="9"/>
        <v>0</v>
      </c>
      <c r="E84" s="1721">
        <f t="shared" si="9"/>
        <v>0</v>
      </c>
      <c r="F84" s="1721">
        <f t="shared" si="9"/>
        <v>0</v>
      </c>
      <c r="G84" s="1721">
        <f t="shared" si="9"/>
        <v>0</v>
      </c>
      <c r="H84" s="1721">
        <f t="shared" si="9"/>
        <v>0</v>
      </c>
      <c r="I84" s="1721">
        <f t="shared" si="9"/>
        <v>0</v>
      </c>
      <c r="J84" s="1721">
        <f t="shared" si="9"/>
        <v>0</v>
      </c>
      <c r="K84" s="1721">
        <f t="shared" si="9"/>
        <v>0</v>
      </c>
      <c r="L84" s="1721">
        <f t="shared" si="9"/>
        <v>0</v>
      </c>
    </row>
    <row r="85" spans="1:12" s="636" customFormat="1" ht="12" outlineLevel="1" thickBot="1" x14ac:dyDescent="0.25">
      <c r="A85" s="1723" t="s">
        <v>509</v>
      </c>
      <c r="B85" s="1721">
        <f t="shared" si="9"/>
        <v>0</v>
      </c>
      <c r="C85" s="1721">
        <f t="shared" si="9"/>
        <v>0</v>
      </c>
      <c r="D85" s="1721">
        <f t="shared" si="9"/>
        <v>0</v>
      </c>
      <c r="E85" s="1721">
        <f t="shared" si="9"/>
        <v>0</v>
      </c>
      <c r="F85" s="1721">
        <f t="shared" si="9"/>
        <v>0</v>
      </c>
      <c r="G85" s="1721">
        <f t="shared" si="9"/>
        <v>0</v>
      </c>
      <c r="H85" s="1721">
        <f t="shared" si="9"/>
        <v>0</v>
      </c>
      <c r="I85" s="1721">
        <f t="shared" si="9"/>
        <v>0</v>
      </c>
      <c r="J85" s="1721">
        <f t="shared" si="9"/>
        <v>0</v>
      </c>
      <c r="K85" s="1721">
        <f t="shared" si="9"/>
        <v>0</v>
      </c>
      <c r="L85" s="1721">
        <f t="shared" si="9"/>
        <v>0</v>
      </c>
    </row>
    <row r="86" spans="1:12" s="636" customFormat="1" ht="12" outlineLevel="1" thickBot="1" x14ac:dyDescent="0.25">
      <c r="A86" s="1724" t="s">
        <v>510</v>
      </c>
      <c r="B86" s="1725"/>
      <c r="C86" s="1725"/>
      <c r="D86" s="1725"/>
      <c r="E86" s="1725"/>
      <c r="F86" s="1725"/>
      <c r="G86" s="1725"/>
      <c r="H86" s="1725"/>
      <c r="I86" s="1725"/>
      <c r="J86" s="1725"/>
      <c r="K86" s="1725"/>
      <c r="L86" s="1725"/>
    </row>
    <row r="87" spans="1:12" s="636" customFormat="1" outlineLevel="1" x14ac:dyDescent="0.2">
      <c r="A87" s="1720" t="s">
        <v>511</v>
      </c>
      <c r="B87" s="1721">
        <f>ROUND(B16,2)</f>
        <v>0</v>
      </c>
      <c r="C87" s="1721">
        <f t="shared" ref="C87:L87" si="10">ROUND(C16,2)</f>
        <v>0</v>
      </c>
      <c r="D87" s="1721">
        <f t="shared" si="10"/>
        <v>343630.82</v>
      </c>
      <c r="E87" s="1721">
        <f t="shared" si="10"/>
        <v>241390.37</v>
      </c>
      <c r="F87" s="1721">
        <f t="shared" si="10"/>
        <v>255994.48</v>
      </c>
      <c r="G87" s="1721">
        <f t="shared" si="10"/>
        <v>269752.96999999997</v>
      </c>
      <c r="H87" s="1721">
        <f t="shared" si="10"/>
        <v>286073.02</v>
      </c>
      <c r="I87" s="1721">
        <f t="shared" si="10"/>
        <v>291823.09000000003</v>
      </c>
      <c r="J87" s="1721">
        <f t="shared" si="10"/>
        <v>297688.73</v>
      </c>
      <c r="K87" s="1721">
        <f t="shared" si="10"/>
        <v>303672.28000000003</v>
      </c>
      <c r="L87" s="1721">
        <f t="shared" si="10"/>
        <v>309776.09000000003</v>
      </c>
    </row>
    <row r="88" spans="1:12" s="636" customFormat="1" outlineLevel="1" x14ac:dyDescent="0.2">
      <c r="A88" s="1715" t="s">
        <v>503</v>
      </c>
      <c r="B88" s="1721">
        <f t="shared" ref="B88:L99" si="11">ROUND(B17,2)</f>
        <v>0</v>
      </c>
      <c r="C88" s="1721">
        <f t="shared" si="11"/>
        <v>0</v>
      </c>
      <c r="D88" s="1721">
        <f t="shared" si="11"/>
        <v>0</v>
      </c>
      <c r="E88" s="1721">
        <f t="shared" si="11"/>
        <v>0</v>
      </c>
      <c r="F88" s="1721">
        <f t="shared" si="11"/>
        <v>0</v>
      </c>
      <c r="G88" s="1721">
        <f t="shared" si="11"/>
        <v>0</v>
      </c>
      <c r="H88" s="1721">
        <f t="shared" si="11"/>
        <v>0</v>
      </c>
      <c r="I88" s="1721">
        <f t="shared" si="11"/>
        <v>0</v>
      </c>
      <c r="J88" s="1721">
        <f t="shared" si="11"/>
        <v>0</v>
      </c>
      <c r="K88" s="1721">
        <f t="shared" si="11"/>
        <v>0</v>
      </c>
      <c r="L88" s="1721">
        <f t="shared" si="11"/>
        <v>0</v>
      </c>
    </row>
    <row r="89" spans="1:12" s="636" customFormat="1" outlineLevel="1" x14ac:dyDescent="0.2">
      <c r="A89" s="1715" t="s">
        <v>512</v>
      </c>
      <c r="B89" s="1721">
        <f t="shared" si="11"/>
        <v>0</v>
      </c>
      <c r="C89" s="1721">
        <f t="shared" si="11"/>
        <v>0</v>
      </c>
      <c r="D89" s="1721">
        <f t="shared" si="11"/>
        <v>758084.77</v>
      </c>
      <c r="E89" s="1721">
        <f t="shared" si="11"/>
        <v>1134688.48</v>
      </c>
      <c r="F89" s="1721">
        <f t="shared" si="11"/>
        <v>1203337.1299999999</v>
      </c>
      <c r="G89" s="1721">
        <f t="shared" si="11"/>
        <v>1276139.03</v>
      </c>
      <c r="H89" s="1721">
        <f t="shared" si="11"/>
        <v>1353345.44</v>
      </c>
      <c r="I89" s="1721">
        <f t="shared" si="11"/>
        <v>1380547.68</v>
      </c>
      <c r="J89" s="1721">
        <f t="shared" si="11"/>
        <v>1408296.69</v>
      </c>
      <c r="K89" s="1721">
        <f t="shared" si="11"/>
        <v>1436603.46</v>
      </c>
      <c r="L89" s="1721">
        <f t="shared" si="11"/>
        <v>1465479.18</v>
      </c>
    </row>
    <row r="90" spans="1:12" s="636" customFormat="1" outlineLevel="1" x14ac:dyDescent="0.2">
      <c r="A90" s="1715" t="s">
        <v>513</v>
      </c>
      <c r="B90" s="1721">
        <f t="shared" si="11"/>
        <v>0</v>
      </c>
      <c r="C90" s="1721">
        <f t="shared" si="11"/>
        <v>0</v>
      </c>
      <c r="D90" s="1721">
        <f t="shared" si="11"/>
        <v>0</v>
      </c>
      <c r="E90" s="1721">
        <f t="shared" si="11"/>
        <v>0</v>
      </c>
      <c r="F90" s="1721">
        <f t="shared" si="11"/>
        <v>0</v>
      </c>
      <c r="G90" s="1721">
        <f t="shared" si="11"/>
        <v>0</v>
      </c>
      <c r="H90" s="1721">
        <f t="shared" si="11"/>
        <v>0</v>
      </c>
      <c r="I90" s="1721">
        <f t="shared" si="11"/>
        <v>0</v>
      </c>
      <c r="J90" s="1721">
        <f t="shared" si="11"/>
        <v>0</v>
      </c>
      <c r="K90" s="1721">
        <f t="shared" si="11"/>
        <v>0</v>
      </c>
      <c r="L90" s="1721">
        <f t="shared" si="11"/>
        <v>0</v>
      </c>
    </row>
    <row r="91" spans="1:12" s="636" customFormat="1" outlineLevel="1" x14ac:dyDescent="0.2">
      <c r="A91" s="1715" t="s">
        <v>514</v>
      </c>
      <c r="B91" s="1721">
        <f t="shared" si="11"/>
        <v>0</v>
      </c>
      <c r="C91" s="1721">
        <f t="shared" si="11"/>
        <v>0</v>
      </c>
      <c r="D91" s="1721">
        <f t="shared" si="11"/>
        <v>21003.43</v>
      </c>
      <c r="E91" s="1721">
        <f t="shared" si="11"/>
        <v>0</v>
      </c>
      <c r="F91" s="1721">
        <f t="shared" si="11"/>
        <v>0</v>
      </c>
      <c r="G91" s="1721">
        <f t="shared" si="11"/>
        <v>0</v>
      </c>
      <c r="H91" s="1721">
        <f t="shared" si="11"/>
        <v>0</v>
      </c>
      <c r="I91" s="1721">
        <f t="shared" si="11"/>
        <v>0</v>
      </c>
      <c r="J91" s="1721">
        <f t="shared" si="11"/>
        <v>0</v>
      </c>
      <c r="K91" s="1721">
        <f t="shared" si="11"/>
        <v>0</v>
      </c>
      <c r="L91" s="1721">
        <f t="shared" si="11"/>
        <v>0</v>
      </c>
    </row>
    <row r="92" spans="1:12" s="636" customFormat="1" outlineLevel="1" x14ac:dyDescent="0.2">
      <c r="A92" s="1715" t="s">
        <v>506</v>
      </c>
      <c r="B92" s="1721">
        <f t="shared" si="11"/>
        <v>0</v>
      </c>
      <c r="C92" s="1721">
        <f t="shared" si="11"/>
        <v>0</v>
      </c>
      <c r="D92" s="1721">
        <f t="shared" si="11"/>
        <v>0</v>
      </c>
      <c r="E92" s="1721">
        <f t="shared" si="11"/>
        <v>0</v>
      </c>
      <c r="F92" s="1721">
        <f t="shared" si="11"/>
        <v>0</v>
      </c>
      <c r="G92" s="1721">
        <f t="shared" si="11"/>
        <v>0</v>
      </c>
      <c r="H92" s="1721">
        <f t="shared" si="11"/>
        <v>0</v>
      </c>
      <c r="I92" s="1721">
        <f t="shared" si="11"/>
        <v>0</v>
      </c>
      <c r="J92" s="1721">
        <f t="shared" si="11"/>
        <v>0</v>
      </c>
      <c r="K92" s="1721">
        <f t="shared" si="11"/>
        <v>0</v>
      </c>
      <c r="L92" s="1721">
        <f t="shared" si="11"/>
        <v>0</v>
      </c>
    </row>
    <row r="93" spans="1:12" s="636" customFormat="1" outlineLevel="1" x14ac:dyDescent="0.2">
      <c r="A93" s="1715" t="s">
        <v>515</v>
      </c>
      <c r="B93" s="1721">
        <f t="shared" si="11"/>
        <v>0</v>
      </c>
      <c r="C93" s="1721">
        <f t="shared" si="11"/>
        <v>0</v>
      </c>
      <c r="D93" s="1721">
        <f t="shared" si="11"/>
        <v>80826.210000000006</v>
      </c>
      <c r="E93" s="1721">
        <f t="shared" si="11"/>
        <v>80826.210000000006</v>
      </c>
      <c r="F93" s="1721">
        <f t="shared" si="11"/>
        <v>80826.210000000006</v>
      </c>
      <c r="G93" s="1721">
        <f t="shared" si="11"/>
        <v>80826.210000000006</v>
      </c>
      <c r="H93" s="1721">
        <f t="shared" si="11"/>
        <v>80826.210000000006</v>
      </c>
      <c r="I93" s="1721">
        <f t="shared" si="11"/>
        <v>80826.210000000006</v>
      </c>
      <c r="J93" s="1721">
        <f t="shared" si="11"/>
        <v>80826.210000000006</v>
      </c>
      <c r="K93" s="1721">
        <f t="shared" si="11"/>
        <v>80826.210000000006</v>
      </c>
      <c r="L93" s="1721">
        <f t="shared" si="11"/>
        <v>80826.210000000006</v>
      </c>
    </row>
    <row r="94" spans="1:12" s="636" customFormat="1" outlineLevel="1" x14ac:dyDescent="0.2">
      <c r="A94" s="1715" t="s">
        <v>516</v>
      </c>
      <c r="B94" s="1721">
        <f t="shared" si="11"/>
        <v>0</v>
      </c>
      <c r="C94" s="1721">
        <f t="shared" si="11"/>
        <v>0</v>
      </c>
      <c r="D94" s="1721">
        <f t="shared" si="11"/>
        <v>955.33</v>
      </c>
      <c r="E94" s="1721">
        <f t="shared" si="11"/>
        <v>955.33</v>
      </c>
      <c r="F94" s="1721">
        <f t="shared" si="11"/>
        <v>955.33</v>
      </c>
      <c r="G94" s="1721">
        <f t="shared" si="11"/>
        <v>955.33</v>
      </c>
      <c r="H94" s="1721">
        <f t="shared" si="11"/>
        <v>955.33</v>
      </c>
      <c r="I94" s="1721">
        <f t="shared" si="11"/>
        <v>955.33</v>
      </c>
      <c r="J94" s="1721">
        <f t="shared" si="11"/>
        <v>955.33</v>
      </c>
      <c r="K94" s="1721">
        <f t="shared" si="11"/>
        <v>955.33</v>
      </c>
      <c r="L94" s="1721">
        <f t="shared" si="11"/>
        <v>955.33</v>
      </c>
    </row>
    <row r="95" spans="1:12" s="636" customFormat="1" outlineLevel="1" x14ac:dyDescent="0.2">
      <c r="A95" s="1715" t="s">
        <v>517</v>
      </c>
      <c r="B95" s="1721">
        <f t="shared" si="11"/>
        <v>0</v>
      </c>
      <c r="C95" s="1721">
        <f t="shared" si="11"/>
        <v>0</v>
      </c>
      <c r="D95" s="1721">
        <f t="shared" si="11"/>
        <v>0</v>
      </c>
      <c r="E95" s="1721">
        <f t="shared" si="11"/>
        <v>0</v>
      </c>
      <c r="F95" s="1721">
        <f t="shared" si="11"/>
        <v>0</v>
      </c>
      <c r="G95" s="1721">
        <f t="shared" si="11"/>
        <v>0</v>
      </c>
      <c r="H95" s="1721">
        <f t="shared" si="11"/>
        <v>0</v>
      </c>
      <c r="I95" s="1721">
        <f t="shared" si="11"/>
        <v>0</v>
      </c>
      <c r="J95" s="1721">
        <f t="shared" si="11"/>
        <v>0</v>
      </c>
      <c r="K95" s="1721">
        <f t="shared" si="11"/>
        <v>0</v>
      </c>
      <c r="L95" s="1721">
        <f t="shared" si="11"/>
        <v>0</v>
      </c>
    </row>
    <row r="96" spans="1:12" s="636" customFormat="1" outlineLevel="1" x14ac:dyDescent="0.2">
      <c r="A96" s="1715" t="s">
        <v>507</v>
      </c>
      <c r="B96" s="1721">
        <f t="shared" si="11"/>
        <v>0</v>
      </c>
      <c r="C96" s="1721">
        <f t="shared" si="11"/>
        <v>0</v>
      </c>
      <c r="D96" s="1721">
        <f t="shared" si="11"/>
        <v>0</v>
      </c>
      <c r="E96" s="1721">
        <f t="shared" si="11"/>
        <v>0</v>
      </c>
      <c r="F96" s="1721">
        <f t="shared" si="11"/>
        <v>0</v>
      </c>
      <c r="G96" s="1721">
        <f t="shared" si="11"/>
        <v>0</v>
      </c>
      <c r="H96" s="1721">
        <f t="shared" si="11"/>
        <v>0</v>
      </c>
      <c r="I96" s="1721">
        <f t="shared" si="11"/>
        <v>0</v>
      </c>
      <c r="J96" s="1721">
        <f t="shared" si="11"/>
        <v>0</v>
      </c>
      <c r="K96" s="1721">
        <f t="shared" si="11"/>
        <v>0</v>
      </c>
      <c r="L96" s="1721">
        <f t="shared" si="11"/>
        <v>0</v>
      </c>
    </row>
    <row r="97" spans="1:12" outlineLevel="1" x14ac:dyDescent="0.2">
      <c r="A97" s="1715" t="s">
        <v>518</v>
      </c>
      <c r="B97" s="1721">
        <f t="shared" si="11"/>
        <v>0</v>
      </c>
      <c r="C97" s="1721">
        <f t="shared" si="11"/>
        <v>0</v>
      </c>
      <c r="D97" s="1721">
        <f t="shared" si="11"/>
        <v>0</v>
      </c>
      <c r="E97" s="1721">
        <f t="shared" si="11"/>
        <v>0</v>
      </c>
      <c r="F97" s="1721">
        <f t="shared" si="11"/>
        <v>0</v>
      </c>
      <c r="G97" s="1721">
        <f t="shared" si="11"/>
        <v>0</v>
      </c>
      <c r="H97" s="1721">
        <f t="shared" si="11"/>
        <v>0</v>
      </c>
      <c r="I97" s="1721">
        <f t="shared" si="11"/>
        <v>0</v>
      </c>
      <c r="J97" s="1721">
        <f t="shared" si="11"/>
        <v>0</v>
      </c>
      <c r="K97" s="1721">
        <f t="shared" si="11"/>
        <v>0</v>
      </c>
      <c r="L97" s="1721">
        <f t="shared" si="11"/>
        <v>0</v>
      </c>
    </row>
    <row r="98" spans="1:12" outlineLevel="1" x14ac:dyDescent="0.2">
      <c r="A98" s="1715" t="s">
        <v>519</v>
      </c>
      <c r="B98" s="1721">
        <f t="shared" si="11"/>
        <v>0</v>
      </c>
      <c r="C98" s="1721">
        <f t="shared" si="11"/>
        <v>0</v>
      </c>
      <c r="D98" s="1721">
        <f t="shared" si="11"/>
        <v>0</v>
      </c>
      <c r="E98" s="1721">
        <f t="shared" si="11"/>
        <v>0</v>
      </c>
      <c r="F98" s="1721">
        <f t="shared" si="11"/>
        <v>0</v>
      </c>
      <c r="G98" s="1721">
        <f t="shared" si="11"/>
        <v>0</v>
      </c>
      <c r="H98" s="1721">
        <f t="shared" si="11"/>
        <v>0</v>
      </c>
      <c r="I98" s="1721">
        <f t="shared" si="11"/>
        <v>0</v>
      </c>
      <c r="J98" s="1721">
        <f t="shared" si="11"/>
        <v>0</v>
      </c>
      <c r="K98" s="1721">
        <f t="shared" si="11"/>
        <v>0</v>
      </c>
      <c r="L98" s="1721">
        <f t="shared" si="11"/>
        <v>0</v>
      </c>
    </row>
    <row r="99" spans="1:12" outlineLevel="1" x14ac:dyDescent="0.2">
      <c r="A99" s="1715" t="s">
        <v>520</v>
      </c>
      <c r="B99" s="1721">
        <f t="shared" si="11"/>
        <v>0</v>
      </c>
      <c r="C99" s="1721">
        <f t="shared" si="11"/>
        <v>0</v>
      </c>
      <c r="D99" s="1721">
        <f t="shared" si="11"/>
        <v>215805.41</v>
      </c>
      <c r="E99" s="1721">
        <f t="shared" si="11"/>
        <v>23550.44</v>
      </c>
      <c r="F99" s="1721">
        <f t="shared" si="11"/>
        <v>85411.44</v>
      </c>
      <c r="G99" s="1721">
        <f t="shared" si="11"/>
        <v>134863.93</v>
      </c>
      <c r="H99" s="1721">
        <f t="shared" si="11"/>
        <v>171226.18</v>
      </c>
      <c r="I99" s="1721">
        <f t="shared" si="11"/>
        <v>233278.84</v>
      </c>
      <c r="J99" s="1721">
        <f t="shared" si="11"/>
        <v>293205.43</v>
      </c>
      <c r="K99" s="1721">
        <f t="shared" si="11"/>
        <v>352941.69</v>
      </c>
      <c r="L99" s="1721">
        <f t="shared" si="11"/>
        <v>414041.15</v>
      </c>
    </row>
    <row r="100" spans="1:12" outlineLevel="1" x14ac:dyDescent="0.2">
      <c r="A100" s="1257" t="s">
        <v>521</v>
      </c>
      <c r="B100" s="1258"/>
      <c r="C100" s="1258"/>
      <c r="D100" s="1258"/>
      <c r="E100" s="1258"/>
      <c r="F100" s="1258"/>
      <c r="G100" s="1258"/>
      <c r="H100" s="1258"/>
      <c r="I100" s="1258"/>
      <c r="J100" s="1275"/>
      <c r="K100" s="1275"/>
      <c r="L100" s="1275"/>
    </row>
    <row r="101" spans="1:12" outlineLevel="1" x14ac:dyDescent="0.2">
      <c r="A101" s="1715" t="s">
        <v>522</v>
      </c>
      <c r="B101" s="1719"/>
      <c r="C101" s="1719"/>
      <c r="D101" s="1719"/>
      <c r="E101" s="1719"/>
      <c r="F101" s="1719"/>
      <c r="G101" s="1719"/>
      <c r="H101" s="1719"/>
      <c r="I101" s="1719"/>
      <c r="J101" s="1719"/>
      <c r="K101" s="1719"/>
      <c r="L101" s="1719"/>
    </row>
    <row r="102" spans="1:12" outlineLevel="1" x14ac:dyDescent="0.2">
      <c r="A102" s="1715" t="s">
        <v>523</v>
      </c>
      <c r="B102" s="1716">
        <f>ROUND(B31,2)</f>
        <v>0</v>
      </c>
      <c r="C102" s="1716">
        <f t="shared" ref="C102:L102" si="12">ROUND(C31,2)</f>
        <v>0</v>
      </c>
      <c r="D102" s="1716">
        <f t="shared" si="12"/>
        <v>300000</v>
      </c>
      <c r="E102" s="1716">
        <f t="shared" si="12"/>
        <v>300000</v>
      </c>
      <c r="F102" s="1716">
        <f t="shared" si="12"/>
        <v>300000</v>
      </c>
      <c r="G102" s="1716">
        <f t="shared" si="12"/>
        <v>300000</v>
      </c>
      <c r="H102" s="1716">
        <f t="shared" si="12"/>
        <v>300000</v>
      </c>
      <c r="I102" s="1716">
        <f t="shared" si="12"/>
        <v>300000</v>
      </c>
      <c r="J102" s="1716">
        <f t="shared" si="12"/>
        <v>300000</v>
      </c>
      <c r="K102" s="1716">
        <f t="shared" si="12"/>
        <v>300000</v>
      </c>
      <c r="L102" s="1716">
        <f t="shared" si="12"/>
        <v>300000</v>
      </c>
    </row>
    <row r="103" spans="1:12" outlineLevel="1" x14ac:dyDescent="0.2">
      <c r="A103" s="1715" t="s">
        <v>524</v>
      </c>
      <c r="B103" s="1716">
        <f t="shared" ref="B103:L114" si="13">ROUND(B32,2)</f>
        <v>0</v>
      </c>
      <c r="C103" s="1716">
        <f t="shared" si="13"/>
        <v>0</v>
      </c>
      <c r="D103" s="1716">
        <f t="shared" si="13"/>
        <v>0</v>
      </c>
      <c r="E103" s="1716">
        <f t="shared" si="13"/>
        <v>0</v>
      </c>
      <c r="F103" s="1716">
        <f t="shared" si="13"/>
        <v>0</v>
      </c>
      <c r="G103" s="1716">
        <f t="shared" si="13"/>
        <v>0</v>
      </c>
      <c r="H103" s="1716">
        <f t="shared" si="13"/>
        <v>0</v>
      </c>
      <c r="I103" s="1716">
        <f t="shared" si="13"/>
        <v>0</v>
      </c>
      <c r="J103" s="1716">
        <f t="shared" si="13"/>
        <v>0</v>
      </c>
      <c r="K103" s="1716">
        <f t="shared" si="13"/>
        <v>0</v>
      </c>
      <c r="L103" s="1716">
        <f t="shared" si="13"/>
        <v>0</v>
      </c>
    </row>
    <row r="104" spans="1:12" outlineLevel="1" x14ac:dyDescent="0.2">
      <c r="A104" s="1715" t="s">
        <v>525</v>
      </c>
      <c r="B104" s="1716">
        <f t="shared" si="13"/>
        <v>0</v>
      </c>
      <c r="C104" s="1716">
        <f t="shared" si="13"/>
        <v>0</v>
      </c>
      <c r="D104" s="1716">
        <f t="shared" si="13"/>
        <v>0</v>
      </c>
      <c r="E104" s="1716">
        <f t="shared" si="13"/>
        <v>5158.8100000000004</v>
      </c>
      <c r="F104" s="1716">
        <f t="shared" si="13"/>
        <v>28514.61</v>
      </c>
      <c r="G104" s="1716">
        <f t="shared" si="13"/>
        <v>37087.25</v>
      </c>
      <c r="H104" s="1716">
        <f t="shared" si="13"/>
        <v>37087.25</v>
      </c>
      <c r="I104" s="1716">
        <f t="shared" si="13"/>
        <v>37087.25</v>
      </c>
      <c r="J104" s="1716">
        <f t="shared" si="13"/>
        <v>37087.25</v>
      </c>
      <c r="K104" s="1716">
        <f t="shared" si="13"/>
        <v>37087.25</v>
      </c>
      <c r="L104" s="1716">
        <f t="shared" si="13"/>
        <v>37087.25</v>
      </c>
    </row>
    <row r="105" spans="1:12" outlineLevel="1" x14ac:dyDescent="0.2">
      <c r="A105" s="1715" t="s">
        <v>526</v>
      </c>
      <c r="B105" s="1716">
        <f t="shared" si="13"/>
        <v>0</v>
      </c>
      <c r="C105" s="1716">
        <f t="shared" si="13"/>
        <v>0</v>
      </c>
      <c r="D105" s="1716">
        <f t="shared" si="13"/>
        <v>0</v>
      </c>
      <c r="E105" s="1716">
        <f t="shared" si="13"/>
        <v>0</v>
      </c>
      <c r="F105" s="1716">
        <f t="shared" si="13"/>
        <v>0</v>
      </c>
      <c r="G105" s="1716">
        <f t="shared" si="13"/>
        <v>0</v>
      </c>
      <c r="H105" s="1716">
        <f t="shared" si="13"/>
        <v>0</v>
      </c>
      <c r="I105" s="1716">
        <f t="shared" si="13"/>
        <v>0</v>
      </c>
      <c r="J105" s="1716">
        <f t="shared" si="13"/>
        <v>0</v>
      </c>
      <c r="K105" s="1716">
        <f t="shared" si="13"/>
        <v>0</v>
      </c>
      <c r="L105" s="1716">
        <f t="shared" si="13"/>
        <v>0</v>
      </c>
    </row>
    <row r="106" spans="1:12" outlineLevel="1" x14ac:dyDescent="0.2">
      <c r="A106" s="1715" t="s">
        <v>527</v>
      </c>
      <c r="B106" s="1716">
        <f t="shared" si="13"/>
        <v>0</v>
      </c>
      <c r="C106" s="1716">
        <f t="shared" si="13"/>
        <v>0</v>
      </c>
      <c r="D106" s="1716">
        <f t="shared" si="13"/>
        <v>14785.57</v>
      </c>
      <c r="E106" s="1716">
        <f t="shared" si="13"/>
        <v>29109.66</v>
      </c>
      <c r="F106" s="1716">
        <f t="shared" si="13"/>
        <v>43954.92</v>
      </c>
      <c r="G106" s="1716">
        <f t="shared" si="13"/>
        <v>60000</v>
      </c>
      <c r="H106" s="1716">
        <f t="shared" si="13"/>
        <v>60000</v>
      </c>
      <c r="I106" s="1716">
        <f t="shared" si="13"/>
        <v>60000</v>
      </c>
      <c r="J106" s="1716">
        <f t="shared" si="13"/>
        <v>60000</v>
      </c>
      <c r="K106" s="1716">
        <f t="shared" si="13"/>
        <v>60000</v>
      </c>
      <c r="L106" s="1716">
        <f t="shared" si="13"/>
        <v>60000</v>
      </c>
    </row>
    <row r="107" spans="1:12" outlineLevel="1" x14ac:dyDescent="0.2">
      <c r="A107" s="1715" t="s">
        <v>528</v>
      </c>
      <c r="B107" s="1716">
        <f t="shared" si="13"/>
        <v>0</v>
      </c>
      <c r="C107" s="1716">
        <f t="shared" si="13"/>
        <v>0</v>
      </c>
      <c r="D107" s="1716">
        <f t="shared" si="13"/>
        <v>0</v>
      </c>
      <c r="E107" s="1716">
        <f t="shared" si="13"/>
        <v>0</v>
      </c>
      <c r="F107" s="1716">
        <f t="shared" si="13"/>
        <v>0</v>
      </c>
      <c r="G107" s="1716">
        <f t="shared" si="13"/>
        <v>0</v>
      </c>
      <c r="H107" s="1716">
        <f t="shared" si="13"/>
        <v>0</v>
      </c>
      <c r="I107" s="1716">
        <f t="shared" si="13"/>
        <v>0</v>
      </c>
      <c r="J107" s="1716">
        <f t="shared" si="13"/>
        <v>0</v>
      </c>
      <c r="K107" s="1716">
        <f t="shared" si="13"/>
        <v>0</v>
      </c>
      <c r="L107" s="1716">
        <f t="shared" si="13"/>
        <v>0</v>
      </c>
    </row>
    <row r="108" spans="1:12" outlineLevel="1" x14ac:dyDescent="0.2">
      <c r="A108" s="1715" t="s">
        <v>529</v>
      </c>
      <c r="B108" s="1716">
        <f t="shared" si="13"/>
        <v>0</v>
      </c>
      <c r="C108" s="1716">
        <f t="shared" si="13"/>
        <v>0</v>
      </c>
      <c r="D108" s="1716">
        <f t="shared" si="13"/>
        <v>254627.19</v>
      </c>
      <c r="E108" s="1716">
        <f t="shared" si="13"/>
        <v>272157.67</v>
      </c>
      <c r="F108" s="1716">
        <f t="shared" si="13"/>
        <v>282060.07</v>
      </c>
      <c r="G108" s="1716">
        <f t="shared" si="13"/>
        <v>315442.94</v>
      </c>
      <c r="H108" s="1716">
        <f t="shared" si="13"/>
        <v>359778.52</v>
      </c>
      <c r="I108" s="1716">
        <f t="shared" si="13"/>
        <v>415575.54</v>
      </c>
      <c r="J108" s="1716">
        <f t="shared" si="13"/>
        <v>472979.16</v>
      </c>
      <c r="K108" s="1716">
        <f t="shared" si="13"/>
        <v>537230.91</v>
      </c>
      <c r="L108" s="1716">
        <f t="shared" si="13"/>
        <v>603106.16</v>
      </c>
    </row>
    <row r="109" spans="1:12" outlineLevel="1" x14ac:dyDescent="0.2">
      <c r="A109" s="1715" t="s">
        <v>530</v>
      </c>
      <c r="B109" s="1716">
        <f t="shared" si="13"/>
        <v>0</v>
      </c>
      <c r="C109" s="1716">
        <f t="shared" si="13"/>
        <v>0</v>
      </c>
      <c r="D109" s="1716">
        <f t="shared" si="13"/>
        <v>0</v>
      </c>
      <c r="E109" s="1716">
        <f t="shared" si="13"/>
        <v>0</v>
      </c>
      <c r="F109" s="1716">
        <f t="shared" si="13"/>
        <v>0</v>
      </c>
      <c r="G109" s="1716">
        <f t="shared" si="13"/>
        <v>0</v>
      </c>
      <c r="H109" s="1716">
        <f t="shared" si="13"/>
        <v>0</v>
      </c>
      <c r="I109" s="1716">
        <f t="shared" si="13"/>
        <v>0</v>
      </c>
      <c r="J109" s="1716">
        <f t="shared" si="13"/>
        <v>0</v>
      </c>
      <c r="K109" s="1716">
        <f t="shared" si="13"/>
        <v>0</v>
      </c>
      <c r="L109" s="1716">
        <f t="shared" si="13"/>
        <v>0</v>
      </c>
    </row>
    <row r="110" spans="1:12" outlineLevel="1" x14ac:dyDescent="0.2">
      <c r="A110" s="1715" t="s">
        <v>531</v>
      </c>
      <c r="B110" s="1716">
        <f t="shared" si="13"/>
        <v>0</v>
      </c>
      <c r="C110" s="1716">
        <f t="shared" si="13"/>
        <v>0</v>
      </c>
      <c r="D110" s="1716">
        <f t="shared" si="13"/>
        <v>0</v>
      </c>
      <c r="E110" s="1716">
        <f t="shared" si="13"/>
        <v>0</v>
      </c>
      <c r="F110" s="1716">
        <f t="shared" si="13"/>
        <v>0</v>
      </c>
      <c r="G110" s="1716">
        <f t="shared" si="13"/>
        <v>0</v>
      </c>
      <c r="H110" s="1716">
        <f t="shared" si="13"/>
        <v>0</v>
      </c>
      <c r="I110" s="1716">
        <f t="shared" si="13"/>
        <v>0</v>
      </c>
      <c r="J110" s="1716">
        <f t="shared" si="13"/>
        <v>0</v>
      </c>
      <c r="K110" s="1716">
        <f t="shared" si="13"/>
        <v>0</v>
      </c>
      <c r="L110" s="1716">
        <f t="shared" si="13"/>
        <v>0</v>
      </c>
    </row>
    <row r="111" spans="1:12" outlineLevel="1" x14ac:dyDescent="0.2">
      <c r="A111" s="1715" t="s">
        <v>532</v>
      </c>
      <c r="B111" s="1716">
        <f t="shared" si="13"/>
        <v>0</v>
      </c>
      <c r="C111" s="1716">
        <f t="shared" si="13"/>
        <v>0</v>
      </c>
      <c r="D111" s="1716">
        <f t="shared" si="13"/>
        <v>0</v>
      </c>
      <c r="E111" s="1716">
        <f t="shared" si="13"/>
        <v>9285.86</v>
      </c>
      <c r="F111" s="1716">
        <f t="shared" si="13"/>
        <v>51326.29</v>
      </c>
      <c r="G111" s="1716">
        <f t="shared" si="13"/>
        <v>66757.05</v>
      </c>
      <c r="H111" s="1716">
        <f t="shared" si="13"/>
        <v>66757.05</v>
      </c>
      <c r="I111" s="1716">
        <f t="shared" si="13"/>
        <v>66757.05</v>
      </c>
      <c r="J111" s="1716">
        <f t="shared" si="13"/>
        <v>66757.05</v>
      </c>
      <c r="K111" s="1716">
        <f t="shared" si="13"/>
        <v>66757.05</v>
      </c>
      <c r="L111" s="1716">
        <f t="shared" si="13"/>
        <v>66757.05</v>
      </c>
    </row>
    <row r="112" spans="1:12" outlineLevel="1" x14ac:dyDescent="0.2">
      <c r="A112" s="1715" t="s">
        <v>495</v>
      </c>
      <c r="B112" s="1716">
        <f t="shared" si="13"/>
        <v>0</v>
      </c>
      <c r="C112" s="1716">
        <f t="shared" si="13"/>
        <v>0</v>
      </c>
      <c r="D112" s="1716">
        <f t="shared" si="13"/>
        <v>31854.57</v>
      </c>
      <c r="E112" s="1716">
        <f t="shared" si="13"/>
        <v>24747.67</v>
      </c>
      <c r="F112" s="1716">
        <f t="shared" si="13"/>
        <v>49427.95</v>
      </c>
      <c r="G112" s="1716">
        <f t="shared" si="13"/>
        <v>44335.58</v>
      </c>
      <c r="H112" s="1716">
        <f t="shared" si="13"/>
        <v>55797.01</v>
      </c>
      <c r="I112" s="1716">
        <f t="shared" si="13"/>
        <v>57403.62</v>
      </c>
      <c r="J112" s="1716">
        <f t="shared" si="13"/>
        <v>64251.75</v>
      </c>
      <c r="K112" s="1716">
        <f t="shared" si="13"/>
        <v>65875.259999999995</v>
      </c>
      <c r="L112" s="1716">
        <f t="shared" si="13"/>
        <v>67531.839999999997</v>
      </c>
    </row>
    <row r="113" spans="1:12" outlineLevel="1" x14ac:dyDescent="0.2">
      <c r="A113" s="1715" t="s">
        <v>533</v>
      </c>
      <c r="B113" s="1716">
        <f t="shared" si="13"/>
        <v>0</v>
      </c>
      <c r="C113" s="1716">
        <f t="shared" si="13"/>
        <v>0</v>
      </c>
      <c r="D113" s="1716">
        <f t="shared" si="13"/>
        <v>0</v>
      </c>
      <c r="E113" s="1716">
        <f t="shared" si="13"/>
        <v>0</v>
      </c>
      <c r="F113" s="1716">
        <f t="shared" si="13"/>
        <v>0</v>
      </c>
      <c r="G113" s="1716">
        <f t="shared" si="13"/>
        <v>0</v>
      </c>
      <c r="H113" s="1716">
        <f t="shared" si="13"/>
        <v>0</v>
      </c>
      <c r="I113" s="1716">
        <f t="shared" si="13"/>
        <v>0</v>
      </c>
      <c r="J113" s="1716">
        <f t="shared" si="13"/>
        <v>0</v>
      </c>
      <c r="K113" s="1716">
        <f t="shared" si="13"/>
        <v>0</v>
      </c>
      <c r="L113" s="1716">
        <f t="shared" si="13"/>
        <v>0</v>
      </c>
    </row>
    <row r="114" spans="1:12" outlineLevel="1" x14ac:dyDescent="0.2">
      <c r="A114" s="1715" t="s">
        <v>534</v>
      </c>
      <c r="B114" s="1716">
        <f t="shared" si="13"/>
        <v>0</v>
      </c>
      <c r="C114" s="1716">
        <f t="shared" si="13"/>
        <v>0</v>
      </c>
      <c r="D114" s="1716">
        <f t="shared" si="13"/>
        <v>0</v>
      </c>
      <c r="E114" s="1716">
        <f t="shared" si="13"/>
        <v>0</v>
      </c>
      <c r="F114" s="1716">
        <f t="shared" si="13"/>
        <v>0</v>
      </c>
      <c r="G114" s="1716">
        <f t="shared" si="13"/>
        <v>0</v>
      </c>
      <c r="H114" s="1716">
        <f t="shared" si="13"/>
        <v>0</v>
      </c>
      <c r="I114" s="1716">
        <f t="shared" si="13"/>
        <v>0</v>
      </c>
      <c r="J114" s="1716">
        <f t="shared" si="13"/>
        <v>0</v>
      </c>
      <c r="K114" s="1716">
        <f t="shared" si="13"/>
        <v>0</v>
      </c>
      <c r="L114" s="1716">
        <f t="shared" si="13"/>
        <v>0</v>
      </c>
    </row>
    <row r="115" spans="1:12" ht="12" outlineLevel="1" thickBot="1" x14ac:dyDescent="0.25">
      <c r="A115" s="1261" t="s">
        <v>535</v>
      </c>
      <c r="B115" s="1262"/>
      <c r="C115" s="1262"/>
      <c r="D115" s="1262"/>
      <c r="E115" s="1262"/>
      <c r="F115" s="1262"/>
      <c r="G115" s="1262"/>
      <c r="H115" s="1262"/>
      <c r="I115" s="1262"/>
      <c r="J115" s="1276"/>
      <c r="K115" s="1276"/>
      <c r="L115" s="1276"/>
    </row>
    <row r="116" spans="1:12" ht="12" outlineLevel="1" thickBot="1" x14ac:dyDescent="0.25">
      <c r="A116" s="1255" t="s">
        <v>536</v>
      </c>
      <c r="B116" s="1256"/>
      <c r="C116" s="1256"/>
      <c r="D116" s="1256"/>
      <c r="E116" s="1256"/>
      <c r="F116" s="1256"/>
      <c r="G116" s="1256"/>
      <c r="H116" s="1256"/>
      <c r="I116" s="1256"/>
      <c r="J116" s="1256"/>
      <c r="K116" s="1256"/>
      <c r="L116" s="1256"/>
    </row>
    <row r="117" spans="1:12" outlineLevel="1" x14ac:dyDescent="0.2">
      <c r="A117" s="1263" t="s">
        <v>537</v>
      </c>
      <c r="B117" s="1264"/>
      <c r="C117" s="1264"/>
      <c r="D117" s="1264"/>
      <c r="E117" s="1264"/>
      <c r="F117" s="1264"/>
      <c r="G117" s="1264"/>
      <c r="H117" s="1264"/>
      <c r="I117" s="1264"/>
      <c r="J117" s="1264"/>
      <c r="K117" s="1264"/>
      <c r="L117" s="1264"/>
    </row>
    <row r="118" spans="1:12" outlineLevel="1" x14ac:dyDescent="0.2">
      <c r="A118" s="1718" t="s">
        <v>538</v>
      </c>
      <c r="B118" s="1719">
        <f>ROUND(B47,2)</f>
        <v>0</v>
      </c>
      <c r="C118" s="1719">
        <f t="shared" ref="C118:L118" si="14">ROUND(C47,2)</f>
        <v>0</v>
      </c>
      <c r="D118" s="1719">
        <f t="shared" si="14"/>
        <v>0</v>
      </c>
      <c r="E118" s="1719">
        <f t="shared" si="14"/>
        <v>0</v>
      </c>
      <c r="F118" s="1719">
        <f t="shared" si="14"/>
        <v>0</v>
      </c>
      <c r="G118" s="1719">
        <f t="shared" si="14"/>
        <v>0</v>
      </c>
      <c r="H118" s="1719">
        <f t="shared" si="14"/>
        <v>0</v>
      </c>
      <c r="I118" s="1719">
        <f t="shared" si="14"/>
        <v>0</v>
      </c>
      <c r="J118" s="1719">
        <f t="shared" si="14"/>
        <v>0</v>
      </c>
      <c r="K118" s="1719">
        <f t="shared" si="14"/>
        <v>0</v>
      </c>
      <c r="L118" s="1719">
        <f t="shared" si="14"/>
        <v>0</v>
      </c>
    </row>
    <row r="119" spans="1:12" outlineLevel="1" x14ac:dyDescent="0.2">
      <c r="A119" s="1715" t="s">
        <v>539</v>
      </c>
      <c r="B119" s="1719">
        <f t="shared" ref="B119:L122" si="15">ROUND(B48,2)</f>
        <v>0</v>
      </c>
      <c r="C119" s="1719">
        <f t="shared" si="15"/>
        <v>0</v>
      </c>
      <c r="D119" s="1719">
        <f t="shared" si="15"/>
        <v>0</v>
      </c>
      <c r="E119" s="1719">
        <f t="shared" si="15"/>
        <v>0</v>
      </c>
      <c r="F119" s="1719">
        <f t="shared" ca="1" si="15"/>
        <v>0</v>
      </c>
      <c r="G119" s="1719">
        <f t="shared" ca="1" si="15"/>
        <v>0</v>
      </c>
      <c r="H119" s="1719">
        <f t="shared" ca="1" si="15"/>
        <v>0</v>
      </c>
      <c r="I119" s="1719">
        <f t="shared" ca="1" si="15"/>
        <v>0</v>
      </c>
      <c r="J119" s="1719">
        <f t="shared" ca="1" si="15"/>
        <v>0</v>
      </c>
      <c r="K119" s="1719">
        <f t="shared" ca="1" si="15"/>
        <v>0</v>
      </c>
      <c r="L119" s="1719">
        <f t="shared" ca="1" si="15"/>
        <v>0</v>
      </c>
    </row>
    <row r="120" spans="1:12" outlineLevel="1" x14ac:dyDescent="0.2">
      <c r="A120" s="1715" t="s">
        <v>540</v>
      </c>
      <c r="B120" s="1719">
        <f t="shared" si="15"/>
        <v>0</v>
      </c>
      <c r="C120" s="1719">
        <f t="shared" si="15"/>
        <v>0</v>
      </c>
      <c r="D120" s="1719">
        <f t="shared" si="15"/>
        <v>0</v>
      </c>
      <c r="E120" s="1719">
        <f t="shared" si="15"/>
        <v>0</v>
      </c>
      <c r="F120" s="1719">
        <f t="shared" si="15"/>
        <v>0</v>
      </c>
      <c r="G120" s="1719">
        <f t="shared" si="15"/>
        <v>0</v>
      </c>
      <c r="H120" s="1719">
        <f t="shared" si="15"/>
        <v>0</v>
      </c>
      <c r="I120" s="1719">
        <f t="shared" si="15"/>
        <v>0</v>
      </c>
      <c r="J120" s="1719">
        <f t="shared" si="15"/>
        <v>0</v>
      </c>
      <c r="K120" s="1719">
        <f t="shared" si="15"/>
        <v>0</v>
      </c>
      <c r="L120" s="1719">
        <f t="shared" si="15"/>
        <v>0</v>
      </c>
    </row>
    <row r="121" spans="1:12" outlineLevel="1" x14ac:dyDescent="0.2">
      <c r="A121" s="1715" t="s">
        <v>541</v>
      </c>
      <c r="B121" s="1719">
        <f t="shared" si="15"/>
        <v>0</v>
      </c>
      <c r="C121" s="1719">
        <f t="shared" si="15"/>
        <v>0</v>
      </c>
      <c r="D121" s="1719">
        <f t="shared" si="15"/>
        <v>0</v>
      </c>
      <c r="E121" s="1719">
        <f t="shared" si="15"/>
        <v>0</v>
      </c>
      <c r="F121" s="1719">
        <f t="shared" si="15"/>
        <v>0</v>
      </c>
      <c r="G121" s="1719">
        <f t="shared" si="15"/>
        <v>0</v>
      </c>
      <c r="H121" s="1719">
        <f t="shared" si="15"/>
        <v>0</v>
      </c>
      <c r="I121" s="1719">
        <f t="shared" si="15"/>
        <v>0</v>
      </c>
      <c r="J121" s="1719">
        <f t="shared" si="15"/>
        <v>0</v>
      </c>
      <c r="K121" s="1719">
        <f t="shared" si="15"/>
        <v>0</v>
      </c>
      <c r="L121" s="1719">
        <f t="shared" si="15"/>
        <v>0</v>
      </c>
    </row>
    <row r="122" spans="1:12" outlineLevel="1" x14ac:dyDescent="0.2">
      <c r="A122" s="1715" t="s">
        <v>542</v>
      </c>
      <c r="B122" s="1719">
        <f t="shared" si="15"/>
        <v>0</v>
      </c>
      <c r="C122" s="1719">
        <f t="shared" si="15"/>
        <v>0</v>
      </c>
      <c r="D122" s="1719">
        <f t="shared" si="15"/>
        <v>0</v>
      </c>
      <c r="E122" s="1719">
        <f t="shared" si="15"/>
        <v>0</v>
      </c>
      <c r="F122" s="1719">
        <f t="shared" si="15"/>
        <v>0</v>
      </c>
      <c r="G122" s="1719">
        <f t="shared" si="15"/>
        <v>0</v>
      </c>
      <c r="H122" s="1719">
        <f t="shared" si="15"/>
        <v>0</v>
      </c>
      <c r="I122" s="1719">
        <f t="shared" si="15"/>
        <v>0</v>
      </c>
      <c r="J122" s="1719">
        <f t="shared" si="15"/>
        <v>0</v>
      </c>
      <c r="K122" s="1719">
        <f t="shared" si="15"/>
        <v>0</v>
      </c>
      <c r="L122" s="1719">
        <f t="shared" si="15"/>
        <v>0</v>
      </c>
    </row>
    <row r="123" spans="1:12" outlineLevel="1" x14ac:dyDescent="0.2">
      <c r="A123" s="1265" t="s">
        <v>543</v>
      </c>
      <c r="B123" s="1266"/>
      <c r="C123" s="1266"/>
      <c r="D123" s="1266"/>
      <c r="E123" s="1266"/>
      <c r="F123" s="1266"/>
      <c r="G123" s="1266"/>
      <c r="H123" s="1266"/>
      <c r="I123" s="1266"/>
      <c r="J123" s="1266"/>
      <c r="K123" s="1266"/>
      <c r="L123" s="1266"/>
    </row>
    <row r="124" spans="1:12" outlineLevel="1" x14ac:dyDescent="0.2">
      <c r="A124" s="1715" t="s">
        <v>406</v>
      </c>
      <c r="B124" s="1716">
        <f>ROUND(B53,2)</f>
        <v>0</v>
      </c>
      <c r="C124" s="1716">
        <f t="shared" ref="C124:L124" si="16">ROUND(C53,2)</f>
        <v>0</v>
      </c>
      <c r="D124" s="1716">
        <f t="shared" si="16"/>
        <v>760538.01</v>
      </c>
      <c r="E124" s="1716">
        <f t="shared" si="16"/>
        <v>756458.99</v>
      </c>
      <c r="F124" s="1716">
        <f t="shared" si="16"/>
        <v>802224.75</v>
      </c>
      <c r="G124" s="1716">
        <f t="shared" si="16"/>
        <v>850759.35</v>
      </c>
      <c r="H124" s="1716">
        <f t="shared" si="16"/>
        <v>902230.29</v>
      </c>
      <c r="I124" s="1716">
        <f t="shared" si="16"/>
        <v>920365.12</v>
      </c>
      <c r="J124" s="1716">
        <f t="shared" si="16"/>
        <v>938864.46</v>
      </c>
      <c r="K124" s="1716">
        <f t="shared" si="16"/>
        <v>957735.64</v>
      </c>
      <c r="L124" s="1716">
        <f t="shared" si="16"/>
        <v>976986.12</v>
      </c>
    </row>
    <row r="125" spans="1:12" outlineLevel="1" x14ac:dyDescent="0.2">
      <c r="A125" s="1715" t="s">
        <v>544</v>
      </c>
      <c r="B125" s="1716">
        <f t="shared" ref="B125:L134" si="17">ROUND(B54,2)</f>
        <v>0</v>
      </c>
      <c r="C125" s="1716">
        <f t="shared" si="17"/>
        <v>0</v>
      </c>
      <c r="D125" s="1716">
        <f t="shared" si="17"/>
        <v>0</v>
      </c>
      <c r="E125" s="1716">
        <f t="shared" si="17"/>
        <v>0</v>
      </c>
      <c r="F125" s="1716">
        <f t="shared" si="17"/>
        <v>0</v>
      </c>
      <c r="G125" s="1716">
        <f t="shared" si="17"/>
        <v>0</v>
      </c>
      <c r="H125" s="1716">
        <f t="shared" si="17"/>
        <v>0</v>
      </c>
      <c r="I125" s="1716">
        <f t="shared" si="17"/>
        <v>0</v>
      </c>
      <c r="J125" s="1716">
        <f t="shared" si="17"/>
        <v>0</v>
      </c>
      <c r="K125" s="1716">
        <f t="shared" si="17"/>
        <v>0</v>
      </c>
      <c r="L125" s="1716">
        <f t="shared" si="17"/>
        <v>0</v>
      </c>
    </row>
    <row r="126" spans="1:12" outlineLevel="1" x14ac:dyDescent="0.2">
      <c r="A126" s="1715" t="s">
        <v>514</v>
      </c>
      <c r="B126" s="1716">
        <f t="shared" si="17"/>
        <v>0</v>
      </c>
      <c r="C126" s="1716">
        <f t="shared" si="17"/>
        <v>0</v>
      </c>
      <c r="D126" s="1716">
        <f t="shared" si="17"/>
        <v>4173.5</v>
      </c>
      <c r="E126" s="1716">
        <f t="shared" si="17"/>
        <v>21702.52</v>
      </c>
      <c r="F126" s="1716">
        <f t="shared" si="17"/>
        <v>27763.83</v>
      </c>
      <c r="G126" s="1716">
        <f t="shared" si="17"/>
        <v>28440.59</v>
      </c>
      <c r="H126" s="1716">
        <f t="shared" si="17"/>
        <v>32598.82</v>
      </c>
      <c r="I126" s="1716">
        <f t="shared" si="17"/>
        <v>33602.82</v>
      </c>
      <c r="J126" s="1716">
        <f t="shared" si="17"/>
        <v>35930.449999999997</v>
      </c>
      <c r="K126" s="1716">
        <f t="shared" si="17"/>
        <v>36748.06</v>
      </c>
      <c r="L126" s="1716">
        <f t="shared" si="17"/>
        <v>37582.21</v>
      </c>
    </row>
    <row r="127" spans="1:12" outlineLevel="1" x14ac:dyDescent="0.2">
      <c r="A127" s="1715" t="s">
        <v>506</v>
      </c>
      <c r="B127" s="1716">
        <f t="shared" si="17"/>
        <v>0</v>
      </c>
      <c r="C127" s="1716">
        <f t="shared" si="17"/>
        <v>0</v>
      </c>
      <c r="D127" s="1716">
        <f t="shared" si="17"/>
        <v>0</v>
      </c>
      <c r="E127" s="1716">
        <f t="shared" si="17"/>
        <v>0</v>
      </c>
      <c r="F127" s="1716">
        <f t="shared" si="17"/>
        <v>0</v>
      </c>
      <c r="G127" s="1716">
        <f t="shared" si="17"/>
        <v>0</v>
      </c>
      <c r="H127" s="1716">
        <f t="shared" si="17"/>
        <v>0</v>
      </c>
      <c r="I127" s="1716">
        <f t="shared" si="17"/>
        <v>0</v>
      </c>
      <c r="J127" s="1716">
        <f t="shared" si="17"/>
        <v>0</v>
      </c>
      <c r="K127" s="1716">
        <f t="shared" si="17"/>
        <v>0</v>
      </c>
      <c r="L127" s="1716">
        <f t="shared" si="17"/>
        <v>0</v>
      </c>
    </row>
    <row r="128" spans="1:12" outlineLevel="1" x14ac:dyDescent="0.2">
      <c r="A128" s="1715" t="s">
        <v>539</v>
      </c>
      <c r="B128" s="1716">
        <f t="shared" si="17"/>
        <v>0</v>
      </c>
      <c r="C128" s="1716">
        <f t="shared" si="17"/>
        <v>0</v>
      </c>
      <c r="D128" s="1716">
        <f t="shared" si="17"/>
        <v>0</v>
      </c>
      <c r="E128" s="1716">
        <f t="shared" si="17"/>
        <v>0</v>
      </c>
      <c r="F128" s="1716">
        <f t="shared" ca="1" si="17"/>
        <v>0</v>
      </c>
      <c r="G128" s="1716">
        <f t="shared" ca="1" si="17"/>
        <v>0</v>
      </c>
      <c r="H128" s="1716">
        <f t="shared" ca="1" si="17"/>
        <v>0</v>
      </c>
      <c r="I128" s="1716">
        <f t="shared" ca="1" si="17"/>
        <v>0</v>
      </c>
      <c r="J128" s="1716">
        <f t="shared" ca="1" si="17"/>
        <v>0</v>
      </c>
      <c r="K128" s="1716">
        <f t="shared" ca="1" si="17"/>
        <v>0</v>
      </c>
      <c r="L128" s="1716">
        <f t="shared" ca="1" si="17"/>
        <v>0</v>
      </c>
    </row>
    <row r="129" spans="1:12" outlineLevel="1" x14ac:dyDescent="0.2">
      <c r="A129" s="1715" t="s">
        <v>542</v>
      </c>
      <c r="B129" s="1716">
        <f t="shared" si="17"/>
        <v>0</v>
      </c>
      <c r="C129" s="1716">
        <f t="shared" si="17"/>
        <v>0</v>
      </c>
      <c r="D129" s="1716">
        <f t="shared" si="17"/>
        <v>241453.05</v>
      </c>
      <c r="E129" s="1716">
        <f t="shared" si="17"/>
        <v>241453.05</v>
      </c>
      <c r="F129" s="1716">
        <f t="shared" si="17"/>
        <v>241453.05</v>
      </c>
      <c r="G129" s="1716">
        <f t="shared" si="17"/>
        <v>241453.05</v>
      </c>
      <c r="H129" s="1716">
        <f t="shared" si="17"/>
        <v>241453.05</v>
      </c>
      <c r="I129" s="1716">
        <f t="shared" si="17"/>
        <v>241453.05</v>
      </c>
      <c r="J129" s="1716">
        <f t="shared" si="17"/>
        <v>241453.05</v>
      </c>
      <c r="K129" s="1716">
        <f t="shared" si="17"/>
        <v>241453.05</v>
      </c>
      <c r="L129" s="1716">
        <f t="shared" si="17"/>
        <v>241453.05</v>
      </c>
    </row>
    <row r="130" spans="1:12" outlineLevel="1" x14ac:dyDescent="0.2">
      <c r="A130" s="1715" t="s">
        <v>516</v>
      </c>
      <c r="B130" s="1716">
        <f t="shared" si="17"/>
        <v>0</v>
      </c>
      <c r="C130" s="1716">
        <f t="shared" si="17"/>
        <v>0</v>
      </c>
      <c r="D130" s="1716">
        <f t="shared" si="17"/>
        <v>0</v>
      </c>
      <c r="E130" s="1716">
        <f t="shared" si="17"/>
        <v>0</v>
      </c>
      <c r="F130" s="1716">
        <f t="shared" si="17"/>
        <v>0</v>
      </c>
      <c r="G130" s="1716">
        <f t="shared" si="17"/>
        <v>0</v>
      </c>
      <c r="H130" s="1716">
        <f t="shared" si="17"/>
        <v>0</v>
      </c>
      <c r="I130" s="1716">
        <f t="shared" si="17"/>
        <v>0</v>
      </c>
      <c r="J130" s="1716">
        <f t="shared" si="17"/>
        <v>0</v>
      </c>
      <c r="K130" s="1716">
        <f t="shared" si="17"/>
        <v>0</v>
      </c>
      <c r="L130" s="1716">
        <f t="shared" si="17"/>
        <v>0</v>
      </c>
    </row>
    <row r="131" spans="1:12" outlineLevel="1" x14ac:dyDescent="0.2">
      <c r="A131" s="1715" t="s">
        <v>545</v>
      </c>
      <c r="B131" s="1716">
        <f t="shared" si="17"/>
        <v>0</v>
      </c>
      <c r="C131" s="1716">
        <f t="shared" si="17"/>
        <v>0</v>
      </c>
      <c r="D131" s="1716">
        <f t="shared" si="17"/>
        <v>0</v>
      </c>
      <c r="E131" s="1716">
        <f t="shared" si="17"/>
        <v>0</v>
      </c>
      <c r="F131" s="1716">
        <f t="shared" si="17"/>
        <v>0</v>
      </c>
      <c r="G131" s="1716">
        <f t="shared" si="17"/>
        <v>0</v>
      </c>
      <c r="H131" s="1716">
        <f t="shared" si="17"/>
        <v>0</v>
      </c>
      <c r="I131" s="1716">
        <f t="shared" si="17"/>
        <v>0</v>
      </c>
      <c r="J131" s="1716">
        <f t="shared" si="17"/>
        <v>0</v>
      </c>
      <c r="K131" s="1716">
        <f t="shared" si="17"/>
        <v>0</v>
      </c>
      <c r="L131" s="1716">
        <f t="shared" si="17"/>
        <v>0</v>
      </c>
    </row>
    <row r="132" spans="1:12" outlineLevel="1" x14ac:dyDescent="0.2">
      <c r="A132" s="1715" t="s">
        <v>546</v>
      </c>
      <c r="B132" s="1716">
        <f t="shared" si="17"/>
        <v>0</v>
      </c>
      <c r="C132" s="1716">
        <f t="shared" si="17"/>
        <v>0</v>
      </c>
      <c r="D132" s="1716">
        <f t="shared" si="17"/>
        <v>0</v>
      </c>
      <c r="E132" s="1716">
        <f t="shared" si="17"/>
        <v>0</v>
      </c>
      <c r="F132" s="1716">
        <f t="shared" si="17"/>
        <v>0</v>
      </c>
      <c r="G132" s="1716">
        <f t="shared" si="17"/>
        <v>0</v>
      </c>
      <c r="H132" s="1716">
        <f t="shared" si="17"/>
        <v>0</v>
      </c>
      <c r="I132" s="1716">
        <f t="shared" si="17"/>
        <v>0</v>
      </c>
      <c r="J132" s="1716">
        <f t="shared" si="17"/>
        <v>0</v>
      </c>
      <c r="K132" s="1716">
        <f t="shared" si="17"/>
        <v>0</v>
      </c>
      <c r="L132" s="1716">
        <f t="shared" si="17"/>
        <v>0</v>
      </c>
    </row>
    <row r="133" spans="1:12" outlineLevel="1" x14ac:dyDescent="0.2">
      <c r="A133" s="1715" t="s">
        <v>547</v>
      </c>
      <c r="B133" s="1716">
        <f t="shared" si="17"/>
        <v>0</v>
      </c>
      <c r="C133" s="1716">
        <f t="shared" si="17"/>
        <v>0</v>
      </c>
      <c r="D133" s="1716">
        <f t="shared" si="17"/>
        <v>0</v>
      </c>
      <c r="E133" s="1716">
        <f t="shared" si="17"/>
        <v>0</v>
      </c>
      <c r="F133" s="1716">
        <f t="shared" si="17"/>
        <v>0</v>
      </c>
      <c r="G133" s="1716">
        <f t="shared" si="17"/>
        <v>0</v>
      </c>
      <c r="H133" s="1716">
        <f t="shared" si="17"/>
        <v>0</v>
      </c>
      <c r="I133" s="1716">
        <f t="shared" si="17"/>
        <v>0</v>
      </c>
      <c r="J133" s="1716">
        <f t="shared" si="17"/>
        <v>0</v>
      </c>
      <c r="K133" s="1716">
        <f t="shared" si="17"/>
        <v>0</v>
      </c>
      <c r="L133" s="1716">
        <f t="shared" si="17"/>
        <v>0</v>
      </c>
    </row>
    <row r="134" spans="1:12" outlineLevel="1" x14ac:dyDescent="0.2">
      <c r="A134" s="1717" t="s">
        <v>548</v>
      </c>
      <c r="B134" s="1716">
        <f t="shared" si="17"/>
        <v>0</v>
      </c>
      <c r="C134" s="1716">
        <f t="shared" si="17"/>
        <v>0</v>
      </c>
      <c r="D134" s="1716">
        <f t="shared" si="17"/>
        <v>0</v>
      </c>
      <c r="E134" s="1716">
        <f t="shared" si="17"/>
        <v>0</v>
      </c>
      <c r="F134" s="1716">
        <f t="shared" si="17"/>
        <v>0</v>
      </c>
      <c r="G134" s="1716">
        <f t="shared" si="17"/>
        <v>0</v>
      </c>
      <c r="H134" s="1716">
        <f t="shared" si="17"/>
        <v>0</v>
      </c>
      <c r="I134" s="1716">
        <f t="shared" si="17"/>
        <v>0</v>
      </c>
      <c r="J134" s="1716">
        <f t="shared" si="17"/>
        <v>0</v>
      </c>
      <c r="K134" s="1716">
        <f t="shared" si="17"/>
        <v>0</v>
      </c>
      <c r="L134" s="1716">
        <f t="shared" si="17"/>
        <v>0</v>
      </c>
    </row>
    <row r="135" spans="1:12" outlineLevel="1" x14ac:dyDescent="0.2">
      <c r="A135" s="1267" t="s">
        <v>549</v>
      </c>
      <c r="B135" s="1268"/>
      <c r="C135" s="1268"/>
      <c r="D135" s="1268"/>
      <c r="E135" s="1268"/>
      <c r="F135" s="1268"/>
      <c r="G135" s="1268"/>
      <c r="H135" s="1268"/>
      <c r="I135" s="1268"/>
      <c r="J135" s="1277"/>
      <c r="K135" s="1277"/>
      <c r="L135" s="1277"/>
    </row>
    <row r="136" spans="1:12" ht="12" outlineLevel="1" thickBot="1" x14ac:dyDescent="0.25">
      <c r="A136" s="1270" t="s">
        <v>550</v>
      </c>
      <c r="B136" s="1271"/>
      <c r="C136" s="1271"/>
      <c r="D136" s="1271"/>
      <c r="E136" s="1271"/>
      <c r="F136" s="1271"/>
      <c r="G136" s="1271"/>
      <c r="H136" s="1271"/>
      <c r="I136" s="1271"/>
      <c r="J136" s="1278"/>
      <c r="K136" s="1278"/>
      <c r="L136" s="1278"/>
    </row>
    <row r="137" spans="1:12" ht="12" outlineLevel="1" thickTop="1" x14ac:dyDescent="0.2">
      <c r="A137" s="636"/>
      <c r="B137" s="636"/>
      <c r="C137" s="636"/>
      <c r="D137" s="636"/>
      <c r="E137" s="636"/>
      <c r="F137" s="636"/>
      <c r="G137" s="636"/>
      <c r="H137" s="636"/>
      <c r="I137" s="636"/>
      <c r="J137" s="636"/>
    </row>
    <row r="138" spans="1:12" outlineLevel="1" x14ac:dyDescent="0.2">
      <c r="A138" s="1272"/>
      <c r="B138" s="1272" t="str">
        <f t="shared" ref="B138:L138" si="18">IF(B139=0, "OK", "VERIFICAR")</f>
        <v>OK</v>
      </c>
      <c r="C138" s="1272" t="str">
        <f t="shared" si="18"/>
        <v>OK</v>
      </c>
      <c r="D138" s="1272" t="str">
        <f t="shared" si="18"/>
        <v>OK</v>
      </c>
      <c r="E138" s="1272" t="str">
        <f t="shared" si="18"/>
        <v>OK</v>
      </c>
      <c r="F138" s="1272" t="str">
        <f t="shared" ca="1" si="18"/>
        <v>VERIFICAR</v>
      </c>
      <c r="G138" s="1272" t="str">
        <f t="shared" ca="1" si="18"/>
        <v>VERIFICAR</v>
      </c>
      <c r="H138" s="1272" t="str">
        <f t="shared" ca="1" si="18"/>
        <v>VERIFICAR</v>
      </c>
      <c r="I138" s="1272" t="str">
        <f t="shared" ca="1" si="18"/>
        <v>OK</v>
      </c>
      <c r="J138" s="1272" t="str">
        <f t="shared" ca="1" si="18"/>
        <v>OK</v>
      </c>
      <c r="K138" s="1272" t="str">
        <f t="shared" ca="1" si="18"/>
        <v>OK</v>
      </c>
      <c r="L138" s="1272" t="str">
        <f t="shared" ca="1" si="18"/>
        <v>VERIFICAR</v>
      </c>
    </row>
    <row r="139" spans="1:12" outlineLevel="1" x14ac:dyDescent="0.2">
      <c r="A139" s="1273"/>
      <c r="B139" s="1274">
        <f>SUM(B75:B99)-SUM(B102:B134)</f>
        <v>0</v>
      </c>
      <c r="C139" s="1274">
        <f t="shared" ref="C139:K139" si="19">SUM(C75:C99)-SUM(C102:C134)</f>
        <v>0</v>
      </c>
      <c r="D139" s="1274">
        <f t="shared" si="19"/>
        <v>0</v>
      </c>
      <c r="E139" s="1274">
        <f t="shared" si="19"/>
        <v>0</v>
      </c>
      <c r="F139" s="1274">
        <f t="shared" ca="1" si="19"/>
        <v>-1.0000000009313226E-2</v>
      </c>
      <c r="G139" s="1274">
        <f t="shared" ca="1" si="19"/>
        <v>1.0000000009313226E-2</v>
      </c>
      <c r="H139" s="1274">
        <f t="shared" ca="1" si="19"/>
        <v>9.9999997764825821E-3</v>
      </c>
      <c r="I139" s="1274">
        <f t="shared" ca="1" si="19"/>
        <v>0</v>
      </c>
      <c r="J139" s="1274">
        <f t="shared" ca="1" si="19"/>
        <v>0</v>
      </c>
      <c r="K139" s="1274">
        <f t="shared" ca="1" si="19"/>
        <v>0</v>
      </c>
      <c r="L139" s="1274">
        <f t="shared" ref="L139" ca="1" si="20">SUM(L75:L99)-SUM(L102:L134)</f>
        <v>1.0000000242143869E-2</v>
      </c>
    </row>
    <row r="140" spans="1:12" x14ac:dyDescent="0.2">
      <c r="A140" s="636"/>
      <c r="B140" s="636"/>
      <c r="C140" s="636"/>
      <c r="D140" s="636"/>
      <c r="E140" s="636"/>
      <c r="F140" s="636"/>
      <c r="G140" s="636"/>
      <c r="H140" s="636"/>
      <c r="I140" s="636"/>
      <c r="J140" s="636"/>
    </row>
    <row r="141" spans="1:12" x14ac:dyDescent="0.2">
      <c r="A141" s="636"/>
      <c r="B141" s="636"/>
      <c r="C141" s="636"/>
      <c r="D141" s="636"/>
      <c r="E141" s="636"/>
      <c r="F141" s="636"/>
      <c r="G141" s="636"/>
      <c r="H141" s="636"/>
      <c r="I141" s="636"/>
      <c r="J141" s="636"/>
    </row>
    <row r="142" spans="1:12" x14ac:dyDescent="0.2">
      <c r="A142" s="636"/>
      <c r="B142" s="636"/>
      <c r="C142" s="636"/>
      <c r="D142" s="636"/>
      <c r="E142" s="636"/>
      <c r="F142" s="636"/>
      <c r="G142" s="636"/>
      <c r="H142" s="636"/>
      <c r="I142" s="636"/>
      <c r="J142" s="636"/>
    </row>
    <row r="143" spans="1:12" x14ac:dyDescent="0.2">
      <c r="A143" s="1963" t="s">
        <v>1186</v>
      </c>
      <c r="B143" s="1963"/>
      <c r="C143" s="1963"/>
      <c r="D143" s="1963"/>
      <c r="E143" s="1963"/>
      <c r="F143" s="1963"/>
      <c r="G143" s="1963"/>
      <c r="H143" s="1963"/>
      <c r="I143" s="1963"/>
      <c r="J143" s="1963"/>
      <c r="K143" s="1963"/>
      <c r="L143" s="1963"/>
    </row>
    <row r="144" spans="1:12" outlineLevel="1" x14ac:dyDescent="0.2">
      <c r="A144" s="1740" t="s">
        <v>497</v>
      </c>
      <c r="B144" s="1741">
        <f>B73</f>
        <v>2017</v>
      </c>
      <c r="C144" s="1741">
        <f t="shared" ref="C144:L144" si="21">C73</f>
        <v>2018</v>
      </c>
      <c r="D144" s="1741">
        <f t="shared" si="21"/>
        <v>2019</v>
      </c>
      <c r="E144" s="1741">
        <f t="shared" si="21"/>
        <v>2020</v>
      </c>
      <c r="F144" s="1741">
        <f t="shared" si="21"/>
        <v>2021</v>
      </c>
      <c r="G144" s="1741">
        <f t="shared" si="21"/>
        <v>2022</v>
      </c>
      <c r="H144" s="1741">
        <f t="shared" si="21"/>
        <v>2023</v>
      </c>
      <c r="I144" s="1741">
        <f t="shared" si="21"/>
        <v>2024</v>
      </c>
      <c r="J144" s="1741">
        <f t="shared" si="21"/>
        <v>2025</v>
      </c>
      <c r="K144" s="1741">
        <f t="shared" si="21"/>
        <v>2026</v>
      </c>
      <c r="L144" s="1742">
        <f t="shared" si="21"/>
        <v>2027</v>
      </c>
    </row>
    <row r="145" spans="1:12" outlineLevel="1" x14ac:dyDescent="0.2">
      <c r="A145" s="1743" t="s">
        <v>498</v>
      </c>
      <c r="B145" s="1721">
        <f>SUM(B146:B156)</f>
        <v>0</v>
      </c>
      <c r="C145" s="1721">
        <f t="shared" ref="C145:L145" si="22">SUM(C146:C156)</f>
        <v>0</v>
      </c>
      <c r="D145" s="1721">
        <f t="shared" si="22"/>
        <v>187125.92</v>
      </c>
      <c r="E145" s="1721">
        <f t="shared" si="22"/>
        <v>178663.40000000002</v>
      </c>
      <c r="F145" s="1721">
        <f t="shared" si="22"/>
        <v>200200.87</v>
      </c>
      <c r="G145" s="1721">
        <f t="shared" si="22"/>
        <v>181738.35</v>
      </c>
      <c r="H145" s="1721">
        <f t="shared" si="22"/>
        <v>163275.82</v>
      </c>
      <c r="I145" s="1721">
        <f t="shared" si="22"/>
        <v>144813.30000000002</v>
      </c>
      <c r="J145" s="1721">
        <f t="shared" si="22"/>
        <v>136350.78</v>
      </c>
      <c r="K145" s="1721">
        <f t="shared" si="22"/>
        <v>127888.25</v>
      </c>
      <c r="L145" s="1721">
        <f t="shared" si="22"/>
        <v>119425.73000000001</v>
      </c>
    </row>
    <row r="146" spans="1:12" outlineLevel="1" x14ac:dyDescent="0.2">
      <c r="A146" s="1718" t="s">
        <v>499</v>
      </c>
      <c r="B146" s="1721">
        <f>B75</f>
        <v>0</v>
      </c>
      <c r="C146" s="1721">
        <f t="shared" ref="C146:L146" si="23">C75</f>
        <v>0</v>
      </c>
      <c r="D146" s="1721">
        <f t="shared" si="23"/>
        <v>84625.24</v>
      </c>
      <c r="E146" s="1721">
        <f t="shared" si="23"/>
        <v>76162.720000000001</v>
      </c>
      <c r="F146" s="1721">
        <f t="shared" si="23"/>
        <v>97700.19</v>
      </c>
      <c r="G146" s="1721">
        <f t="shared" si="23"/>
        <v>79237.67</v>
      </c>
      <c r="H146" s="1721">
        <f t="shared" si="23"/>
        <v>60775.14</v>
      </c>
      <c r="I146" s="1721">
        <f t="shared" si="23"/>
        <v>42312.62</v>
      </c>
      <c r="J146" s="1721">
        <f t="shared" si="23"/>
        <v>33850.1</v>
      </c>
      <c r="K146" s="1721">
        <f t="shared" si="23"/>
        <v>25387.57</v>
      </c>
      <c r="L146" s="1721">
        <f t="shared" si="23"/>
        <v>16925.05</v>
      </c>
    </row>
    <row r="147" spans="1:12" outlineLevel="1" x14ac:dyDescent="0.2">
      <c r="A147" s="1715" t="s">
        <v>500</v>
      </c>
      <c r="B147" s="1721">
        <f t="shared" ref="B147:L156" si="24">B76</f>
        <v>0</v>
      </c>
      <c r="C147" s="1721">
        <f t="shared" si="24"/>
        <v>0</v>
      </c>
      <c r="D147" s="1721">
        <f t="shared" si="24"/>
        <v>102152.86</v>
      </c>
      <c r="E147" s="1721">
        <f t="shared" si="24"/>
        <v>102152.86</v>
      </c>
      <c r="F147" s="1721">
        <f t="shared" si="24"/>
        <v>102152.86</v>
      </c>
      <c r="G147" s="1721">
        <f t="shared" si="24"/>
        <v>102152.86</v>
      </c>
      <c r="H147" s="1721">
        <f t="shared" si="24"/>
        <v>102152.86</v>
      </c>
      <c r="I147" s="1721">
        <f t="shared" si="24"/>
        <v>102152.86</v>
      </c>
      <c r="J147" s="1721">
        <f t="shared" si="24"/>
        <v>102152.86</v>
      </c>
      <c r="K147" s="1721">
        <f t="shared" si="24"/>
        <v>102152.86</v>
      </c>
      <c r="L147" s="1721">
        <f t="shared" si="24"/>
        <v>102152.86</v>
      </c>
    </row>
    <row r="148" spans="1:12" outlineLevel="1" x14ac:dyDescent="0.2">
      <c r="A148" s="1715" t="s">
        <v>501</v>
      </c>
      <c r="B148" s="1721">
        <f t="shared" si="24"/>
        <v>0</v>
      </c>
      <c r="C148" s="1721">
        <f t="shared" si="24"/>
        <v>0</v>
      </c>
      <c r="D148" s="1721">
        <f t="shared" si="24"/>
        <v>0</v>
      </c>
      <c r="E148" s="1721">
        <f t="shared" si="24"/>
        <v>0</v>
      </c>
      <c r="F148" s="1721">
        <f t="shared" si="24"/>
        <v>0</v>
      </c>
      <c r="G148" s="1721">
        <f t="shared" si="24"/>
        <v>0</v>
      </c>
      <c r="H148" s="1721">
        <f t="shared" si="24"/>
        <v>0</v>
      </c>
      <c r="I148" s="1721">
        <f t="shared" si="24"/>
        <v>0</v>
      </c>
      <c r="J148" s="1721">
        <f t="shared" si="24"/>
        <v>0</v>
      </c>
      <c r="K148" s="1721">
        <f t="shared" si="24"/>
        <v>0</v>
      </c>
      <c r="L148" s="1721">
        <f t="shared" si="24"/>
        <v>0</v>
      </c>
    </row>
    <row r="149" spans="1:12" outlineLevel="1" x14ac:dyDescent="0.2">
      <c r="A149" s="1715" t="s">
        <v>502</v>
      </c>
      <c r="B149" s="1721">
        <f t="shared" si="24"/>
        <v>0</v>
      </c>
      <c r="C149" s="1721">
        <f t="shared" si="24"/>
        <v>0</v>
      </c>
      <c r="D149" s="1721">
        <f t="shared" si="24"/>
        <v>0</v>
      </c>
      <c r="E149" s="1721">
        <f t="shared" si="24"/>
        <v>0</v>
      </c>
      <c r="F149" s="1721">
        <f t="shared" si="24"/>
        <v>0</v>
      </c>
      <c r="G149" s="1721">
        <f t="shared" si="24"/>
        <v>0</v>
      </c>
      <c r="H149" s="1721">
        <f t="shared" si="24"/>
        <v>0</v>
      </c>
      <c r="I149" s="1721">
        <f t="shared" si="24"/>
        <v>0</v>
      </c>
      <c r="J149" s="1721">
        <f t="shared" si="24"/>
        <v>0</v>
      </c>
      <c r="K149" s="1721">
        <f t="shared" si="24"/>
        <v>0</v>
      </c>
      <c r="L149" s="1721">
        <f t="shared" si="24"/>
        <v>0</v>
      </c>
    </row>
    <row r="150" spans="1:12" outlineLevel="1" x14ac:dyDescent="0.2">
      <c r="A150" s="1715" t="s">
        <v>503</v>
      </c>
      <c r="B150" s="1721">
        <f t="shared" si="24"/>
        <v>0</v>
      </c>
      <c r="C150" s="1721">
        <f t="shared" si="24"/>
        <v>0</v>
      </c>
      <c r="D150" s="1721">
        <f t="shared" si="24"/>
        <v>0</v>
      </c>
      <c r="E150" s="1721">
        <f t="shared" si="24"/>
        <v>0</v>
      </c>
      <c r="F150" s="1721">
        <f t="shared" si="24"/>
        <v>0</v>
      </c>
      <c r="G150" s="1721">
        <f t="shared" si="24"/>
        <v>0</v>
      </c>
      <c r="H150" s="1721">
        <f t="shared" si="24"/>
        <v>0</v>
      </c>
      <c r="I150" s="1721">
        <f t="shared" si="24"/>
        <v>0</v>
      </c>
      <c r="J150" s="1721">
        <f t="shared" si="24"/>
        <v>0</v>
      </c>
      <c r="K150" s="1721">
        <f t="shared" si="24"/>
        <v>0</v>
      </c>
      <c r="L150" s="1721">
        <f t="shared" si="24"/>
        <v>0</v>
      </c>
    </row>
    <row r="151" spans="1:12" outlineLevel="1" x14ac:dyDescent="0.2">
      <c r="A151" s="1715" t="s">
        <v>504</v>
      </c>
      <c r="B151" s="1721">
        <f t="shared" si="24"/>
        <v>0</v>
      </c>
      <c r="C151" s="1721">
        <f t="shared" si="24"/>
        <v>0</v>
      </c>
      <c r="D151" s="1721">
        <f t="shared" si="24"/>
        <v>0</v>
      </c>
      <c r="E151" s="1721">
        <f t="shared" si="24"/>
        <v>0</v>
      </c>
      <c r="F151" s="1721">
        <f t="shared" si="24"/>
        <v>0</v>
      </c>
      <c r="G151" s="1721">
        <f t="shared" si="24"/>
        <v>0</v>
      </c>
      <c r="H151" s="1721">
        <f t="shared" si="24"/>
        <v>0</v>
      </c>
      <c r="I151" s="1721">
        <f t="shared" si="24"/>
        <v>0</v>
      </c>
      <c r="J151" s="1721">
        <f t="shared" si="24"/>
        <v>0</v>
      </c>
      <c r="K151" s="1721">
        <f t="shared" si="24"/>
        <v>0</v>
      </c>
      <c r="L151" s="1721">
        <f t="shared" si="24"/>
        <v>0</v>
      </c>
    </row>
    <row r="152" spans="1:12" outlineLevel="1" x14ac:dyDescent="0.2">
      <c r="A152" s="1715" t="s">
        <v>505</v>
      </c>
      <c r="B152" s="1721">
        <f t="shared" si="24"/>
        <v>0</v>
      </c>
      <c r="C152" s="1721">
        <f t="shared" si="24"/>
        <v>0</v>
      </c>
      <c r="D152" s="1721">
        <f t="shared" si="24"/>
        <v>0</v>
      </c>
      <c r="E152" s="1721">
        <f t="shared" si="24"/>
        <v>0</v>
      </c>
      <c r="F152" s="1721">
        <f t="shared" si="24"/>
        <v>0</v>
      </c>
      <c r="G152" s="1721">
        <f t="shared" si="24"/>
        <v>0</v>
      </c>
      <c r="H152" s="1721">
        <f t="shared" si="24"/>
        <v>0</v>
      </c>
      <c r="I152" s="1721">
        <f t="shared" si="24"/>
        <v>0</v>
      </c>
      <c r="J152" s="1721">
        <f t="shared" si="24"/>
        <v>0</v>
      </c>
      <c r="K152" s="1721">
        <f t="shared" si="24"/>
        <v>0</v>
      </c>
      <c r="L152" s="1721">
        <f t="shared" si="24"/>
        <v>0</v>
      </c>
    </row>
    <row r="153" spans="1:12" outlineLevel="1" x14ac:dyDescent="0.2">
      <c r="A153" s="1715" t="s">
        <v>506</v>
      </c>
      <c r="B153" s="1721">
        <f t="shared" si="24"/>
        <v>0</v>
      </c>
      <c r="C153" s="1721">
        <f t="shared" si="24"/>
        <v>0</v>
      </c>
      <c r="D153" s="1721">
        <f t="shared" si="24"/>
        <v>0</v>
      </c>
      <c r="E153" s="1721">
        <f t="shared" si="24"/>
        <v>0</v>
      </c>
      <c r="F153" s="1721">
        <f t="shared" si="24"/>
        <v>0</v>
      </c>
      <c r="G153" s="1721">
        <f t="shared" si="24"/>
        <v>0</v>
      </c>
      <c r="H153" s="1721">
        <f t="shared" si="24"/>
        <v>0</v>
      </c>
      <c r="I153" s="1721">
        <f t="shared" si="24"/>
        <v>0</v>
      </c>
      <c r="J153" s="1721">
        <f t="shared" si="24"/>
        <v>0</v>
      </c>
      <c r="K153" s="1721">
        <f t="shared" si="24"/>
        <v>0</v>
      </c>
      <c r="L153" s="1721">
        <f t="shared" si="24"/>
        <v>0</v>
      </c>
    </row>
    <row r="154" spans="1:12" outlineLevel="1" x14ac:dyDescent="0.2">
      <c r="A154" s="1715" t="s">
        <v>507</v>
      </c>
      <c r="B154" s="1721">
        <f t="shared" si="24"/>
        <v>0</v>
      </c>
      <c r="C154" s="1721">
        <f t="shared" si="24"/>
        <v>0</v>
      </c>
      <c r="D154" s="1721">
        <f t="shared" si="24"/>
        <v>347.82</v>
      </c>
      <c r="E154" s="1721">
        <f t="shared" si="24"/>
        <v>347.82</v>
      </c>
      <c r="F154" s="1721">
        <f t="shared" si="24"/>
        <v>347.82</v>
      </c>
      <c r="G154" s="1721">
        <f t="shared" si="24"/>
        <v>347.82</v>
      </c>
      <c r="H154" s="1721">
        <f t="shared" si="24"/>
        <v>347.82</v>
      </c>
      <c r="I154" s="1721">
        <f t="shared" si="24"/>
        <v>347.82</v>
      </c>
      <c r="J154" s="1721">
        <f t="shared" si="24"/>
        <v>347.82</v>
      </c>
      <c r="K154" s="1721">
        <f t="shared" si="24"/>
        <v>347.82</v>
      </c>
      <c r="L154" s="1721">
        <f t="shared" si="24"/>
        <v>347.82</v>
      </c>
    </row>
    <row r="155" spans="1:12" outlineLevel="1" x14ac:dyDescent="0.2">
      <c r="A155" s="1715" t="s">
        <v>508</v>
      </c>
      <c r="B155" s="1721">
        <f t="shared" si="24"/>
        <v>0</v>
      </c>
      <c r="C155" s="1721">
        <f t="shared" si="24"/>
        <v>0</v>
      </c>
      <c r="D155" s="1721">
        <f t="shared" si="24"/>
        <v>0</v>
      </c>
      <c r="E155" s="1721">
        <f t="shared" si="24"/>
        <v>0</v>
      </c>
      <c r="F155" s="1721">
        <f t="shared" si="24"/>
        <v>0</v>
      </c>
      <c r="G155" s="1721">
        <f t="shared" si="24"/>
        <v>0</v>
      </c>
      <c r="H155" s="1721">
        <f t="shared" si="24"/>
        <v>0</v>
      </c>
      <c r="I155" s="1721">
        <f t="shared" si="24"/>
        <v>0</v>
      </c>
      <c r="J155" s="1721">
        <f t="shared" si="24"/>
        <v>0</v>
      </c>
      <c r="K155" s="1721">
        <f t="shared" si="24"/>
        <v>0</v>
      </c>
      <c r="L155" s="1721">
        <f t="shared" si="24"/>
        <v>0</v>
      </c>
    </row>
    <row r="156" spans="1:12" ht="12" outlineLevel="1" thickBot="1" x14ac:dyDescent="0.25">
      <c r="A156" s="1723" t="s">
        <v>509</v>
      </c>
      <c r="B156" s="1721">
        <f t="shared" si="24"/>
        <v>0</v>
      </c>
      <c r="C156" s="1721">
        <f t="shared" si="24"/>
        <v>0</v>
      </c>
      <c r="D156" s="1721">
        <f t="shared" si="24"/>
        <v>0</v>
      </c>
      <c r="E156" s="1721">
        <f t="shared" si="24"/>
        <v>0</v>
      </c>
      <c r="F156" s="1721">
        <f t="shared" si="24"/>
        <v>0</v>
      </c>
      <c r="G156" s="1721">
        <f t="shared" si="24"/>
        <v>0</v>
      </c>
      <c r="H156" s="1721">
        <f t="shared" si="24"/>
        <v>0</v>
      </c>
      <c r="I156" s="1721">
        <f t="shared" si="24"/>
        <v>0</v>
      </c>
      <c r="J156" s="1721">
        <f t="shared" si="24"/>
        <v>0</v>
      </c>
      <c r="K156" s="1721">
        <f t="shared" si="24"/>
        <v>0</v>
      </c>
      <c r="L156" s="1721">
        <f t="shared" si="24"/>
        <v>0</v>
      </c>
    </row>
    <row r="157" spans="1:12" ht="12" outlineLevel="1" thickBot="1" x14ac:dyDescent="0.25">
      <c r="A157" s="1724" t="s">
        <v>510</v>
      </c>
      <c r="B157" s="1725">
        <f>SUM(B158:B170)</f>
        <v>0</v>
      </c>
      <c r="C157" s="1725">
        <f t="shared" ref="C157:L157" si="25">SUM(C158:C170)</f>
        <v>0</v>
      </c>
      <c r="D157" s="1725">
        <f t="shared" si="25"/>
        <v>1420305.97</v>
      </c>
      <c r="E157" s="1725">
        <f>SUM(E158:E170)</f>
        <v>1481410.83</v>
      </c>
      <c r="F157" s="1725">
        <f t="shared" ca="1" si="25"/>
        <v>1626524.5999999999</v>
      </c>
      <c r="G157" s="1725">
        <f t="shared" ca="1" si="25"/>
        <v>1762537.46</v>
      </c>
      <c r="H157" s="1725">
        <f t="shared" ca="1" si="25"/>
        <v>1892426.1700000002</v>
      </c>
      <c r="I157" s="1725">
        <f t="shared" ca="1" si="25"/>
        <v>1987431.1500000001</v>
      </c>
      <c r="J157" s="1725">
        <f t="shared" ca="1" si="25"/>
        <v>2080972.39</v>
      </c>
      <c r="K157" s="1725">
        <f t="shared" ca="1" si="25"/>
        <v>2174998.9700000002</v>
      </c>
      <c r="L157" s="1725">
        <f t="shared" ca="1" si="25"/>
        <v>2271077.9499999997</v>
      </c>
    </row>
    <row r="158" spans="1:12" outlineLevel="1" x14ac:dyDescent="0.2">
      <c r="A158" s="1720" t="s">
        <v>511</v>
      </c>
      <c r="B158" s="1721">
        <f t="shared" ref="B158:B169" si="26">B87</f>
        <v>0</v>
      </c>
      <c r="C158" s="1721">
        <f t="shared" ref="C158:L158" si="27">C87</f>
        <v>0</v>
      </c>
      <c r="D158" s="1721">
        <f t="shared" si="27"/>
        <v>343630.82</v>
      </c>
      <c r="E158" s="1721">
        <f t="shared" si="27"/>
        <v>241390.37</v>
      </c>
      <c r="F158" s="1721">
        <f t="shared" si="27"/>
        <v>255994.48</v>
      </c>
      <c r="G158" s="1721">
        <f t="shared" si="27"/>
        <v>269752.96999999997</v>
      </c>
      <c r="H158" s="1721">
        <f t="shared" si="27"/>
        <v>286073.02</v>
      </c>
      <c r="I158" s="1721">
        <f t="shared" si="27"/>
        <v>291823.09000000003</v>
      </c>
      <c r="J158" s="1721">
        <f t="shared" si="27"/>
        <v>297688.73</v>
      </c>
      <c r="K158" s="1721">
        <f t="shared" si="27"/>
        <v>303672.28000000003</v>
      </c>
      <c r="L158" s="1721">
        <f t="shared" si="27"/>
        <v>309776.09000000003</v>
      </c>
    </row>
    <row r="159" spans="1:12" outlineLevel="1" x14ac:dyDescent="0.2">
      <c r="A159" s="1715" t="s">
        <v>503</v>
      </c>
      <c r="B159" s="1721">
        <f t="shared" si="26"/>
        <v>0</v>
      </c>
      <c r="C159" s="1721">
        <f t="shared" ref="C159:L159" si="28">C88</f>
        <v>0</v>
      </c>
      <c r="D159" s="1721">
        <f t="shared" si="28"/>
        <v>0</v>
      </c>
      <c r="E159" s="1721">
        <f t="shared" si="28"/>
        <v>0</v>
      </c>
      <c r="F159" s="1721">
        <f t="shared" si="28"/>
        <v>0</v>
      </c>
      <c r="G159" s="1721">
        <f t="shared" si="28"/>
        <v>0</v>
      </c>
      <c r="H159" s="1721">
        <f t="shared" si="28"/>
        <v>0</v>
      </c>
      <c r="I159" s="1721">
        <f t="shared" si="28"/>
        <v>0</v>
      </c>
      <c r="J159" s="1721">
        <f t="shared" si="28"/>
        <v>0</v>
      </c>
      <c r="K159" s="1721">
        <f t="shared" si="28"/>
        <v>0</v>
      </c>
      <c r="L159" s="1721">
        <f t="shared" si="28"/>
        <v>0</v>
      </c>
    </row>
    <row r="160" spans="1:12" outlineLevel="1" x14ac:dyDescent="0.2">
      <c r="A160" s="1715" t="s">
        <v>512</v>
      </c>
      <c r="B160" s="1721">
        <f t="shared" si="26"/>
        <v>0</v>
      </c>
      <c r="C160" s="1721">
        <f t="shared" ref="C160:L160" si="29">C89</f>
        <v>0</v>
      </c>
      <c r="D160" s="1721">
        <f t="shared" si="29"/>
        <v>758084.77</v>
      </c>
      <c r="E160" s="1721">
        <f>E89</f>
        <v>1134688.48</v>
      </c>
      <c r="F160" s="1721">
        <f t="shared" si="29"/>
        <v>1203337.1299999999</v>
      </c>
      <c r="G160" s="1721">
        <f t="shared" si="29"/>
        <v>1276139.03</v>
      </c>
      <c r="H160" s="1721">
        <f t="shared" si="29"/>
        <v>1353345.44</v>
      </c>
      <c r="I160" s="1721">
        <f t="shared" si="29"/>
        <v>1380547.68</v>
      </c>
      <c r="J160" s="1721">
        <f t="shared" si="29"/>
        <v>1408296.69</v>
      </c>
      <c r="K160" s="1721">
        <f t="shared" si="29"/>
        <v>1436603.46</v>
      </c>
      <c r="L160" s="1721">
        <f t="shared" si="29"/>
        <v>1465479.18</v>
      </c>
    </row>
    <row r="161" spans="1:12" outlineLevel="1" x14ac:dyDescent="0.2">
      <c r="A161" s="1715" t="s">
        <v>513</v>
      </c>
      <c r="B161" s="1721">
        <f t="shared" si="26"/>
        <v>0</v>
      </c>
      <c r="C161" s="1721">
        <f t="shared" ref="C161:L161" si="30">C90</f>
        <v>0</v>
      </c>
      <c r="D161" s="1721">
        <f t="shared" si="30"/>
        <v>0</v>
      </c>
      <c r="E161" s="1721">
        <f t="shared" si="30"/>
        <v>0</v>
      </c>
      <c r="F161" s="1721">
        <f t="shared" si="30"/>
        <v>0</v>
      </c>
      <c r="G161" s="1721">
        <f t="shared" si="30"/>
        <v>0</v>
      </c>
      <c r="H161" s="1721">
        <f t="shared" si="30"/>
        <v>0</v>
      </c>
      <c r="I161" s="1721">
        <f t="shared" si="30"/>
        <v>0</v>
      </c>
      <c r="J161" s="1721">
        <f t="shared" si="30"/>
        <v>0</v>
      </c>
      <c r="K161" s="1721">
        <f t="shared" si="30"/>
        <v>0</v>
      </c>
      <c r="L161" s="1721">
        <f t="shared" si="30"/>
        <v>0</v>
      </c>
    </row>
    <row r="162" spans="1:12" outlineLevel="1" x14ac:dyDescent="0.2">
      <c r="A162" s="1715" t="s">
        <v>514</v>
      </c>
      <c r="B162" s="1721">
        <f t="shared" si="26"/>
        <v>0</v>
      </c>
      <c r="C162" s="1721">
        <f t="shared" ref="C162:L162" si="31">C91</f>
        <v>0</v>
      </c>
      <c r="D162" s="1721">
        <f t="shared" si="31"/>
        <v>21003.43</v>
      </c>
      <c r="E162" s="1721">
        <f t="shared" si="31"/>
        <v>0</v>
      </c>
      <c r="F162" s="1721">
        <f t="shared" si="31"/>
        <v>0</v>
      </c>
      <c r="G162" s="1721">
        <f t="shared" si="31"/>
        <v>0</v>
      </c>
      <c r="H162" s="1721">
        <f t="shared" si="31"/>
        <v>0</v>
      </c>
      <c r="I162" s="1721">
        <f t="shared" si="31"/>
        <v>0</v>
      </c>
      <c r="J162" s="1721">
        <f t="shared" si="31"/>
        <v>0</v>
      </c>
      <c r="K162" s="1721">
        <f t="shared" si="31"/>
        <v>0</v>
      </c>
      <c r="L162" s="1721">
        <f t="shared" si="31"/>
        <v>0</v>
      </c>
    </row>
    <row r="163" spans="1:12" outlineLevel="1" x14ac:dyDescent="0.2">
      <c r="A163" s="1715" t="s">
        <v>506</v>
      </c>
      <c r="B163" s="1721">
        <f t="shared" si="26"/>
        <v>0</v>
      </c>
      <c r="C163" s="1721">
        <f t="shared" ref="C163:L163" si="32">C92</f>
        <v>0</v>
      </c>
      <c r="D163" s="1721">
        <f t="shared" si="32"/>
        <v>0</v>
      </c>
      <c r="E163" s="1721">
        <f t="shared" si="32"/>
        <v>0</v>
      </c>
      <c r="F163" s="1721">
        <f t="shared" si="32"/>
        <v>0</v>
      </c>
      <c r="G163" s="1721">
        <f t="shared" si="32"/>
        <v>0</v>
      </c>
      <c r="H163" s="1721">
        <f t="shared" si="32"/>
        <v>0</v>
      </c>
      <c r="I163" s="1721">
        <f t="shared" si="32"/>
        <v>0</v>
      </c>
      <c r="J163" s="1721">
        <f t="shared" si="32"/>
        <v>0</v>
      </c>
      <c r="K163" s="1721">
        <f t="shared" si="32"/>
        <v>0</v>
      </c>
      <c r="L163" s="1721">
        <f t="shared" si="32"/>
        <v>0</v>
      </c>
    </row>
    <row r="164" spans="1:12" outlineLevel="1" x14ac:dyDescent="0.2">
      <c r="A164" s="1715" t="s">
        <v>515</v>
      </c>
      <c r="B164" s="1721">
        <f t="shared" si="26"/>
        <v>0</v>
      </c>
      <c r="C164" s="1721">
        <f t="shared" ref="C164:L164" si="33">C93</f>
        <v>0</v>
      </c>
      <c r="D164" s="1721">
        <f t="shared" si="33"/>
        <v>80826.210000000006</v>
      </c>
      <c r="E164" s="1721">
        <f t="shared" si="33"/>
        <v>80826.210000000006</v>
      </c>
      <c r="F164" s="1721">
        <f t="shared" si="33"/>
        <v>80826.210000000006</v>
      </c>
      <c r="G164" s="1721">
        <f t="shared" si="33"/>
        <v>80826.210000000006</v>
      </c>
      <c r="H164" s="1721">
        <f t="shared" si="33"/>
        <v>80826.210000000006</v>
      </c>
      <c r="I164" s="1721">
        <f t="shared" si="33"/>
        <v>80826.210000000006</v>
      </c>
      <c r="J164" s="1721">
        <f t="shared" si="33"/>
        <v>80826.210000000006</v>
      </c>
      <c r="K164" s="1721">
        <f t="shared" si="33"/>
        <v>80826.210000000006</v>
      </c>
      <c r="L164" s="1721">
        <f t="shared" si="33"/>
        <v>80826.210000000006</v>
      </c>
    </row>
    <row r="165" spans="1:12" outlineLevel="1" x14ac:dyDescent="0.2">
      <c r="A165" s="1715" t="s">
        <v>516</v>
      </c>
      <c r="B165" s="1721">
        <f t="shared" si="26"/>
        <v>0</v>
      </c>
      <c r="C165" s="1721">
        <f t="shared" ref="C165:L165" si="34">C94</f>
        <v>0</v>
      </c>
      <c r="D165" s="1721">
        <f t="shared" si="34"/>
        <v>955.33</v>
      </c>
      <c r="E165" s="1721">
        <f t="shared" si="34"/>
        <v>955.33</v>
      </c>
      <c r="F165" s="1721">
        <f t="shared" si="34"/>
        <v>955.33</v>
      </c>
      <c r="G165" s="1721">
        <f t="shared" si="34"/>
        <v>955.33</v>
      </c>
      <c r="H165" s="1721">
        <f t="shared" si="34"/>
        <v>955.33</v>
      </c>
      <c r="I165" s="1721">
        <f t="shared" si="34"/>
        <v>955.33</v>
      </c>
      <c r="J165" s="1721">
        <f t="shared" si="34"/>
        <v>955.33</v>
      </c>
      <c r="K165" s="1721">
        <f t="shared" si="34"/>
        <v>955.33</v>
      </c>
      <c r="L165" s="1721">
        <f t="shared" si="34"/>
        <v>955.33</v>
      </c>
    </row>
    <row r="166" spans="1:12" outlineLevel="1" x14ac:dyDescent="0.2">
      <c r="A166" s="1715" t="s">
        <v>517</v>
      </c>
      <c r="B166" s="1721">
        <f t="shared" si="26"/>
        <v>0</v>
      </c>
      <c r="C166" s="1721">
        <f t="shared" ref="C166:L166" si="35">C95</f>
        <v>0</v>
      </c>
      <c r="D166" s="1721">
        <f t="shared" si="35"/>
        <v>0</v>
      </c>
      <c r="E166" s="1721">
        <f t="shared" si="35"/>
        <v>0</v>
      </c>
      <c r="F166" s="1721">
        <f t="shared" si="35"/>
        <v>0</v>
      </c>
      <c r="G166" s="1721">
        <f t="shared" si="35"/>
        <v>0</v>
      </c>
      <c r="H166" s="1721">
        <f t="shared" si="35"/>
        <v>0</v>
      </c>
      <c r="I166" s="1721">
        <f t="shared" si="35"/>
        <v>0</v>
      </c>
      <c r="J166" s="1721">
        <f t="shared" si="35"/>
        <v>0</v>
      </c>
      <c r="K166" s="1721">
        <f t="shared" si="35"/>
        <v>0</v>
      </c>
      <c r="L166" s="1721">
        <f t="shared" si="35"/>
        <v>0</v>
      </c>
    </row>
    <row r="167" spans="1:12" outlineLevel="1" x14ac:dyDescent="0.2">
      <c r="A167" s="1715" t="s">
        <v>507</v>
      </c>
      <c r="B167" s="1721">
        <f t="shared" si="26"/>
        <v>0</v>
      </c>
      <c r="C167" s="1721">
        <f t="shared" ref="C167:L167" si="36">C96</f>
        <v>0</v>
      </c>
      <c r="D167" s="1721">
        <f t="shared" si="36"/>
        <v>0</v>
      </c>
      <c r="E167" s="1721">
        <f t="shared" si="36"/>
        <v>0</v>
      </c>
      <c r="F167" s="1721">
        <f t="shared" si="36"/>
        <v>0</v>
      </c>
      <c r="G167" s="1721">
        <f t="shared" si="36"/>
        <v>0</v>
      </c>
      <c r="H167" s="1721">
        <f t="shared" si="36"/>
        <v>0</v>
      </c>
      <c r="I167" s="1721">
        <f t="shared" si="36"/>
        <v>0</v>
      </c>
      <c r="J167" s="1721">
        <f t="shared" si="36"/>
        <v>0</v>
      </c>
      <c r="K167" s="1721">
        <f t="shared" si="36"/>
        <v>0</v>
      </c>
      <c r="L167" s="1721">
        <f t="shared" si="36"/>
        <v>0</v>
      </c>
    </row>
    <row r="168" spans="1:12" outlineLevel="1" x14ac:dyDescent="0.2">
      <c r="A168" s="1715" t="s">
        <v>518</v>
      </c>
      <c r="B168" s="1721">
        <f t="shared" si="26"/>
        <v>0</v>
      </c>
      <c r="C168" s="1721">
        <f t="shared" ref="C168:L168" si="37">C97</f>
        <v>0</v>
      </c>
      <c r="D168" s="1721">
        <f t="shared" si="37"/>
        <v>0</v>
      </c>
      <c r="E168" s="1721">
        <f t="shared" si="37"/>
        <v>0</v>
      </c>
      <c r="F168" s="1721">
        <f t="shared" si="37"/>
        <v>0</v>
      </c>
      <c r="G168" s="1721">
        <f t="shared" si="37"/>
        <v>0</v>
      </c>
      <c r="H168" s="1721">
        <f t="shared" si="37"/>
        <v>0</v>
      </c>
      <c r="I168" s="1721">
        <f t="shared" si="37"/>
        <v>0</v>
      </c>
      <c r="J168" s="1721">
        <f t="shared" si="37"/>
        <v>0</v>
      </c>
      <c r="K168" s="1721">
        <f t="shared" si="37"/>
        <v>0</v>
      </c>
      <c r="L168" s="1721">
        <f t="shared" si="37"/>
        <v>0</v>
      </c>
    </row>
    <row r="169" spans="1:12" outlineLevel="1" x14ac:dyDescent="0.2">
      <c r="A169" s="1715" t="s">
        <v>519</v>
      </c>
      <c r="B169" s="1721">
        <f t="shared" si="26"/>
        <v>0</v>
      </c>
      <c r="C169" s="1721">
        <f t="shared" ref="C169:L169" si="38">C98</f>
        <v>0</v>
      </c>
      <c r="D169" s="1721">
        <f t="shared" si="38"/>
        <v>0</v>
      </c>
      <c r="E169" s="1721">
        <f t="shared" si="38"/>
        <v>0</v>
      </c>
      <c r="F169" s="1721">
        <f t="shared" si="38"/>
        <v>0</v>
      </c>
      <c r="G169" s="1721">
        <f t="shared" si="38"/>
        <v>0</v>
      </c>
      <c r="H169" s="1721">
        <f t="shared" si="38"/>
        <v>0</v>
      </c>
      <c r="I169" s="1721">
        <f t="shared" si="38"/>
        <v>0</v>
      </c>
      <c r="J169" s="1721">
        <f t="shared" si="38"/>
        <v>0</v>
      </c>
      <c r="K169" s="1721">
        <f t="shared" si="38"/>
        <v>0</v>
      </c>
      <c r="L169" s="1721">
        <f t="shared" si="38"/>
        <v>0</v>
      </c>
    </row>
    <row r="170" spans="1:12" outlineLevel="1" x14ac:dyDescent="0.2">
      <c r="A170" s="1715" t="s">
        <v>520</v>
      </c>
      <c r="B170" s="1721">
        <f t="shared" ref="B170:D170" si="39">IF(B139=0,B99,B99-B139)</f>
        <v>0</v>
      </c>
      <c r="C170" s="1721">
        <f t="shared" si="39"/>
        <v>0</v>
      </c>
      <c r="D170" s="1721">
        <f t="shared" si="39"/>
        <v>215805.41</v>
      </c>
      <c r="E170" s="1721">
        <f>IF(E139=0,E99,E99-E139)</f>
        <v>23550.44</v>
      </c>
      <c r="F170" s="1721">
        <f t="shared" ref="F170:L170" ca="1" si="40">IF(F139=0,F99,F99-F139)</f>
        <v>85411.450000000012</v>
      </c>
      <c r="G170" s="1721">
        <f t="shared" ca="1" si="40"/>
        <v>134863.91999999998</v>
      </c>
      <c r="H170" s="1721">
        <f t="shared" ca="1" si="40"/>
        <v>171226.17000000022</v>
      </c>
      <c r="I170" s="1721">
        <f t="shared" ca="1" si="40"/>
        <v>233278.84</v>
      </c>
      <c r="J170" s="1721">
        <f t="shared" ca="1" si="40"/>
        <v>293205.43</v>
      </c>
      <c r="K170" s="1721">
        <f t="shared" ca="1" si="40"/>
        <v>352941.69</v>
      </c>
      <c r="L170" s="1721">
        <f t="shared" ca="1" si="40"/>
        <v>414041.13999999978</v>
      </c>
    </row>
    <row r="171" spans="1:12" outlineLevel="1" x14ac:dyDescent="0.2">
      <c r="A171" s="1257" t="s">
        <v>521</v>
      </c>
      <c r="B171" s="1258">
        <f>SUM(B146:B156)+SUM(B158:B170)</f>
        <v>0</v>
      </c>
      <c r="C171" s="1258">
        <f t="shared" ref="C171:L171" si="41">SUM(C146:C156)+SUM(C158:C170)</f>
        <v>0</v>
      </c>
      <c r="D171" s="1258">
        <f t="shared" si="41"/>
        <v>1607431.89</v>
      </c>
      <c r="E171" s="1258">
        <f t="shared" si="41"/>
        <v>1660074.23</v>
      </c>
      <c r="F171" s="1258">
        <f t="shared" ca="1" si="41"/>
        <v>1826725.4699999997</v>
      </c>
      <c r="G171" s="1258">
        <f t="shared" ca="1" si="41"/>
        <v>1944275.81</v>
      </c>
      <c r="H171" s="1258">
        <f t="shared" ca="1" si="41"/>
        <v>2055701.9900000002</v>
      </c>
      <c r="I171" s="1258">
        <f t="shared" ca="1" si="41"/>
        <v>2132244.4500000002</v>
      </c>
      <c r="J171" s="1258">
        <f t="shared" ca="1" si="41"/>
        <v>2217323.17</v>
      </c>
      <c r="K171" s="1258">
        <f t="shared" ca="1" si="41"/>
        <v>2302887.2200000002</v>
      </c>
      <c r="L171" s="1258">
        <f t="shared" ca="1" si="41"/>
        <v>2390503.6799999997</v>
      </c>
    </row>
    <row r="172" spans="1:12" outlineLevel="1" x14ac:dyDescent="0.2">
      <c r="A172" s="1715" t="s">
        <v>522</v>
      </c>
      <c r="B172" s="1719"/>
      <c r="C172" s="1719"/>
      <c r="D172" s="1719"/>
      <c r="E172" s="1719"/>
      <c r="F172" s="1719"/>
      <c r="G172" s="1719"/>
      <c r="H172" s="1719"/>
      <c r="I172" s="1719"/>
      <c r="J172" s="1719"/>
      <c r="K172" s="1719"/>
      <c r="L172" s="1719"/>
    </row>
    <row r="173" spans="1:12" outlineLevel="1" x14ac:dyDescent="0.2">
      <c r="A173" s="1715" t="s">
        <v>523</v>
      </c>
      <c r="B173" s="1716">
        <f>B102</f>
        <v>0</v>
      </c>
      <c r="C173" s="1716">
        <f t="shared" ref="C173:L173" si="42">C102</f>
        <v>0</v>
      </c>
      <c r="D173" s="1716">
        <f t="shared" si="42"/>
        <v>300000</v>
      </c>
      <c r="E173" s="1716">
        <f t="shared" si="42"/>
        <v>300000</v>
      </c>
      <c r="F173" s="1716">
        <f t="shared" si="42"/>
        <v>300000</v>
      </c>
      <c r="G173" s="1716">
        <f t="shared" si="42"/>
        <v>300000</v>
      </c>
      <c r="H173" s="1716">
        <f t="shared" si="42"/>
        <v>300000</v>
      </c>
      <c r="I173" s="1716">
        <f t="shared" si="42"/>
        <v>300000</v>
      </c>
      <c r="J173" s="1716">
        <f t="shared" si="42"/>
        <v>300000</v>
      </c>
      <c r="K173" s="1716">
        <f t="shared" si="42"/>
        <v>300000</v>
      </c>
      <c r="L173" s="1716">
        <f t="shared" si="42"/>
        <v>300000</v>
      </c>
    </row>
    <row r="174" spans="1:12" outlineLevel="1" x14ac:dyDescent="0.2">
      <c r="A174" s="1715" t="s">
        <v>524</v>
      </c>
      <c r="B174" s="1716">
        <f t="shared" ref="B174:L185" si="43">B103</f>
        <v>0</v>
      </c>
      <c r="C174" s="1716">
        <f t="shared" si="43"/>
        <v>0</v>
      </c>
      <c r="D174" s="1716">
        <f t="shared" si="43"/>
        <v>0</v>
      </c>
      <c r="E174" s="1716">
        <f t="shared" si="43"/>
        <v>0</v>
      </c>
      <c r="F174" s="1716">
        <f t="shared" si="43"/>
        <v>0</v>
      </c>
      <c r="G174" s="1716">
        <f t="shared" si="43"/>
        <v>0</v>
      </c>
      <c r="H174" s="1716">
        <f t="shared" si="43"/>
        <v>0</v>
      </c>
      <c r="I174" s="1716">
        <f t="shared" si="43"/>
        <v>0</v>
      </c>
      <c r="J174" s="1716">
        <f t="shared" si="43"/>
        <v>0</v>
      </c>
      <c r="K174" s="1716">
        <f t="shared" si="43"/>
        <v>0</v>
      </c>
      <c r="L174" s="1716">
        <f t="shared" si="43"/>
        <v>0</v>
      </c>
    </row>
    <row r="175" spans="1:12" outlineLevel="1" x14ac:dyDescent="0.2">
      <c r="A175" s="1715" t="s">
        <v>525</v>
      </c>
      <c r="B175" s="1716">
        <f t="shared" si="43"/>
        <v>0</v>
      </c>
      <c r="C175" s="1716">
        <f t="shared" si="43"/>
        <v>0</v>
      </c>
      <c r="D175" s="1716">
        <f t="shared" si="43"/>
        <v>0</v>
      </c>
      <c r="E175" s="1716">
        <f t="shared" si="43"/>
        <v>5158.8100000000004</v>
      </c>
      <c r="F175" s="1716">
        <f t="shared" si="43"/>
        <v>28514.61</v>
      </c>
      <c r="G175" s="1716">
        <f t="shared" si="43"/>
        <v>37087.25</v>
      </c>
      <c r="H175" s="1716">
        <f t="shared" si="43"/>
        <v>37087.25</v>
      </c>
      <c r="I175" s="1716">
        <f t="shared" si="43"/>
        <v>37087.25</v>
      </c>
      <c r="J175" s="1716">
        <f t="shared" si="43"/>
        <v>37087.25</v>
      </c>
      <c r="K175" s="1716">
        <f t="shared" si="43"/>
        <v>37087.25</v>
      </c>
      <c r="L175" s="1716">
        <f t="shared" si="43"/>
        <v>37087.25</v>
      </c>
    </row>
    <row r="176" spans="1:12" outlineLevel="1" x14ac:dyDescent="0.2">
      <c r="A176" s="1715" t="s">
        <v>526</v>
      </c>
      <c r="B176" s="1716">
        <f t="shared" si="43"/>
        <v>0</v>
      </c>
      <c r="C176" s="1716">
        <f t="shared" si="43"/>
        <v>0</v>
      </c>
      <c r="D176" s="1716">
        <f t="shared" si="43"/>
        <v>0</v>
      </c>
      <c r="E176" s="1716">
        <f t="shared" si="43"/>
        <v>0</v>
      </c>
      <c r="F176" s="1716">
        <f t="shared" si="43"/>
        <v>0</v>
      </c>
      <c r="G176" s="1716">
        <f t="shared" si="43"/>
        <v>0</v>
      </c>
      <c r="H176" s="1716">
        <f t="shared" si="43"/>
        <v>0</v>
      </c>
      <c r="I176" s="1716">
        <f t="shared" si="43"/>
        <v>0</v>
      </c>
      <c r="J176" s="1716">
        <f t="shared" si="43"/>
        <v>0</v>
      </c>
      <c r="K176" s="1716">
        <f t="shared" si="43"/>
        <v>0</v>
      </c>
      <c r="L176" s="1716">
        <f t="shared" si="43"/>
        <v>0</v>
      </c>
    </row>
    <row r="177" spans="1:12" outlineLevel="1" x14ac:dyDescent="0.2">
      <c r="A177" s="1715" t="s">
        <v>527</v>
      </c>
      <c r="B177" s="1716">
        <f t="shared" si="43"/>
        <v>0</v>
      </c>
      <c r="C177" s="1716">
        <f t="shared" si="43"/>
        <v>0</v>
      </c>
      <c r="D177" s="1716">
        <f t="shared" si="43"/>
        <v>14785.57</v>
      </c>
      <c r="E177" s="1716">
        <f t="shared" si="43"/>
        <v>29109.66</v>
      </c>
      <c r="F177" s="1716">
        <f t="shared" si="43"/>
        <v>43954.92</v>
      </c>
      <c r="G177" s="1716">
        <f t="shared" si="43"/>
        <v>60000</v>
      </c>
      <c r="H177" s="1716">
        <f t="shared" si="43"/>
        <v>60000</v>
      </c>
      <c r="I177" s="1716">
        <f t="shared" si="43"/>
        <v>60000</v>
      </c>
      <c r="J177" s="1716">
        <f t="shared" si="43"/>
        <v>60000</v>
      </c>
      <c r="K177" s="1716">
        <f t="shared" si="43"/>
        <v>60000</v>
      </c>
      <c r="L177" s="1716">
        <f t="shared" si="43"/>
        <v>60000</v>
      </c>
    </row>
    <row r="178" spans="1:12" outlineLevel="1" x14ac:dyDescent="0.2">
      <c r="A178" s="1715" t="s">
        <v>528</v>
      </c>
      <c r="B178" s="1716">
        <f t="shared" si="43"/>
        <v>0</v>
      </c>
      <c r="C178" s="1716">
        <f t="shared" si="43"/>
        <v>0</v>
      </c>
      <c r="D178" s="1716">
        <f t="shared" si="43"/>
        <v>0</v>
      </c>
      <c r="E178" s="1716">
        <f t="shared" si="43"/>
        <v>0</v>
      </c>
      <c r="F178" s="1716">
        <f t="shared" si="43"/>
        <v>0</v>
      </c>
      <c r="G178" s="1716">
        <f t="shared" si="43"/>
        <v>0</v>
      </c>
      <c r="H178" s="1716">
        <f t="shared" si="43"/>
        <v>0</v>
      </c>
      <c r="I178" s="1716">
        <f t="shared" si="43"/>
        <v>0</v>
      </c>
      <c r="J178" s="1716">
        <f t="shared" si="43"/>
        <v>0</v>
      </c>
      <c r="K178" s="1716">
        <f t="shared" si="43"/>
        <v>0</v>
      </c>
      <c r="L178" s="1716">
        <f t="shared" si="43"/>
        <v>0</v>
      </c>
    </row>
    <row r="179" spans="1:12" outlineLevel="1" x14ac:dyDescent="0.2">
      <c r="A179" s="1715" t="s">
        <v>529</v>
      </c>
      <c r="B179" s="1716">
        <f t="shared" si="43"/>
        <v>0</v>
      </c>
      <c r="C179" s="1716">
        <f t="shared" si="43"/>
        <v>0</v>
      </c>
      <c r="D179" s="1716">
        <f t="shared" si="43"/>
        <v>254627.19</v>
      </c>
      <c r="E179" s="1716">
        <f t="shared" si="43"/>
        <v>272157.67</v>
      </c>
      <c r="F179" s="1716">
        <f t="shared" si="43"/>
        <v>282060.07</v>
      </c>
      <c r="G179" s="1716">
        <f t="shared" si="43"/>
        <v>315442.94</v>
      </c>
      <c r="H179" s="1716">
        <f t="shared" si="43"/>
        <v>359778.52</v>
      </c>
      <c r="I179" s="1716">
        <f t="shared" si="43"/>
        <v>415575.54</v>
      </c>
      <c r="J179" s="1716">
        <f t="shared" si="43"/>
        <v>472979.16</v>
      </c>
      <c r="K179" s="1716">
        <f t="shared" si="43"/>
        <v>537230.91</v>
      </c>
      <c r="L179" s="1716">
        <f t="shared" si="43"/>
        <v>603106.16</v>
      </c>
    </row>
    <row r="180" spans="1:12" outlineLevel="1" x14ac:dyDescent="0.2">
      <c r="A180" s="1715" t="s">
        <v>530</v>
      </c>
      <c r="B180" s="1716">
        <f t="shared" si="43"/>
        <v>0</v>
      </c>
      <c r="C180" s="1716">
        <f t="shared" si="43"/>
        <v>0</v>
      </c>
      <c r="D180" s="1716">
        <f t="shared" si="43"/>
        <v>0</v>
      </c>
      <c r="E180" s="1716">
        <f t="shared" si="43"/>
        <v>0</v>
      </c>
      <c r="F180" s="1716">
        <f t="shared" si="43"/>
        <v>0</v>
      </c>
      <c r="G180" s="1716">
        <f t="shared" si="43"/>
        <v>0</v>
      </c>
      <c r="H180" s="1716">
        <f t="shared" si="43"/>
        <v>0</v>
      </c>
      <c r="I180" s="1716">
        <f t="shared" si="43"/>
        <v>0</v>
      </c>
      <c r="J180" s="1716">
        <f t="shared" si="43"/>
        <v>0</v>
      </c>
      <c r="K180" s="1716">
        <f t="shared" si="43"/>
        <v>0</v>
      </c>
      <c r="L180" s="1716">
        <f t="shared" si="43"/>
        <v>0</v>
      </c>
    </row>
    <row r="181" spans="1:12" outlineLevel="1" x14ac:dyDescent="0.2">
      <c r="A181" s="1715" t="s">
        <v>531</v>
      </c>
      <c r="B181" s="1716">
        <f t="shared" si="43"/>
        <v>0</v>
      </c>
      <c r="C181" s="1716">
        <f t="shared" si="43"/>
        <v>0</v>
      </c>
      <c r="D181" s="1716">
        <f t="shared" si="43"/>
        <v>0</v>
      </c>
      <c r="E181" s="1716">
        <f t="shared" si="43"/>
        <v>0</v>
      </c>
      <c r="F181" s="1716">
        <f t="shared" si="43"/>
        <v>0</v>
      </c>
      <c r="G181" s="1716">
        <f t="shared" si="43"/>
        <v>0</v>
      </c>
      <c r="H181" s="1716">
        <f t="shared" si="43"/>
        <v>0</v>
      </c>
      <c r="I181" s="1716">
        <f t="shared" si="43"/>
        <v>0</v>
      </c>
      <c r="J181" s="1716">
        <f t="shared" si="43"/>
        <v>0</v>
      </c>
      <c r="K181" s="1716">
        <f t="shared" si="43"/>
        <v>0</v>
      </c>
      <c r="L181" s="1716">
        <f t="shared" si="43"/>
        <v>0</v>
      </c>
    </row>
    <row r="182" spans="1:12" outlineLevel="1" x14ac:dyDescent="0.2">
      <c r="A182" s="1715" t="s">
        <v>532</v>
      </c>
      <c r="B182" s="1716">
        <f t="shared" si="43"/>
        <v>0</v>
      </c>
      <c r="C182" s="1716">
        <f t="shared" si="43"/>
        <v>0</v>
      </c>
      <c r="D182" s="1716">
        <f t="shared" si="43"/>
        <v>0</v>
      </c>
      <c r="E182" s="1716">
        <f t="shared" si="43"/>
        <v>9285.86</v>
      </c>
      <c r="F182" s="1716">
        <f t="shared" si="43"/>
        <v>51326.29</v>
      </c>
      <c r="G182" s="1716">
        <f t="shared" si="43"/>
        <v>66757.05</v>
      </c>
      <c r="H182" s="1716">
        <f t="shared" si="43"/>
        <v>66757.05</v>
      </c>
      <c r="I182" s="1716">
        <f t="shared" si="43"/>
        <v>66757.05</v>
      </c>
      <c r="J182" s="1716">
        <f t="shared" si="43"/>
        <v>66757.05</v>
      </c>
      <c r="K182" s="1716">
        <f t="shared" si="43"/>
        <v>66757.05</v>
      </c>
      <c r="L182" s="1716">
        <f t="shared" si="43"/>
        <v>66757.05</v>
      </c>
    </row>
    <row r="183" spans="1:12" outlineLevel="1" x14ac:dyDescent="0.2">
      <c r="A183" s="1715" t="s">
        <v>495</v>
      </c>
      <c r="B183" s="1716">
        <f t="shared" si="43"/>
        <v>0</v>
      </c>
      <c r="C183" s="1716">
        <f t="shared" si="43"/>
        <v>0</v>
      </c>
      <c r="D183" s="1716">
        <f t="shared" si="43"/>
        <v>31854.57</v>
      </c>
      <c r="E183" s="1716">
        <f t="shared" si="43"/>
        <v>24747.67</v>
      </c>
      <c r="F183" s="1716">
        <f t="shared" si="43"/>
        <v>49427.95</v>
      </c>
      <c r="G183" s="1716">
        <f t="shared" si="43"/>
        <v>44335.58</v>
      </c>
      <c r="H183" s="1716">
        <f t="shared" si="43"/>
        <v>55797.01</v>
      </c>
      <c r="I183" s="1716">
        <f t="shared" si="43"/>
        <v>57403.62</v>
      </c>
      <c r="J183" s="1716">
        <f t="shared" si="43"/>
        <v>64251.75</v>
      </c>
      <c r="K183" s="1716">
        <f t="shared" si="43"/>
        <v>65875.259999999995</v>
      </c>
      <c r="L183" s="1716">
        <f t="shared" si="43"/>
        <v>67531.839999999997</v>
      </c>
    </row>
    <row r="184" spans="1:12" outlineLevel="1" x14ac:dyDescent="0.2">
      <c r="A184" s="1715" t="s">
        <v>533</v>
      </c>
      <c r="B184" s="1716">
        <f t="shared" si="43"/>
        <v>0</v>
      </c>
      <c r="C184" s="1716">
        <f t="shared" si="43"/>
        <v>0</v>
      </c>
      <c r="D184" s="1716">
        <f t="shared" si="43"/>
        <v>0</v>
      </c>
      <c r="E184" s="1716">
        <f t="shared" si="43"/>
        <v>0</v>
      </c>
      <c r="F184" s="1716">
        <f t="shared" si="43"/>
        <v>0</v>
      </c>
      <c r="G184" s="1716">
        <f t="shared" si="43"/>
        <v>0</v>
      </c>
      <c r="H184" s="1716">
        <f t="shared" si="43"/>
        <v>0</v>
      </c>
      <c r="I184" s="1716">
        <f t="shared" si="43"/>
        <v>0</v>
      </c>
      <c r="J184" s="1716">
        <f t="shared" si="43"/>
        <v>0</v>
      </c>
      <c r="K184" s="1716">
        <f t="shared" si="43"/>
        <v>0</v>
      </c>
      <c r="L184" s="1716">
        <f t="shared" si="43"/>
        <v>0</v>
      </c>
    </row>
    <row r="185" spans="1:12" outlineLevel="1" x14ac:dyDescent="0.2">
      <c r="A185" s="1715" t="s">
        <v>534</v>
      </c>
      <c r="B185" s="1716">
        <f t="shared" si="43"/>
        <v>0</v>
      </c>
      <c r="C185" s="1716">
        <f t="shared" si="43"/>
        <v>0</v>
      </c>
      <c r="D185" s="1716">
        <f t="shared" si="43"/>
        <v>0</v>
      </c>
      <c r="E185" s="1716">
        <f t="shared" si="43"/>
        <v>0</v>
      </c>
      <c r="F185" s="1716">
        <f t="shared" si="43"/>
        <v>0</v>
      </c>
      <c r="G185" s="1716">
        <f t="shared" si="43"/>
        <v>0</v>
      </c>
      <c r="H185" s="1716">
        <f t="shared" si="43"/>
        <v>0</v>
      </c>
      <c r="I185" s="1716">
        <f t="shared" si="43"/>
        <v>0</v>
      </c>
      <c r="J185" s="1716">
        <f t="shared" si="43"/>
        <v>0</v>
      </c>
      <c r="K185" s="1716">
        <f t="shared" si="43"/>
        <v>0</v>
      </c>
      <c r="L185" s="1716">
        <f t="shared" si="43"/>
        <v>0</v>
      </c>
    </row>
    <row r="186" spans="1:12" ht="12" outlineLevel="1" thickBot="1" x14ac:dyDescent="0.25">
      <c r="A186" s="1261" t="s">
        <v>535</v>
      </c>
      <c r="B186" s="1262">
        <f>SUM(B173:B185)</f>
        <v>0</v>
      </c>
      <c r="C186" s="1262">
        <f t="shared" ref="C186:L186" si="44">SUM(C173:C185)</f>
        <v>0</v>
      </c>
      <c r="D186" s="1262">
        <f t="shared" si="44"/>
        <v>601267.32999999996</v>
      </c>
      <c r="E186" s="1262">
        <f t="shared" si="44"/>
        <v>640459.66999999993</v>
      </c>
      <c r="F186" s="1262">
        <f t="shared" si="44"/>
        <v>755283.84</v>
      </c>
      <c r="G186" s="1262">
        <f t="shared" si="44"/>
        <v>823622.82</v>
      </c>
      <c r="H186" s="1262">
        <f t="shared" si="44"/>
        <v>879419.83000000007</v>
      </c>
      <c r="I186" s="1262">
        <f t="shared" si="44"/>
        <v>936823.46000000008</v>
      </c>
      <c r="J186" s="1262">
        <f t="shared" si="44"/>
        <v>1001075.21</v>
      </c>
      <c r="K186" s="1262">
        <f t="shared" si="44"/>
        <v>1066950.47</v>
      </c>
      <c r="L186" s="1262">
        <f t="shared" si="44"/>
        <v>1134482.3</v>
      </c>
    </row>
    <row r="187" spans="1:12" ht="12" outlineLevel="1" thickBot="1" x14ac:dyDescent="0.25">
      <c r="A187" s="1255" t="s">
        <v>536</v>
      </c>
      <c r="B187" s="1256"/>
      <c r="C187" s="1256"/>
      <c r="D187" s="1256"/>
      <c r="E187" s="1256"/>
      <c r="F187" s="1256"/>
      <c r="G187" s="1256"/>
      <c r="H187" s="1256"/>
      <c r="I187" s="1256"/>
      <c r="J187" s="1256"/>
      <c r="K187" s="1256"/>
      <c r="L187" s="1256"/>
    </row>
    <row r="188" spans="1:12" outlineLevel="1" x14ac:dyDescent="0.2">
      <c r="A188" s="1263" t="s">
        <v>537</v>
      </c>
      <c r="B188" s="1264">
        <f>SUM(B189:B193)</f>
        <v>0</v>
      </c>
      <c r="C188" s="1264">
        <f t="shared" ref="C188:L188" si="45">SUM(C189:C193)</f>
        <v>0</v>
      </c>
      <c r="D188" s="1264">
        <f t="shared" si="45"/>
        <v>0</v>
      </c>
      <c r="E188" s="1264">
        <f t="shared" si="45"/>
        <v>0</v>
      </c>
      <c r="F188" s="1264">
        <f t="shared" ca="1" si="45"/>
        <v>0</v>
      </c>
      <c r="G188" s="1264">
        <f t="shared" ca="1" si="45"/>
        <v>0</v>
      </c>
      <c r="H188" s="1264">
        <f t="shared" ca="1" si="45"/>
        <v>0</v>
      </c>
      <c r="I188" s="1264">
        <f t="shared" ca="1" si="45"/>
        <v>0</v>
      </c>
      <c r="J188" s="1264">
        <f t="shared" ca="1" si="45"/>
        <v>0</v>
      </c>
      <c r="K188" s="1264">
        <f t="shared" ca="1" si="45"/>
        <v>0</v>
      </c>
      <c r="L188" s="1264">
        <f t="shared" ca="1" si="45"/>
        <v>0</v>
      </c>
    </row>
    <row r="189" spans="1:12" outlineLevel="1" x14ac:dyDescent="0.2">
      <c r="A189" s="1718" t="s">
        <v>538</v>
      </c>
      <c r="B189" s="1719">
        <f>B118</f>
        <v>0</v>
      </c>
      <c r="C189" s="1719">
        <f t="shared" ref="C189:L189" si="46">C118</f>
        <v>0</v>
      </c>
      <c r="D189" s="1719">
        <f t="shared" si="46"/>
        <v>0</v>
      </c>
      <c r="E189" s="1719">
        <f t="shared" si="46"/>
        <v>0</v>
      </c>
      <c r="F189" s="1719">
        <f t="shared" si="46"/>
        <v>0</v>
      </c>
      <c r="G189" s="1719">
        <f t="shared" si="46"/>
        <v>0</v>
      </c>
      <c r="H189" s="1719">
        <f t="shared" si="46"/>
        <v>0</v>
      </c>
      <c r="I189" s="1719">
        <f t="shared" si="46"/>
        <v>0</v>
      </c>
      <c r="J189" s="1719">
        <f t="shared" si="46"/>
        <v>0</v>
      </c>
      <c r="K189" s="1719">
        <f t="shared" si="46"/>
        <v>0</v>
      </c>
      <c r="L189" s="1719">
        <f t="shared" si="46"/>
        <v>0</v>
      </c>
    </row>
    <row r="190" spans="1:12" outlineLevel="1" x14ac:dyDescent="0.2">
      <c r="A190" s="1715" t="s">
        <v>539</v>
      </c>
      <c r="B190" s="1719">
        <f t="shared" ref="B190:L193" si="47">B119</f>
        <v>0</v>
      </c>
      <c r="C190" s="1719">
        <f t="shared" si="47"/>
        <v>0</v>
      </c>
      <c r="D190" s="1719">
        <f t="shared" si="47"/>
        <v>0</v>
      </c>
      <c r="E190" s="1719">
        <f t="shared" si="47"/>
        <v>0</v>
      </c>
      <c r="F190" s="1719">
        <f t="shared" ca="1" si="47"/>
        <v>0</v>
      </c>
      <c r="G190" s="1719">
        <f t="shared" ca="1" si="47"/>
        <v>0</v>
      </c>
      <c r="H190" s="1719">
        <f t="shared" ca="1" si="47"/>
        <v>0</v>
      </c>
      <c r="I190" s="1719">
        <f t="shared" ca="1" si="47"/>
        <v>0</v>
      </c>
      <c r="J190" s="1719">
        <f t="shared" ca="1" si="47"/>
        <v>0</v>
      </c>
      <c r="K190" s="1719">
        <f t="shared" ca="1" si="47"/>
        <v>0</v>
      </c>
      <c r="L190" s="1719">
        <f t="shared" ca="1" si="47"/>
        <v>0</v>
      </c>
    </row>
    <row r="191" spans="1:12" outlineLevel="1" x14ac:dyDescent="0.2">
      <c r="A191" s="1715" t="s">
        <v>540</v>
      </c>
      <c r="B191" s="1719">
        <f t="shared" si="47"/>
        <v>0</v>
      </c>
      <c r="C191" s="1719">
        <f t="shared" si="47"/>
        <v>0</v>
      </c>
      <c r="D191" s="1719">
        <f t="shared" si="47"/>
        <v>0</v>
      </c>
      <c r="E191" s="1719">
        <f t="shared" si="47"/>
        <v>0</v>
      </c>
      <c r="F191" s="1719">
        <f t="shared" si="47"/>
        <v>0</v>
      </c>
      <c r="G191" s="1719">
        <f t="shared" si="47"/>
        <v>0</v>
      </c>
      <c r="H191" s="1719">
        <f t="shared" si="47"/>
        <v>0</v>
      </c>
      <c r="I191" s="1719">
        <f t="shared" si="47"/>
        <v>0</v>
      </c>
      <c r="J191" s="1719">
        <f t="shared" si="47"/>
        <v>0</v>
      </c>
      <c r="K191" s="1719">
        <f t="shared" si="47"/>
        <v>0</v>
      </c>
      <c r="L191" s="1719">
        <f t="shared" si="47"/>
        <v>0</v>
      </c>
    </row>
    <row r="192" spans="1:12" outlineLevel="1" x14ac:dyDescent="0.2">
      <c r="A192" s="1715" t="s">
        <v>541</v>
      </c>
      <c r="B192" s="1719">
        <f t="shared" si="47"/>
        <v>0</v>
      </c>
      <c r="C192" s="1719">
        <f t="shared" si="47"/>
        <v>0</v>
      </c>
      <c r="D192" s="1719">
        <f t="shared" si="47"/>
        <v>0</v>
      </c>
      <c r="E192" s="1719">
        <f t="shared" si="47"/>
        <v>0</v>
      </c>
      <c r="F192" s="1719">
        <f t="shared" si="47"/>
        <v>0</v>
      </c>
      <c r="G192" s="1719">
        <f t="shared" si="47"/>
        <v>0</v>
      </c>
      <c r="H192" s="1719">
        <f t="shared" si="47"/>
        <v>0</v>
      </c>
      <c r="I192" s="1719">
        <f t="shared" si="47"/>
        <v>0</v>
      </c>
      <c r="J192" s="1719">
        <f t="shared" si="47"/>
        <v>0</v>
      </c>
      <c r="K192" s="1719">
        <f t="shared" si="47"/>
        <v>0</v>
      </c>
      <c r="L192" s="1719">
        <f t="shared" si="47"/>
        <v>0</v>
      </c>
    </row>
    <row r="193" spans="1:12" outlineLevel="1" x14ac:dyDescent="0.2">
      <c r="A193" s="1715" t="s">
        <v>542</v>
      </c>
      <c r="B193" s="1719">
        <f t="shared" si="47"/>
        <v>0</v>
      </c>
      <c r="C193" s="1719">
        <f t="shared" si="47"/>
        <v>0</v>
      </c>
      <c r="D193" s="1719">
        <f t="shared" si="47"/>
        <v>0</v>
      </c>
      <c r="E193" s="1719">
        <f t="shared" si="47"/>
        <v>0</v>
      </c>
      <c r="F193" s="1719">
        <f t="shared" si="47"/>
        <v>0</v>
      </c>
      <c r="G193" s="1719">
        <f t="shared" si="47"/>
        <v>0</v>
      </c>
      <c r="H193" s="1719">
        <f t="shared" si="47"/>
        <v>0</v>
      </c>
      <c r="I193" s="1719">
        <f t="shared" si="47"/>
        <v>0</v>
      </c>
      <c r="J193" s="1719">
        <f t="shared" si="47"/>
        <v>0</v>
      </c>
      <c r="K193" s="1719">
        <f t="shared" si="47"/>
        <v>0</v>
      </c>
      <c r="L193" s="1719">
        <f t="shared" si="47"/>
        <v>0</v>
      </c>
    </row>
    <row r="194" spans="1:12" outlineLevel="1" x14ac:dyDescent="0.2">
      <c r="A194" s="1265" t="s">
        <v>543</v>
      </c>
      <c r="B194" s="1266">
        <f>SUM(B195:B205)</f>
        <v>0</v>
      </c>
      <c r="C194" s="1266">
        <f t="shared" ref="C194:L194" si="48">SUM(C195:C205)</f>
        <v>0</v>
      </c>
      <c r="D194" s="1266">
        <f t="shared" si="48"/>
        <v>1006164.56</v>
      </c>
      <c r="E194" s="1266">
        <f t="shared" si="48"/>
        <v>1019614.56</v>
      </c>
      <c r="F194" s="1266">
        <f t="shared" ca="1" si="48"/>
        <v>1071441.6299999999</v>
      </c>
      <c r="G194" s="1266">
        <f t="shared" ca="1" si="48"/>
        <v>1120652.99</v>
      </c>
      <c r="H194" s="1266">
        <f t="shared" ca="1" si="48"/>
        <v>1176282.1599999999</v>
      </c>
      <c r="I194" s="1266">
        <f t="shared" ca="1" si="48"/>
        <v>1195420.99</v>
      </c>
      <c r="J194" s="1266">
        <f t="shared" ca="1" si="48"/>
        <v>1216247.96</v>
      </c>
      <c r="K194" s="1266">
        <f t="shared" ca="1" si="48"/>
        <v>1235936.75</v>
      </c>
      <c r="L194" s="1266">
        <f t="shared" ca="1" si="48"/>
        <v>1256021.3799999999</v>
      </c>
    </row>
    <row r="195" spans="1:12" outlineLevel="1" x14ac:dyDescent="0.2">
      <c r="A195" s="1715" t="s">
        <v>406</v>
      </c>
      <c r="B195" s="1716">
        <f>B124</f>
        <v>0</v>
      </c>
      <c r="C195" s="1716">
        <f t="shared" ref="C195:L195" si="49">C124</f>
        <v>0</v>
      </c>
      <c r="D195" s="1716">
        <f t="shared" si="49"/>
        <v>760538.01</v>
      </c>
      <c r="E195" s="1716">
        <f t="shared" si="49"/>
        <v>756458.99</v>
      </c>
      <c r="F195" s="1716">
        <f t="shared" si="49"/>
        <v>802224.75</v>
      </c>
      <c r="G195" s="1716">
        <f t="shared" si="49"/>
        <v>850759.35</v>
      </c>
      <c r="H195" s="1716">
        <f t="shared" si="49"/>
        <v>902230.29</v>
      </c>
      <c r="I195" s="1716">
        <f t="shared" si="49"/>
        <v>920365.12</v>
      </c>
      <c r="J195" s="1716">
        <f t="shared" si="49"/>
        <v>938864.46</v>
      </c>
      <c r="K195" s="1716">
        <f t="shared" si="49"/>
        <v>957735.64</v>
      </c>
      <c r="L195" s="1716">
        <f t="shared" si="49"/>
        <v>976986.12</v>
      </c>
    </row>
    <row r="196" spans="1:12" outlineLevel="1" x14ac:dyDescent="0.2">
      <c r="A196" s="1715" t="s">
        <v>544</v>
      </c>
      <c r="B196" s="1716">
        <f t="shared" ref="B196:L205" si="50">B125</f>
        <v>0</v>
      </c>
      <c r="C196" s="1716">
        <f t="shared" si="50"/>
        <v>0</v>
      </c>
      <c r="D196" s="1716">
        <f t="shared" si="50"/>
        <v>0</v>
      </c>
      <c r="E196" s="1716">
        <f t="shared" si="50"/>
        <v>0</v>
      </c>
      <c r="F196" s="1716">
        <f t="shared" si="50"/>
        <v>0</v>
      </c>
      <c r="G196" s="1716">
        <f t="shared" si="50"/>
        <v>0</v>
      </c>
      <c r="H196" s="1716">
        <f t="shared" si="50"/>
        <v>0</v>
      </c>
      <c r="I196" s="1716">
        <f t="shared" si="50"/>
        <v>0</v>
      </c>
      <c r="J196" s="1716">
        <f t="shared" si="50"/>
        <v>0</v>
      </c>
      <c r="K196" s="1716">
        <f t="shared" si="50"/>
        <v>0</v>
      </c>
      <c r="L196" s="1716">
        <f t="shared" si="50"/>
        <v>0</v>
      </c>
    </row>
    <row r="197" spans="1:12" outlineLevel="1" x14ac:dyDescent="0.2">
      <c r="A197" s="1715" t="s">
        <v>514</v>
      </c>
      <c r="B197" s="1716">
        <f t="shared" si="50"/>
        <v>0</v>
      </c>
      <c r="C197" s="1716">
        <f t="shared" si="50"/>
        <v>0</v>
      </c>
      <c r="D197" s="1716">
        <f t="shared" si="50"/>
        <v>4173.5</v>
      </c>
      <c r="E197" s="1716">
        <f t="shared" si="50"/>
        <v>21702.52</v>
      </c>
      <c r="F197" s="1716">
        <f t="shared" si="50"/>
        <v>27763.83</v>
      </c>
      <c r="G197" s="1716">
        <f t="shared" si="50"/>
        <v>28440.59</v>
      </c>
      <c r="H197" s="1716">
        <f t="shared" si="50"/>
        <v>32598.82</v>
      </c>
      <c r="I197" s="1716">
        <f t="shared" si="50"/>
        <v>33602.82</v>
      </c>
      <c r="J197" s="1716">
        <f t="shared" si="50"/>
        <v>35930.449999999997</v>
      </c>
      <c r="K197" s="1716">
        <f t="shared" si="50"/>
        <v>36748.06</v>
      </c>
      <c r="L197" s="1716">
        <f t="shared" si="50"/>
        <v>37582.21</v>
      </c>
    </row>
    <row r="198" spans="1:12" outlineLevel="1" x14ac:dyDescent="0.2">
      <c r="A198" s="1715" t="s">
        <v>506</v>
      </c>
      <c r="B198" s="1716">
        <f t="shared" si="50"/>
        <v>0</v>
      </c>
      <c r="C198" s="1716">
        <f t="shared" si="50"/>
        <v>0</v>
      </c>
      <c r="D198" s="1716">
        <f t="shared" si="50"/>
        <v>0</v>
      </c>
      <c r="E198" s="1716">
        <f t="shared" si="50"/>
        <v>0</v>
      </c>
      <c r="F198" s="1716">
        <f t="shared" si="50"/>
        <v>0</v>
      </c>
      <c r="G198" s="1716">
        <f t="shared" si="50"/>
        <v>0</v>
      </c>
      <c r="H198" s="1716">
        <f t="shared" si="50"/>
        <v>0</v>
      </c>
      <c r="I198" s="1716">
        <f t="shared" si="50"/>
        <v>0</v>
      </c>
      <c r="J198" s="1716">
        <f t="shared" si="50"/>
        <v>0</v>
      </c>
      <c r="K198" s="1716">
        <f t="shared" si="50"/>
        <v>0</v>
      </c>
      <c r="L198" s="1716">
        <f t="shared" si="50"/>
        <v>0</v>
      </c>
    </row>
    <row r="199" spans="1:12" outlineLevel="1" x14ac:dyDescent="0.2">
      <c r="A199" s="1715" t="s">
        <v>539</v>
      </c>
      <c r="B199" s="1716">
        <f t="shared" si="50"/>
        <v>0</v>
      </c>
      <c r="C199" s="1716">
        <f t="shared" si="50"/>
        <v>0</v>
      </c>
      <c r="D199" s="1716">
        <f t="shared" si="50"/>
        <v>0</v>
      </c>
      <c r="E199" s="1716">
        <f t="shared" si="50"/>
        <v>0</v>
      </c>
      <c r="F199" s="1716">
        <f t="shared" ca="1" si="50"/>
        <v>0</v>
      </c>
      <c r="G199" s="1716">
        <f t="shared" ca="1" si="50"/>
        <v>0</v>
      </c>
      <c r="H199" s="1716">
        <f t="shared" ca="1" si="50"/>
        <v>0</v>
      </c>
      <c r="I199" s="1716">
        <f t="shared" ca="1" si="50"/>
        <v>0</v>
      </c>
      <c r="J199" s="1716">
        <f t="shared" ca="1" si="50"/>
        <v>0</v>
      </c>
      <c r="K199" s="1716">
        <f t="shared" ca="1" si="50"/>
        <v>0</v>
      </c>
      <c r="L199" s="1716">
        <f t="shared" ca="1" si="50"/>
        <v>0</v>
      </c>
    </row>
    <row r="200" spans="1:12" outlineLevel="1" x14ac:dyDescent="0.2">
      <c r="A200" s="1715" t="s">
        <v>542</v>
      </c>
      <c r="B200" s="1716">
        <f t="shared" si="50"/>
        <v>0</v>
      </c>
      <c r="C200" s="1716">
        <f t="shared" si="50"/>
        <v>0</v>
      </c>
      <c r="D200" s="1716">
        <f t="shared" si="50"/>
        <v>241453.05</v>
      </c>
      <c r="E200" s="1716">
        <f t="shared" si="50"/>
        <v>241453.05</v>
      </c>
      <c r="F200" s="1716">
        <f t="shared" si="50"/>
        <v>241453.05</v>
      </c>
      <c r="G200" s="1716">
        <f t="shared" si="50"/>
        <v>241453.05</v>
      </c>
      <c r="H200" s="1716">
        <f t="shared" si="50"/>
        <v>241453.05</v>
      </c>
      <c r="I200" s="1716">
        <f t="shared" si="50"/>
        <v>241453.05</v>
      </c>
      <c r="J200" s="1716">
        <f t="shared" si="50"/>
        <v>241453.05</v>
      </c>
      <c r="K200" s="1716">
        <f t="shared" si="50"/>
        <v>241453.05</v>
      </c>
      <c r="L200" s="1716">
        <f t="shared" si="50"/>
        <v>241453.05</v>
      </c>
    </row>
    <row r="201" spans="1:12" outlineLevel="1" x14ac:dyDescent="0.2">
      <c r="A201" s="1715" t="s">
        <v>516</v>
      </c>
      <c r="B201" s="1716">
        <f t="shared" si="50"/>
        <v>0</v>
      </c>
      <c r="C201" s="1716">
        <f t="shared" si="50"/>
        <v>0</v>
      </c>
      <c r="D201" s="1716">
        <f t="shared" si="50"/>
        <v>0</v>
      </c>
      <c r="E201" s="1716">
        <f t="shared" si="50"/>
        <v>0</v>
      </c>
      <c r="F201" s="1716">
        <f t="shared" si="50"/>
        <v>0</v>
      </c>
      <c r="G201" s="1716">
        <f t="shared" si="50"/>
        <v>0</v>
      </c>
      <c r="H201" s="1716">
        <f t="shared" si="50"/>
        <v>0</v>
      </c>
      <c r="I201" s="1716">
        <f t="shared" si="50"/>
        <v>0</v>
      </c>
      <c r="J201" s="1716">
        <f t="shared" si="50"/>
        <v>0</v>
      </c>
      <c r="K201" s="1716">
        <f t="shared" si="50"/>
        <v>0</v>
      </c>
      <c r="L201" s="1716">
        <f t="shared" si="50"/>
        <v>0</v>
      </c>
    </row>
    <row r="202" spans="1:12" outlineLevel="1" x14ac:dyDescent="0.2">
      <c r="A202" s="1715" t="s">
        <v>545</v>
      </c>
      <c r="B202" s="1716">
        <f t="shared" si="50"/>
        <v>0</v>
      </c>
      <c r="C202" s="1716">
        <f t="shared" si="50"/>
        <v>0</v>
      </c>
      <c r="D202" s="1716">
        <f t="shared" si="50"/>
        <v>0</v>
      </c>
      <c r="E202" s="1716">
        <f t="shared" si="50"/>
        <v>0</v>
      </c>
      <c r="F202" s="1716">
        <f t="shared" si="50"/>
        <v>0</v>
      </c>
      <c r="G202" s="1716">
        <f t="shared" si="50"/>
        <v>0</v>
      </c>
      <c r="H202" s="1716">
        <f t="shared" si="50"/>
        <v>0</v>
      </c>
      <c r="I202" s="1716">
        <f t="shared" si="50"/>
        <v>0</v>
      </c>
      <c r="J202" s="1716">
        <f t="shared" si="50"/>
        <v>0</v>
      </c>
      <c r="K202" s="1716">
        <f t="shared" si="50"/>
        <v>0</v>
      </c>
      <c r="L202" s="1716">
        <f t="shared" si="50"/>
        <v>0</v>
      </c>
    </row>
    <row r="203" spans="1:12" outlineLevel="1" x14ac:dyDescent="0.2">
      <c r="A203" s="1715" t="s">
        <v>546</v>
      </c>
      <c r="B203" s="1716">
        <f t="shared" si="50"/>
        <v>0</v>
      </c>
      <c r="C203" s="1716">
        <f t="shared" si="50"/>
        <v>0</v>
      </c>
      <c r="D203" s="1716">
        <f t="shared" si="50"/>
        <v>0</v>
      </c>
      <c r="E203" s="1716">
        <f t="shared" si="50"/>
        <v>0</v>
      </c>
      <c r="F203" s="1716">
        <f t="shared" si="50"/>
        <v>0</v>
      </c>
      <c r="G203" s="1716">
        <f t="shared" si="50"/>
        <v>0</v>
      </c>
      <c r="H203" s="1716">
        <f t="shared" si="50"/>
        <v>0</v>
      </c>
      <c r="I203" s="1716">
        <f t="shared" si="50"/>
        <v>0</v>
      </c>
      <c r="J203" s="1716">
        <f t="shared" si="50"/>
        <v>0</v>
      </c>
      <c r="K203" s="1716">
        <f t="shared" si="50"/>
        <v>0</v>
      </c>
      <c r="L203" s="1716">
        <f t="shared" si="50"/>
        <v>0</v>
      </c>
    </row>
    <row r="204" spans="1:12" outlineLevel="1" x14ac:dyDescent="0.2">
      <c r="A204" s="1715" t="s">
        <v>547</v>
      </c>
      <c r="B204" s="1716">
        <f t="shared" si="50"/>
        <v>0</v>
      </c>
      <c r="C204" s="1716">
        <f t="shared" si="50"/>
        <v>0</v>
      </c>
      <c r="D204" s="1716">
        <f t="shared" si="50"/>
        <v>0</v>
      </c>
      <c r="E204" s="1716">
        <f t="shared" si="50"/>
        <v>0</v>
      </c>
      <c r="F204" s="1716">
        <f t="shared" si="50"/>
        <v>0</v>
      </c>
      <c r="G204" s="1716">
        <f t="shared" si="50"/>
        <v>0</v>
      </c>
      <c r="H204" s="1716">
        <f t="shared" si="50"/>
        <v>0</v>
      </c>
      <c r="I204" s="1716">
        <f t="shared" si="50"/>
        <v>0</v>
      </c>
      <c r="J204" s="1716">
        <f t="shared" si="50"/>
        <v>0</v>
      </c>
      <c r="K204" s="1716">
        <f t="shared" si="50"/>
        <v>0</v>
      </c>
      <c r="L204" s="1716">
        <f t="shared" si="50"/>
        <v>0</v>
      </c>
    </row>
    <row r="205" spans="1:12" outlineLevel="1" x14ac:dyDescent="0.2">
      <c r="A205" s="1717" t="s">
        <v>548</v>
      </c>
      <c r="B205" s="1716">
        <f t="shared" si="50"/>
        <v>0</v>
      </c>
      <c r="C205" s="1716">
        <f t="shared" si="50"/>
        <v>0</v>
      </c>
      <c r="D205" s="1716">
        <f t="shared" si="50"/>
        <v>0</v>
      </c>
      <c r="E205" s="1716">
        <f t="shared" si="50"/>
        <v>0</v>
      </c>
      <c r="F205" s="1716">
        <f t="shared" si="50"/>
        <v>0</v>
      </c>
      <c r="G205" s="1716">
        <f t="shared" si="50"/>
        <v>0</v>
      </c>
      <c r="H205" s="1716">
        <f t="shared" si="50"/>
        <v>0</v>
      </c>
      <c r="I205" s="1716">
        <f t="shared" si="50"/>
        <v>0</v>
      </c>
      <c r="J205" s="1716">
        <f t="shared" si="50"/>
        <v>0</v>
      </c>
      <c r="K205" s="1716">
        <f t="shared" si="50"/>
        <v>0</v>
      </c>
      <c r="L205" s="1716">
        <f t="shared" si="50"/>
        <v>0</v>
      </c>
    </row>
    <row r="206" spans="1:12" outlineLevel="1" x14ac:dyDescent="0.2">
      <c r="A206" s="1267" t="s">
        <v>549</v>
      </c>
      <c r="B206" s="1268">
        <f>B188+B194</f>
        <v>0</v>
      </c>
      <c r="C206" s="1268">
        <f t="shared" ref="C206:L206" si="51">C188+C194</f>
        <v>0</v>
      </c>
      <c r="D206" s="1268">
        <f t="shared" si="51"/>
        <v>1006164.56</v>
      </c>
      <c r="E206" s="1268">
        <f t="shared" si="51"/>
        <v>1019614.56</v>
      </c>
      <c r="F206" s="1268">
        <f t="shared" ca="1" si="51"/>
        <v>1071441.6299999999</v>
      </c>
      <c r="G206" s="1268">
        <f t="shared" ca="1" si="51"/>
        <v>1120652.99</v>
      </c>
      <c r="H206" s="1268">
        <f t="shared" ca="1" si="51"/>
        <v>1176282.1599999999</v>
      </c>
      <c r="I206" s="1268">
        <f t="shared" ca="1" si="51"/>
        <v>1195420.99</v>
      </c>
      <c r="J206" s="1268">
        <f t="shared" ca="1" si="51"/>
        <v>1216247.96</v>
      </c>
      <c r="K206" s="1268">
        <f t="shared" ca="1" si="51"/>
        <v>1235936.75</v>
      </c>
      <c r="L206" s="1268">
        <f t="shared" ca="1" si="51"/>
        <v>1256021.3799999999</v>
      </c>
    </row>
    <row r="207" spans="1:12" ht="12" outlineLevel="1" thickBot="1" x14ac:dyDescent="0.25">
      <c r="A207" s="1270" t="s">
        <v>550</v>
      </c>
      <c r="B207" s="1271">
        <f>B186+B206</f>
        <v>0</v>
      </c>
      <c r="C207" s="1271">
        <f t="shared" ref="C207:L207" si="52">C186+C206</f>
        <v>0</v>
      </c>
      <c r="D207" s="1271">
        <f t="shared" si="52"/>
        <v>1607431.8900000001</v>
      </c>
      <c r="E207" s="1271">
        <f t="shared" si="52"/>
        <v>1660074.23</v>
      </c>
      <c r="F207" s="1271">
        <f t="shared" ca="1" si="52"/>
        <v>1826725.4699999997</v>
      </c>
      <c r="G207" s="1271">
        <f t="shared" ca="1" si="52"/>
        <v>1944275.81</v>
      </c>
      <c r="H207" s="1271">
        <f t="shared" ca="1" si="52"/>
        <v>2055701.99</v>
      </c>
      <c r="I207" s="1271">
        <f t="shared" ca="1" si="52"/>
        <v>2132244.4500000002</v>
      </c>
      <c r="J207" s="1271">
        <f t="shared" ca="1" si="52"/>
        <v>2217323.17</v>
      </c>
      <c r="K207" s="1271">
        <f t="shared" ca="1" si="52"/>
        <v>2302887.2199999997</v>
      </c>
      <c r="L207" s="1271">
        <f t="shared" ca="1" si="52"/>
        <v>2390503.6799999997</v>
      </c>
    </row>
    <row r="208" spans="1:12" ht="12" outlineLevel="1" thickTop="1" x14ac:dyDescent="0.2">
      <c r="A208" s="636"/>
      <c r="B208" s="636"/>
      <c r="C208" s="636"/>
      <c r="D208" s="636"/>
      <c r="E208" s="636"/>
      <c r="F208" s="636"/>
      <c r="G208" s="636"/>
      <c r="H208" s="636"/>
      <c r="I208" s="636"/>
      <c r="J208" s="636"/>
    </row>
    <row r="209" spans="1:12" outlineLevel="1" x14ac:dyDescent="0.2">
      <c r="A209" s="1272"/>
      <c r="B209" s="1272" t="str">
        <f t="shared" ref="B209:L209" si="53">IF(B210=0, "OK", "VERIFICAR")</f>
        <v>OK</v>
      </c>
      <c r="C209" s="1272" t="str">
        <f t="shared" si="53"/>
        <v>OK</v>
      </c>
      <c r="D209" s="1272" t="str">
        <f t="shared" si="53"/>
        <v>OK</v>
      </c>
      <c r="E209" s="1272" t="str">
        <f t="shared" si="53"/>
        <v>OK</v>
      </c>
      <c r="F209" s="1272" t="str">
        <f t="shared" ca="1" si="53"/>
        <v>OK</v>
      </c>
      <c r="G209" s="1272" t="str">
        <f t="shared" ca="1" si="53"/>
        <v>OK</v>
      </c>
      <c r="H209" s="1272" t="str">
        <f t="shared" ca="1" si="53"/>
        <v>OK</v>
      </c>
      <c r="I209" s="1272" t="str">
        <f t="shared" ca="1" si="53"/>
        <v>OK</v>
      </c>
      <c r="J209" s="1272" t="str">
        <f t="shared" ca="1" si="53"/>
        <v>OK</v>
      </c>
      <c r="K209" s="1272" t="str">
        <f t="shared" ca="1" si="53"/>
        <v>OK</v>
      </c>
      <c r="L209" s="1272" t="str">
        <f t="shared" ca="1" si="53"/>
        <v>OK</v>
      </c>
    </row>
    <row r="210" spans="1:12" outlineLevel="1" x14ac:dyDescent="0.2">
      <c r="A210" s="1273"/>
      <c r="B210" s="1274">
        <f>B171-B207</f>
        <v>0</v>
      </c>
      <c r="C210" s="1274">
        <f t="shared" ref="C210:L210" si="54">C171-C207</f>
        <v>0</v>
      </c>
      <c r="D210" s="1274">
        <f t="shared" si="54"/>
        <v>0</v>
      </c>
      <c r="E210" s="1274">
        <f t="shared" si="54"/>
        <v>0</v>
      </c>
      <c r="F210" s="1274">
        <f t="shared" ca="1" si="54"/>
        <v>0</v>
      </c>
      <c r="G210" s="1274">
        <f t="shared" ca="1" si="54"/>
        <v>0</v>
      </c>
      <c r="H210" s="1274">
        <f t="shared" ca="1" si="54"/>
        <v>0</v>
      </c>
      <c r="I210" s="1274">
        <f t="shared" ca="1" si="54"/>
        <v>0</v>
      </c>
      <c r="J210" s="1274">
        <f t="shared" ca="1" si="54"/>
        <v>0</v>
      </c>
      <c r="K210" s="1274">
        <f t="shared" ca="1" si="54"/>
        <v>0</v>
      </c>
      <c r="L210" s="1274">
        <f t="shared" ca="1" si="54"/>
        <v>0</v>
      </c>
    </row>
  </sheetData>
  <mergeCells count="3">
    <mergeCell ref="A1:L1"/>
    <mergeCell ref="A72:L72"/>
    <mergeCell ref="A143:L14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Q180"/>
  <sheetViews>
    <sheetView workbookViewId="0">
      <pane ySplit="2" topLeftCell="A54" activePane="bottomLeft" state="frozen"/>
      <selection pane="bottomLeft" activeCell="D68" sqref="D68"/>
    </sheetView>
  </sheetViews>
  <sheetFormatPr defaultRowHeight="12" x14ac:dyDescent="0.2"/>
  <cols>
    <col min="1" max="1" width="5.5703125" style="1576" customWidth="1"/>
    <col min="2" max="2" width="10" style="1576" customWidth="1"/>
    <col min="3" max="3" width="36.42578125" style="1576" customWidth="1"/>
    <col min="4" max="4" width="93.42578125" style="1576" customWidth="1"/>
    <col min="5" max="5" width="14.85546875" style="1577" customWidth="1"/>
    <col min="6" max="6" width="18.85546875" style="1578" customWidth="1"/>
    <col min="7" max="7" width="21.140625" style="1578" customWidth="1"/>
    <col min="8" max="8" width="38.28515625" style="1576" customWidth="1"/>
    <col min="9" max="9" width="32.5703125" style="1576" customWidth="1"/>
    <col min="10" max="10" width="41.5703125" style="1576" customWidth="1"/>
    <col min="11" max="13" width="17.140625" style="1576" customWidth="1"/>
    <col min="14" max="14" width="19.85546875" style="1576" customWidth="1"/>
    <col min="15" max="15" width="12.140625" style="1566" customWidth="1"/>
    <col min="16" max="16" width="8.85546875" style="1575"/>
    <col min="17" max="17" width="64.140625" style="1575" hidden="1" customWidth="1"/>
    <col min="18" max="255" width="8.85546875" style="1575"/>
    <col min="256" max="256" width="24" style="1575" customWidth="1"/>
    <col min="257" max="257" width="18.85546875" style="1575" customWidth="1"/>
    <col min="258" max="258" width="27.42578125" style="1575" customWidth="1"/>
    <col min="259" max="259" width="58.85546875" style="1575" customWidth="1"/>
    <col min="260" max="260" width="9.140625" style="1575" customWidth="1"/>
    <col min="261" max="261" width="14.85546875" style="1575" customWidth="1"/>
    <col min="262" max="262" width="18.85546875" style="1575" customWidth="1"/>
    <col min="263" max="263" width="21.140625" style="1575" customWidth="1"/>
    <col min="264" max="264" width="31.140625" style="1575" customWidth="1"/>
    <col min="265" max="265" width="18.85546875" style="1575" customWidth="1"/>
    <col min="266" max="266" width="25.140625" style="1575" customWidth="1"/>
    <col min="267" max="267" width="21.85546875" style="1575" customWidth="1"/>
    <col min="268" max="268" width="14.85546875" style="1575" customWidth="1"/>
    <col min="269" max="269" width="17.140625" style="1575" customWidth="1"/>
    <col min="270" max="270" width="19.85546875" style="1575" customWidth="1"/>
    <col min="271" max="511" width="8.85546875" style="1575"/>
    <col min="512" max="512" width="24" style="1575" customWidth="1"/>
    <col min="513" max="513" width="18.85546875" style="1575" customWidth="1"/>
    <col min="514" max="514" width="27.42578125" style="1575" customWidth="1"/>
    <col min="515" max="515" width="58.85546875" style="1575" customWidth="1"/>
    <col min="516" max="516" width="9.140625" style="1575" customWidth="1"/>
    <col min="517" max="517" width="14.85546875" style="1575" customWidth="1"/>
    <col min="518" max="518" width="18.85546875" style="1575" customWidth="1"/>
    <col min="519" max="519" width="21.140625" style="1575" customWidth="1"/>
    <col min="520" max="520" width="31.140625" style="1575" customWidth="1"/>
    <col min="521" max="521" width="18.85546875" style="1575" customWidth="1"/>
    <col min="522" max="522" width="25.140625" style="1575" customWidth="1"/>
    <col min="523" max="523" width="21.85546875" style="1575" customWidth="1"/>
    <col min="524" max="524" width="14.85546875" style="1575" customWidth="1"/>
    <col min="525" max="525" width="17.140625" style="1575" customWidth="1"/>
    <col min="526" max="526" width="19.85546875" style="1575" customWidth="1"/>
    <col min="527" max="767" width="8.85546875" style="1575"/>
    <col min="768" max="768" width="24" style="1575" customWidth="1"/>
    <col min="769" max="769" width="18.85546875" style="1575" customWidth="1"/>
    <col min="770" max="770" width="27.42578125" style="1575" customWidth="1"/>
    <col min="771" max="771" width="58.85546875" style="1575" customWidth="1"/>
    <col min="772" max="772" width="9.140625" style="1575" customWidth="1"/>
    <col min="773" max="773" width="14.85546875" style="1575" customWidth="1"/>
    <col min="774" max="774" width="18.85546875" style="1575" customWidth="1"/>
    <col min="775" max="775" width="21.140625" style="1575" customWidth="1"/>
    <col min="776" max="776" width="31.140625" style="1575" customWidth="1"/>
    <col min="777" max="777" width="18.85546875" style="1575" customWidth="1"/>
    <col min="778" max="778" width="25.140625" style="1575" customWidth="1"/>
    <col min="779" max="779" width="21.85546875" style="1575" customWidth="1"/>
    <col min="780" max="780" width="14.85546875" style="1575" customWidth="1"/>
    <col min="781" max="781" width="17.140625" style="1575" customWidth="1"/>
    <col min="782" max="782" width="19.85546875" style="1575" customWidth="1"/>
    <col min="783" max="1023" width="8.85546875" style="1575"/>
    <col min="1024" max="1024" width="24" style="1575" customWidth="1"/>
    <col min="1025" max="1025" width="18.85546875" style="1575" customWidth="1"/>
    <col min="1026" max="1026" width="27.42578125" style="1575" customWidth="1"/>
    <col min="1027" max="1027" width="58.85546875" style="1575" customWidth="1"/>
    <col min="1028" max="1028" width="9.140625" style="1575" customWidth="1"/>
    <col min="1029" max="1029" width="14.85546875" style="1575" customWidth="1"/>
    <col min="1030" max="1030" width="18.85546875" style="1575" customWidth="1"/>
    <col min="1031" max="1031" width="21.140625" style="1575" customWidth="1"/>
    <col min="1032" max="1032" width="31.140625" style="1575" customWidth="1"/>
    <col min="1033" max="1033" width="18.85546875" style="1575" customWidth="1"/>
    <col min="1034" max="1034" width="25.140625" style="1575" customWidth="1"/>
    <col min="1035" max="1035" width="21.85546875" style="1575" customWidth="1"/>
    <col min="1036" max="1036" width="14.85546875" style="1575" customWidth="1"/>
    <col min="1037" max="1037" width="17.140625" style="1575" customWidth="1"/>
    <col min="1038" max="1038" width="19.85546875" style="1575" customWidth="1"/>
    <col min="1039" max="1279" width="8.85546875" style="1575"/>
    <col min="1280" max="1280" width="24" style="1575" customWidth="1"/>
    <col min="1281" max="1281" width="18.85546875" style="1575" customWidth="1"/>
    <col min="1282" max="1282" width="27.42578125" style="1575" customWidth="1"/>
    <col min="1283" max="1283" width="58.85546875" style="1575" customWidth="1"/>
    <col min="1284" max="1284" width="9.140625" style="1575" customWidth="1"/>
    <col min="1285" max="1285" width="14.85546875" style="1575" customWidth="1"/>
    <col min="1286" max="1286" width="18.85546875" style="1575" customWidth="1"/>
    <col min="1287" max="1287" width="21.140625" style="1575" customWidth="1"/>
    <col min="1288" max="1288" width="31.140625" style="1575" customWidth="1"/>
    <col min="1289" max="1289" width="18.85546875" style="1575" customWidth="1"/>
    <col min="1290" max="1290" width="25.140625" style="1575" customWidth="1"/>
    <col min="1291" max="1291" width="21.85546875" style="1575" customWidth="1"/>
    <col min="1292" max="1292" width="14.85546875" style="1575" customWidth="1"/>
    <col min="1293" max="1293" width="17.140625" style="1575" customWidth="1"/>
    <col min="1294" max="1294" width="19.85546875" style="1575" customWidth="1"/>
    <col min="1295" max="1535" width="8.85546875" style="1575"/>
    <col min="1536" max="1536" width="24" style="1575" customWidth="1"/>
    <col min="1537" max="1537" width="18.85546875" style="1575" customWidth="1"/>
    <col min="1538" max="1538" width="27.42578125" style="1575" customWidth="1"/>
    <col min="1539" max="1539" width="58.85546875" style="1575" customWidth="1"/>
    <col min="1540" max="1540" width="9.140625" style="1575" customWidth="1"/>
    <col min="1541" max="1541" width="14.85546875" style="1575" customWidth="1"/>
    <col min="1542" max="1542" width="18.85546875" style="1575" customWidth="1"/>
    <col min="1543" max="1543" width="21.140625" style="1575" customWidth="1"/>
    <col min="1544" max="1544" width="31.140625" style="1575" customWidth="1"/>
    <col min="1545" max="1545" width="18.85546875" style="1575" customWidth="1"/>
    <col min="1546" max="1546" width="25.140625" style="1575" customWidth="1"/>
    <col min="1547" max="1547" width="21.85546875" style="1575" customWidth="1"/>
    <col min="1548" max="1548" width="14.85546875" style="1575" customWidth="1"/>
    <col min="1549" max="1549" width="17.140625" style="1575" customWidth="1"/>
    <col min="1550" max="1550" width="19.85546875" style="1575" customWidth="1"/>
    <col min="1551" max="1791" width="8.85546875" style="1575"/>
    <col min="1792" max="1792" width="24" style="1575" customWidth="1"/>
    <col min="1793" max="1793" width="18.85546875" style="1575" customWidth="1"/>
    <col min="1794" max="1794" width="27.42578125" style="1575" customWidth="1"/>
    <col min="1795" max="1795" width="58.85546875" style="1575" customWidth="1"/>
    <col min="1796" max="1796" width="9.140625" style="1575" customWidth="1"/>
    <col min="1797" max="1797" width="14.85546875" style="1575" customWidth="1"/>
    <col min="1798" max="1798" width="18.85546875" style="1575" customWidth="1"/>
    <col min="1799" max="1799" width="21.140625" style="1575" customWidth="1"/>
    <col min="1800" max="1800" width="31.140625" style="1575" customWidth="1"/>
    <col min="1801" max="1801" width="18.85546875" style="1575" customWidth="1"/>
    <col min="1802" max="1802" width="25.140625" style="1575" customWidth="1"/>
    <col min="1803" max="1803" width="21.85546875" style="1575" customWidth="1"/>
    <col min="1804" max="1804" width="14.85546875" style="1575" customWidth="1"/>
    <col min="1805" max="1805" width="17.140625" style="1575" customWidth="1"/>
    <col min="1806" max="1806" width="19.85546875" style="1575" customWidth="1"/>
    <col min="1807" max="2047" width="8.85546875" style="1575"/>
    <col min="2048" max="2048" width="24" style="1575" customWidth="1"/>
    <col min="2049" max="2049" width="18.85546875" style="1575" customWidth="1"/>
    <col min="2050" max="2050" width="27.42578125" style="1575" customWidth="1"/>
    <col min="2051" max="2051" width="58.85546875" style="1575" customWidth="1"/>
    <col min="2052" max="2052" width="9.140625" style="1575" customWidth="1"/>
    <col min="2053" max="2053" width="14.85546875" style="1575" customWidth="1"/>
    <col min="2054" max="2054" width="18.85546875" style="1575" customWidth="1"/>
    <col min="2055" max="2055" width="21.140625" style="1575" customWidth="1"/>
    <col min="2056" max="2056" width="31.140625" style="1575" customWidth="1"/>
    <col min="2057" max="2057" width="18.85546875" style="1575" customWidth="1"/>
    <col min="2058" max="2058" width="25.140625" style="1575" customWidth="1"/>
    <col min="2059" max="2059" width="21.85546875" style="1575" customWidth="1"/>
    <col min="2060" max="2060" width="14.85546875" style="1575" customWidth="1"/>
    <col min="2061" max="2061" width="17.140625" style="1575" customWidth="1"/>
    <col min="2062" max="2062" width="19.85546875" style="1575" customWidth="1"/>
    <col min="2063" max="2303" width="8.85546875" style="1575"/>
    <col min="2304" max="2304" width="24" style="1575" customWidth="1"/>
    <col min="2305" max="2305" width="18.85546875" style="1575" customWidth="1"/>
    <col min="2306" max="2306" width="27.42578125" style="1575" customWidth="1"/>
    <col min="2307" max="2307" width="58.85546875" style="1575" customWidth="1"/>
    <col min="2308" max="2308" width="9.140625" style="1575" customWidth="1"/>
    <col min="2309" max="2309" width="14.85546875" style="1575" customWidth="1"/>
    <col min="2310" max="2310" width="18.85546875" style="1575" customWidth="1"/>
    <col min="2311" max="2311" width="21.140625" style="1575" customWidth="1"/>
    <col min="2312" max="2312" width="31.140625" style="1575" customWidth="1"/>
    <col min="2313" max="2313" width="18.85546875" style="1575" customWidth="1"/>
    <col min="2314" max="2314" width="25.140625" style="1575" customWidth="1"/>
    <col min="2315" max="2315" width="21.85546875" style="1575" customWidth="1"/>
    <col min="2316" max="2316" width="14.85546875" style="1575" customWidth="1"/>
    <col min="2317" max="2317" width="17.140625" style="1575" customWidth="1"/>
    <col min="2318" max="2318" width="19.85546875" style="1575" customWidth="1"/>
    <col min="2319" max="2559" width="8.85546875" style="1575"/>
    <col min="2560" max="2560" width="24" style="1575" customWidth="1"/>
    <col min="2561" max="2561" width="18.85546875" style="1575" customWidth="1"/>
    <col min="2562" max="2562" width="27.42578125" style="1575" customWidth="1"/>
    <col min="2563" max="2563" width="58.85546875" style="1575" customWidth="1"/>
    <col min="2564" max="2564" width="9.140625" style="1575" customWidth="1"/>
    <col min="2565" max="2565" width="14.85546875" style="1575" customWidth="1"/>
    <col min="2566" max="2566" width="18.85546875" style="1575" customWidth="1"/>
    <col min="2567" max="2567" width="21.140625" style="1575" customWidth="1"/>
    <col min="2568" max="2568" width="31.140625" style="1575" customWidth="1"/>
    <col min="2569" max="2569" width="18.85546875" style="1575" customWidth="1"/>
    <col min="2570" max="2570" width="25.140625" style="1575" customWidth="1"/>
    <col min="2571" max="2571" width="21.85546875" style="1575" customWidth="1"/>
    <col min="2572" max="2572" width="14.85546875" style="1575" customWidth="1"/>
    <col min="2573" max="2573" width="17.140625" style="1575" customWidth="1"/>
    <col min="2574" max="2574" width="19.85546875" style="1575" customWidth="1"/>
    <col min="2575" max="2815" width="8.85546875" style="1575"/>
    <col min="2816" max="2816" width="24" style="1575" customWidth="1"/>
    <col min="2817" max="2817" width="18.85546875" style="1575" customWidth="1"/>
    <col min="2818" max="2818" width="27.42578125" style="1575" customWidth="1"/>
    <col min="2819" max="2819" width="58.85546875" style="1575" customWidth="1"/>
    <col min="2820" max="2820" width="9.140625" style="1575" customWidth="1"/>
    <col min="2821" max="2821" width="14.85546875" style="1575" customWidth="1"/>
    <col min="2822" max="2822" width="18.85546875" style="1575" customWidth="1"/>
    <col min="2823" max="2823" width="21.140625" style="1575" customWidth="1"/>
    <col min="2824" max="2824" width="31.140625" style="1575" customWidth="1"/>
    <col min="2825" max="2825" width="18.85546875" style="1575" customWidth="1"/>
    <col min="2826" max="2826" width="25.140625" style="1575" customWidth="1"/>
    <col min="2827" max="2827" width="21.85546875" style="1575" customWidth="1"/>
    <col min="2828" max="2828" width="14.85546875" style="1575" customWidth="1"/>
    <col min="2829" max="2829" width="17.140625" style="1575" customWidth="1"/>
    <col min="2830" max="2830" width="19.85546875" style="1575" customWidth="1"/>
    <col min="2831" max="3071" width="8.85546875" style="1575"/>
    <col min="3072" max="3072" width="24" style="1575" customWidth="1"/>
    <col min="3073" max="3073" width="18.85546875" style="1575" customWidth="1"/>
    <col min="3074" max="3074" width="27.42578125" style="1575" customWidth="1"/>
    <col min="3075" max="3075" width="58.85546875" style="1575" customWidth="1"/>
    <col min="3076" max="3076" width="9.140625" style="1575" customWidth="1"/>
    <col min="3077" max="3077" width="14.85546875" style="1575" customWidth="1"/>
    <col min="3078" max="3078" width="18.85546875" style="1575" customWidth="1"/>
    <col min="3079" max="3079" width="21.140625" style="1575" customWidth="1"/>
    <col min="3080" max="3080" width="31.140625" style="1575" customWidth="1"/>
    <col min="3081" max="3081" width="18.85546875" style="1575" customWidth="1"/>
    <col min="3082" max="3082" width="25.140625" style="1575" customWidth="1"/>
    <col min="3083" max="3083" width="21.85546875" style="1575" customWidth="1"/>
    <col min="3084" max="3084" width="14.85546875" style="1575" customWidth="1"/>
    <col min="3085" max="3085" width="17.140625" style="1575" customWidth="1"/>
    <col min="3086" max="3086" width="19.85546875" style="1575" customWidth="1"/>
    <col min="3087" max="3327" width="8.85546875" style="1575"/>
    <col min="3328" max="3328" width="24" style="1575" customWidth="1"/>
    <col min="3329" max="3329" width="18.85546875" style="1575" customWidth="1"/>
    <col min="3330" max="3330" width="27.42578125" style="1575" customWidth="1"/>
    <col min="3331" max="3331" width="58.85546875" style="1575" customWidth="1"/>
    <col min="3332" max="3332" width="9.140625" style="1575" customWidth="1"/>
    <col min="3333" max="3333" width="14.85546875" style="1575" customWidth="1"/>
    <col min="3334" max="3334" width="18.85546875" style="1575" customWidth="1"/>
    <col min="3335" max="3335" width="21.140625" style="1575" customWidth="1"/>
    <col min="3336" max="3336" width="31.140625" style="1575" customWidth="1"/>
    <col min="3337" max="3337" width="18.85546875" style="1575" customWidth="1"/>
    <col min="3338" max="3338" width="25.140625" style="1575" customWidth="1"/>
    <col min="3339" max="3339" width="21.85546875" style="1575" customWidth="1"/>
    <col min="3340" max="3340" width="14.85546875" style="1575" customWidth="1"/>
    <col min="3341" max="3341" width="17.140625" style="1575" customWidth="1"/>
    <col min="3342" max="3342" width="19.85546875" style="1575" customWidth="1"/>
    <col min="3343" max="3583" width="8.85546875" style="1575"/>
    <col min="3584" max="3584" width="24" style="1575" customWidth="1"/>
    <col min="3585" max="3585" width="18.85546875" style="1575" customWidth="1"/>
    <col min="3586" max="3586" width="27.42578125" style="1575" customWidth="1"/>
    <col min="3587" max="3587" width="58.85546875" style="1575" customWidth="1"/>
    <col min="3588" max="3588" width="9.140625" style="1575" customWidth="1"/>
    <col min="3589" max="3589" width="14.85546875" style="1575" customWidth="1"/>
    <col min="3590" max="3590" width="18.85546875" style="1575" customWidth="1"/>
    <col min="3591" max="3591" width="21.140625" style="1575" customWidth="1"/>
    <col min="3592" max="3592" width="31.140625" style="1575" customWidth="1"/>
    <col min="3593" max="3593" width="18.85546875" style="1575" customWidth="1"/>
    <col min="3594" max="3594" width="25.140625" style="1575" customWidth="1"/>
    <col min="3595" max="3595" width="21.85546875" style="1575" customWidth="1"/>
    <col min="3596" max="3596" width="14.85546875" style="1575" customWidth="1"/>
    <col min="3597" max="3597" width="17.140625" style="1575" customWidth="1"/>
    <col min="3598" max="3598" width="19.85546875" style="1575" customWidth="1"/>
    <col min="3599" max="3839" width="8.85546875" style="1575"/>
    <col min="3840" max="3840" width="24" style="1575" customWidth="1"/>
    <col min="3841" max="3841" width="18.85546875" style="1575" customWidth="1"/>
    <col min="3842" max="3842" width="27.42578125" style="1575" customWidth="1"/>
    <col min="3843" max="3843" width="58.85546875" style="1575" customWidth="1"/>
    <col min="3844" max="3844" width="9.140625" style="1575" customWidth="1"/>
    <col min="3845" max="3845" width="14.85546875" style="1575" customWidth="1"/>
    <col min="3846" max="3846" width="18.85546875" style="1575" customWidth="1"/>
    <col min="3847" max="3847" width="21.140625" style="1575" customWidth="1"/>
    <col min="3848" max="3848" width="31.140625" style="1575" customWidth="1"/>
    <col min="3849" max="3849" width="18.85546875" style="1575" customWidth="1"/>
    <col min="3850" max="3850" width="25.140625" style="1575" customWidth="1"/>
    <col min="3851" max="3851" width="21.85546875" style="1575" customWidth="1"/>
    <col min="3852" max="3852" width="14.85546875" style="1575" customWidth="1"/>
    <col min="3853" max="3853" width="17.140625" style="1575" customWidth="1"/>
    <col min="3854" max="3854" width="19.85546875" style="1575" customWidth="1"/>
    <col min="3855" max="4095" width="8.85546875" style="1575"/>
    <col min="4096" max="4096" width="24" style="1575" customWidth="1"/>
    <col min="4097" max="4097" width="18.85546875" style="1575" customWidth="1"/>
    <col min="4098" max="4098" width="27.42578125" style="1575" customWidth="1"/>
    <col min="4099" max="4099" width="58.85546875" style="1575" customWidth="1"/>
    <col min="4100" max="4100" width="9.140625" style="1575" customWidth="1"/>
    <col min="4101" max="4101" width="14.85546875" style="1575" customWidth="1"/>
    <col min="4102" max="4102" width="18.85546875" style="1575" customWidth="1"/>
    <col min="4103" max="4103" width="21.140625" style="1575" customWidth="1"/>
    <col min="4104" max="4104" width="31.140625" style="1575" customWidth="1"/>
    <col min="4105" max="4105" width="18.85546875" style="1575" customWidth="1"/>
    <col min="4106" max="4106" width="25.140625" style="1575" customWidth="1"/>
    <col min="4107" max="4107" width="21.85546875" style="1575" customWidth="1"/>
    <col min="4108" max="4108" width="14.85546875" style="1575" customWidth="1"/>
    <col min="4109" max="4109" width="17.140625" style="1575" customWidth="1"/>
    <col min="4110" max="4110" width="19.85546875" style="1575" customWidth="1"/>
    <col min="4111" max="4351" width="8.85546875" style="1575"/>
    <col min="4352" max="4352" width="24" style="1575" customWidth="1"/>
    <col min="4353" max="4353" width="18.85546875" style="1575" customWidth="1"/>
    <col min="4354" max="4354" width="27.42578125" style="1575" customWidth="1"/>
    <col min="4355" max="4355" width="58.85546875" style="1575" customWidth="1"/>
    <col min="4356" max="4356" width="9.140625" style="1575" customWidth="1"/>
    <col min="4357" max="4357" width="14.85546875" style="1575" customWidth="1"/>
    <col min="4358" max="4358" width="18.85546875" style="1575" customWidth="1"/>
    <col min="4359" max="4359" width="21.140625" style="1575" customWidth="1"/>
    <col min="4360" max="4360" width="31.140625" style="1575" customWidth="1"/>
    <col min="4361" max="4361" width="18.85546875" style="1575" customWidth="1"/>
    <col min="4362" max="4362" width="25.140625" style="1575" customWidth="1"/>
    <col min="4363" max="4363" width="21.85546875" style="1575" customWidth="1"/>
    <col min="4364" max="4364" width="14.85546875" style="1575" customWidth="1"/>
    <col min="4365" max="4365" width="17.140625" style="1575" customWidth="1"/>
    <col min="4366" max="4366" width="19.85546875" style="1575" customWidth="1"/>
    <col min="4367" max="4607" width="8.85546875" style="1575"/>
    <col min="4608" max="4608" width="24" style="1575" customWidth="1"/>
    <col min="4609" max="4609" width="18.85546875" style="1575" customWidth="1"/>
    <col min="4610" max="4610" width="27.42578125" style="1575" customWidth="1"/>
    <col min="4611" max="4611" width="58.85546875" style="1575" customWidth="1"/>
    <col min="4612" max="4612" width="9.140625" style="1575" customWidth="1"/>
    <col min="4613" max="4613" width="14.85546875" style="1575" customWidth="1"/>
    <col min="4614" max="4614" width="18.85546875" style="1575" customWidth="1"/>
    <col min="4615" max="4615" width="21.140625" style="1575" customWidth="1"/>
    <col min="4616" max="4616" width="31.140625" style="1575" customWidth="1"/>
    <col min="4617" max="4617" width="18.85546875" style="1575" customWidth="1"/>
    <col min="4618" max="4618" width="25.140625" style="1575" customWidth="1"/>
    <col min="4619" max="4619" width="21.85546875" style="1575" customWidth="1"/>
    <col min="4620" max="4620" width="14.85546875" style="1575" customWidth="1"/>
    <col min="4621" max="4621" width="17.140625" style="1575" customWidth="1"/>
    <col min="4622" max="4622" width="19.85546875" style="1575" customWidth="1"/>
    <col min="4623" max="4863" width="8.85546875" style="1575"/>
    <col min="4864" max="4864" width="24" style="1575" customWidth="1"/>
    <col min="4865" max="4865" width="18.85546875" style="1575" customWidth="1"/>
    <col min="4866" max="4866" width="27.42578125" style="1575" customWidth="1"/>
    <col min="4867" max="4867" width="58.85546875" style="1575" customWidth="1"/>
    <col min="4868" max="4868" width="9.140625" style="1575" customWidth="1"/>
    <col min="4869" max="4869" width="14.85546875" style="1575" customWidth="1"/>
    <col min="4870" max="4870" width="18.85546875" style="1575" customWidth="1"/>
    <col min="4871" max="4871" width="21.140625" style="1575" customWidth="1"/>
    <col min="4872" max="4872" width="31.140625" style="1575" customWidth="1"/>
    <col min="4873" max="4873" width="18.85546875" style="1575" customWidth="1"/>
    <col min="4874" max="4874" width="25.140625" style="1575" customWidth="1"/>
    <col min="4875" max="4875" width="21.85546875" style="1575" customWidth="1"/>
    <col min="4876" max="4876" width="14.85546875" style="1575" customWidth="1"/>
    <col min="4877" max="4877" width="17.140625" style="1575" customWidth="1"/>
    <col min="4878" max="4878" width="19.85546875" style="1575" customWidth="1"/>
    <col min="4879" max="5119" width="8.85546875" style="1575"/>
    <col min="5120" max="5120" width="24" style="1575" customWidth="1"/>
    <col min="5121" max="5121" width="18.85546875" style="1575" customWidth="1"/>
    <col min="5122" max="5122" width="27.42578125" style="1575" customWidth="1"/>
    <col min="5123" max="5123" width="58.85546875" style="1575" customWidth="1"/>
    <col min="5124" max="5124" width="9.140625" style="1575" customWidth="1"/>
    <col min="5125" max="5125" width="14.85546875" style="1575" customWidth="1"/>
    <col min="5126" max="5126" width="18.85546875" style="1575" customWidth="1"/>
    <col min="5127" max="5127" width="21.140625" style="1575" customWidth="1"/>
    <col min="5128" max="5128" width="31.140625" style="1575" customWidth="1"/>
    <col min="5129" max="5129" width="18.85546875" style="1575" customWidth="1"/>
    <col min="5130" max="5130" width="25.140625" style="1575" customWidth="1"/>
    <col min="5131" max="5131" width="21.85546875" style="1575" customWidth="1"/>
    <col min="5132" max="5132" width="14.85546875" style="1575" customWidth="1"/>
    <col min="5133" max="5133" width="17.140625" style="1575" customWidth="1"/>
    <col min="5134" max="5134" width="19.85546875" style="1575" customWidth="1"/>
    <col min="5135" max="5375" width="8.85546875" style="1575"/>
    <col min="5376" max="5376" width="24" style="1575" customWidth="1"/>
    <col min="5377" max="5377" width="18.85546875" style="1575" customWidth="1"/>
    <col min="5378" max="5378" width="27.42578125" style="1575" customWidth="1"/>
    <col min="5379" max="5379" width="58.85546875" style="1575" customWidth="1"/>
    <col min="5380" max="5380" width="9.140625" style="1575" customWidth="1"/>
    <col min="5381" max="5381" width="14.85546875" style="1575" customWidth="1"/>
    <col min="5382" max="5382" width="18.85546875" style="1575" customWidth="1"/>
    <col min="5383" max="5383" width="21.140625" style="1575" customWidth="1"/>
    <col min="5384" max="5384" width="31.140625" style="1575" customWidth="1"/>
    <col min="5385" max="5385" width="18.85546875" style="1575" customWidth="1"/>
    <col min="5386" max="5386" width="25.140625" style="1575" customWidth="1"/>
    <col min="5387" max="5387" width="21.85546875" style="1575" customWidth="1"/>
    <col min="5388" max="5388" width="14.85546875" style="1575" customWidth="1"/>
    <col min="5389" max="5389" width="17.140625" style="1575" customWidth="1"/>
    <col min="5390" max="5390" width="19.85546875" style="1575" customWidth="1"/>
    <col min="5391" max="5631" width="8.85546875" style="1575"/>
    <col min="5632" max="5632" width="24" style="1575" customWidth="1"/>
    <col min="5633" max="5633" width="18.85546875" style="1575" customWidth="1"/>
    <col min="5634" max="5634" width="27.42578125" style="1575" customWidth="1"/>
    <col min="5635" max="5635" width="58.85546875" style="1575" customWidth="1"/>
    <col min="5636" max="5636" width="9.140625" style="1575" customWidth="1"/>
    <col min="5637" max="5637" width="14.85546875" style="1575" customWidth="1"/>
    <col min="5638" max="5638" width="18.85546875" style="1575" customWidth="1"/>
    <col min="5639" max="5639" width="21.140625" style="1575" customWidth="1"/>
    <col min="5640" max="5640" width="31.140625" style="1575" customWidth="1"/>
    <col min="5641" max="5641" width="18.85546875" style="1575" customWidth="1"/>
    <col min="5642" max="5642" width="25.140625" style="1575" customWidth="1"/>
    <col min="5643" max="5643" width="21.85546875" style="1575" customWidth="1"/>
    <col min="5644" max="5644" width="14.85546875" style="1575" customWidth="1"/>
    <col min="5645" max="5645" width="17.140625" style="1575" customWidth="1"/>
    <col min="5646" max="5646" width="19.85546875" style="1575" customWidth="1"/>
    <col min="5647" max="5887" width="8.85546875" style="1575"/>
    <col min="5888" max="5888" width="24" style="1575" customWidth="1"/>
    <col min="5889" max="5889" width="18.85546875" style="1575" customWidth="1"/>
    <col min="5890" max="5890" width="27.42578125" style="1575" customWidth="1"/>
    <col min="5891" max="5891" width="58.85546875" style="1575" customWidth="1"/>
    <col min="5892" max="5892" width="9.140625" style="1575" customWidth="1"/>
    <col min="5893" max="5893" width="14.85546875" style="1575" customWidth="1"/>
    <col min="5894" max="5894" width="18.85546875" style="1575" customWidth="1"/>
    <col min="5895" max="5895" width="21.140625" style="1575" customWidth="1"/>
    <col min="5896" max="5896" width="31.140625" style="1575" customWidth="1"/>
    <col min="5897" max="5897" width="18.85546875" style="1575" customWidth="1"/>
    <col min="5898" max="5898" width="25.140625" style="1575" customWidth="1"/>
    <col min="5899" max="5899" width="21.85546875" style="1575" customWidth="1"/>
    <col min="5900" max="5900" width="14.85546875" style="1575" customWidth="1"/>
    <col min="5901" max="5901" width="17.140625" style="1575" customWidth="1"/>
    <col min="5902" max="5902" width="19.85546875" style="1575" customWidth="1"/>
    <col min="5903" max="6143" width="8.85546875" style="1575"/>
    <col min="6144" max="6144" width="24" style="1575" customWidth="1"/>
    <col min="6145" max="6145" width="18.85546875" style="1575" customWidth="1"/>
    <col min="6146" max="6146" width="27.42578125" style="1575" customWidth="1"/>
    <col min="6147" max="6147" width="58.85546875" style="1575" customWidth="1"/>
    <col min="6148" max="6148" width="9.140625" style="1575" customWidth="1"/>
    <col min="6149" max="6149" width="14.85546875" style="1575" customWidth="1"/>
    <col min="6150" max="6150" width="18.85546875" style="1575" customWidth="1"/>
    <col min="6151" max="6151" width="21.140625" style="1575" customWidth="1"/>
    <col min="6152" max="6152" width="31.140625" style="1575" customWidth="1"/>
    <col min="6153" max="6153" width="18.85546875" style="1575" customWidth="1"/>
    <col min="6154" max="6154" width="25.140625" style="1575" customWidth="1"/>
    <col min="6155" max="6155" width="21.85546875" style="1575" customWidth="1"/>
    <col min="6156" max="6156" width="14.85546875" style="1575" customWidth="1"/>
    <col min="6157" max="6157" width="17.140625" style="1575" customWidth="1"/>
    <col min="6158" max="6158" width="19.85546875" style="1575" customWidth="1"/>
    <col min="6159" max="6399" width="8.85546875" style="1575"/>
    <col min="6400" max="6400" width="24" style="1575" customWidth="1"/>
    <col min="6401" max="6401" width="18.85546875" style="1575" customWidth="1"/>
    <col min="6402" max="6402" width="27.42578125" style="1575" customWidth="1"/>
    <col min="6403" max="6403" width="58.85546875" style="1575" customWidth="1"/>
    <col min="6404" max="6404" width="9.140625" style="1575" customWidth="1"/>
    <col min="6405" max="6405" width="14.85546875" style="1575" customWidth="1"/>
    <col min="6406" max="6406" width="18.85546875" style="1575" customWidth="1"/>
    <col min="6407" max="6407" width="21.140625" style="1575" customWidth="1"/>
    <col min="6408" max="6408" width="31.140625" style="1575" customWidth="1"/>
    <col min="6409" max="6409" width="18.85546875" style="1575" customWidth="1"/>
    <col min="6410" max="6410" width="25.140625" style="1575" customWidth="1"/>
    <col min="6411" max="6411" width="21.85546875" style="1575" customWidth="1"/>
    <col min="6412" max="6412" width="14.85546875" style="1575" customWidth="1"/>
    <col min="6413" max="6413" width="17.140625" style="1575" customWidth="1"/>
    <col min="6414" max="6414" width="19.85546875" style="1575" customWidth="1"/>
    <col min="6415" max="6655" width="8.85546875" style="1575"/>
    <col min="6656" max="6656" width="24" style="1575" customWidth="1"/>
    <col min="6657" max="6657" width="18.85546875" style="1575" customWidth="1"/>
    <col min="6658" max="6658" width="27.42578125" style="1575" customWidth="1"/>
    <col min="6659" max="6659" width="58.85546875" style="1575" customWidth="1"/>
    <col min="6660" max="6660" width="9.140625" style="1575" customWidth="1"/>
    <col min="6661" max="6661" width="14.85546875" style="1575" customWidth="1"/>
    <col min="6662" max="6662" width="18.85546875" style="1575" customWidth="1"/>
    <col min="6663" max="6663" width="21.140625" style="1575" customWidth="1"/>
    <col min="6664" max="6664" width="31.140625" style="1575" customWidth="1"/>
    <col min="6665" max="6665" width="18.85546875" style="1575" customWidth="1"/>
    <col min="6666" max="6666" width="25.140625" style="1575" customWidth="1"/>
    <col min="6667" max="6667" width="21.85546875" style="1575" customWidth="1"/>
    <col min="6668" max="6668" width="14.85546875" style="1575" customWidth="1"/>
    <col min="6669" max="6669" width="17.140625" style="1575" customWidth="1"/>
    <col min="6670" max="6670" width="19.85546875" style="1575" customWidth="1"/>
    <col min="6671" max="6911" width="8.85546875" style="1575"/>
    <col min="6912" max="6912" width="24" style="1575" customWidth="1"/>
    <col min="6913" max="6913" width="18.85546875" style="1575" customWidth="1"/>
    <col min="6914" max="6914" width="27.42578125" style="1575" customWidth="1"/>
    <col min="6915" max="6915" width="58.85546875" style="1575" customWidth="1"/>
    <col min="6916" max="6916" width="9.140625" style="1575" customWidth="1"/>
    <col min="6917" max="6917" width="14.85546875" style="1575" customWidth="1"/>
    <col min="6918" max="6918" width="18.85546875" style="1575" customWidth="1"/>
    <col min="6919" max="6919" width="21.140625" style="1575" customWidth="1"/>
    <col min="6920" max="6920" width="31.140625" style="1575" customWidth="1"/>
    <col min="6921" max="6921" width="18.85546875" style="1575" customWidth="1"/>
    <col min="6922" max="6922" width="25.140625" style="1575" customWidth="1"/>
    <col min="6923" max="6923" width="21.85546875" style="1575" customWidth="1"/>
    <col min="6924" max="6924" width="14.85546875" style="1575" customWidth="1"/>
    <col min="6925" max="6925" width="17.140625" style="1575" customWidth="1"/>
    <col min="6926" max="6926" width="19.85546875" style="1575" customWidth="1"/>
    <col min="6927" max="7167" width="8.85546875" style="1575"/>
    <col min="7168" max="7168" width="24" style="1575" customWidth="1"/>
    <col min="7169" max="7169" width="18.85546875" style="1575" customWidth="1"/>
    <col min="7170" max="7170" width="27.42578125" style="1575" customWidth="1"/>
    <col min="7171" max="7171" width="58.85546875" style="1575" customWidth="1"/>
    <col min="7172" max="7172" width="9.140625" style="1575" customWidth="1"/>
    <col min="7173" max="7173" width="14.85546875" style="1575" customWidth="1"/>
    <col min="7174" max="7174" width="18.85546875" style="1575" customWidth="1"/>
    <col min="7175" max="7175" width="21.140625" style="1575" customWidth="1"/>
    <col min="7176" max="7176" width="31.140625" style="1575" customWidth="1"/>
    <col min="7177" max="7177" width="18.85546875" style="1575" customWidth="1"/>
    <col min="7178" max="7178" width="25.140625" style="1575" customWidth="1"/>
    <col min="7179" max="7179" width="21.85546875" style="1575" customWidth="1"/>
    <col min="7180" max="7180" width="14.85546875" style="1575" customWidth="1"/>
    <col min="7181" max="7181" width="17.140625" style="1575" customWidth="1"/>
    <col min="7182" max="7182" width="19.85546875" style="1575" customWidth="1"/>
    <col min="7183" max="7423" width="8.85546875" style="1575"/>
    <col min="7424" max="7424" width="24" style="1575" customWidth="1"/>
    <col min="7425" max="7425" width="18.85546875" style="1575" customWidth="1"/>
    <col min="7426" max="7426" width="27.42578125" style="1575" customWidth="1"/>
    <col min="7427" max="7427" width="58.85546875" style="1575" customWidth="1"/>
    <col min="7428" max="7428" width="9.140625" style="1575" customWidth="1"/>
    <col min="7429" max="7429" width="14.85546875" style="1575" customWidth="1"/>
    <col min="7430" max="7430" width="18.85546875" style="1575" customWidth="1"/>
    <col min="7431" max="7431" width="21.140625" style="1575" customWidth="1"/>
    <col min="7432" max="7432" width="31.140625" style="1575" customWidth="1"/>
    <col min="7433" max="7433" width="18.85546875" style="1575" customWidth="1"/>
    <col min="7434" max="7434" width="25.140625" style="1575" customWidth="1"/>
    <col min="7435" max="7435" width="21.85546875" style="1575" customWidth="1"/>
    <col min="7436" max="7436" width="14.85546875" style="1575" customWidth="1"/>
    <col min="7437" max="7437" width="17.140625" style="1575" customWidth="1"/>
    <col min="7438" max="7438" width="19.85546875" style="1575" customWidth="1"/>
    <col min="7439" max="7679" width="8.85546875" style="1575"/>
    <col min="7680" max="7680" width="24" style="1575" customWidth="1"/>
    <col min="7681" max="7681" width="18.85546875" style="1575" customWidth="1"/>
    <col min="7682" max="7682" width="27.42578125" style="1575" customWidth="1"/>
    <col min="7683" max="7683" width="58.85546875" style="1575" customWidth="1"/>
    <col min="7684" max="7684" width="9.140625" style="1575" customWidth="1"/>
    <col min="7685" max="7685" width="14.85546875" style="1575" customWidth="1"/>
    <col min="7686" max="7686" width="18.85546875" style="1575" customWidth="1"/>
    <col min="7687" max="7687" width="21.140625" style="1575" customWidth="1"/>
    <col min="7688" max="7688" width="31.140625" style="1575" customWidth="1"/>
    <col min="7689" max="7689" width="18.85546875" style="1575" customWidth="1"/>
    <col min="7690" max="7690" width="25.140625" style="1575" customWidth="1"/>
    <col min="7691" max="7691" width="21.85546875" style="1575" customWidth="1"/>
    <col min="7692" max="7692" width="14.85546875" style="1575" customWidth="1"/>
    <col min="7693" max="7693" width="17.140625" style="1575" customWidth="1"/>
    <col min="7694" max="7694" width="19.85546875" style="1575" customWidth="1"/>
    <col min="7695" max="7935" width="8.85546875" style="1575"/>
    <col min="7936" max="7936" width="24" style="1575" customWidth="1"/>
    <col min="7937" max="7937" width="18.85546875" style="1575" customWidth="1"/>
    <col min="7938" max="7938" width="27.42578125" style="1575" customWidth="1"/>
    <col min="7939" max="7939" width="58.85546875" style="1575" customWidth="1"/>
    <col min="7940" max="7940" width="9.140625" style="1575" customWidth="1"/>
    <col min="7941" max="7941" width="14.85546875" style="1575" customWidth="1"/>
    <col min="7942" max="7942" width="18.85546875" style="1575" customWidth="1"/>
    <col min="7943" max="7943" width="21.140625" style="1575" customWidth="1"/>
    <col min="7944" max="7944" width="31.140625" style="1575" customWidth="1"/>
    <col min="7945" max="7945" width="18.85546875" style="1575" customWidth="1"/>
    <col min="7946" max="7946" width="25.140625" style="1575" customWidth="1"/>
    <col min="7947" max="7947" width="21.85546875" style="1575" customWidth="1"/>
    <col min="7948" max="7948" width="14.85546875" style="1575" customWidth="1"/>
    <col min="7949" max="7949" width="17.140625" style="1575" customWidth="1"/>
    <col min="7950" max="7950" width="19.85546875" style="1575" customWidth="1"/>
    <col min="7951" max="8191" width="8.85546875" style="1575"/>
    <col min="8192" max="8192" width="24" style="1575" customWidth="1"/>
    <col min="8193" max="8193" width="18.85546875" style="1575" customWidth="1"/>
    <col min="8194" max="8194" width="27.42578125" style="1575" customWidth="1"/>
    <col min="8195" max="8195" width="58.85546875" style="1575" customWidth="1"/>
    <col min="8196" max="8196" width="9.140625" style="1575" customWidth="1"/>
    <col min="8197" max="8197" width="14.85546875" style="1575" customWidth="1"/>
    <col min="8198" max="8198" width="18.85546875" style="1575" customWidth="1"/>
    <col min="8199" max="8199" width="21.140625" style="1575" customWidth="1"/>
    <col min="8200" max="8200" width="31.140625" style="1575" customWidth="1"/>
    <col min="8201" max="8201" width="18.85546875" style="1575" customWidth="1"/>
    <col min="8202" max="8202" width="25.140625" style="1575" customWidth="1"/>
    <col min="8203" max="8203" width="21.85546875" style="1575" customWidth="1"/>
    <col min="8204" max="8204" width="14.85546875" style="1575" customWidth="1"/>
    <col min="8205" max="8205" width="17.140625" style="1575" customWidth="1"/>
    <col min="8206" max="8206" width="19.85546875" style="1575" customWidth="1"/>
    <col min="8207" max="8447" width="8.85546875" style="1575"/>
    <col min="8448" max="8448" width="24" style="1575" customWidth="1"/>
    <col min="8449" max="8449" width="18.85546875" style="1575" customWidth="1"/>
    <col min="8450" max="8450" width="27.42578125" style="1575" customWidth="1"/>
    <col min="8451" max="8451" width="58.85546875" style="1575" customWidth="1"/>
    <col min="8452" max="8452" width="9.140625" style="1575" customWidth="1"/>
    <col min="8453" max="8453" width="14.85546875" style="1575" customWidth="1"/>
    <col min="8454" max="8454" width="18.85546875" style="1575" customWidth="1"/>
    <col min="8455" max="8455" width="21.140625" style="1575" customWidth="1"/>
    <col min="8456" max="8456" width="31.140625" style="1575" customWidth="1"/>
    <col min="8457" max="8457" width="18.85546875" style="1575" customWidth="1"/>
    <col min="8458" max="8458" width="25.140625" style="1575" customWidth="1"/>
    <col min="8459" max="8459" width="21.85546875" style="1575" customWidth="1"/>
    <col min="8460" max="8460" width="14.85546875" style="1575" customWidth="1"/>
    <col min="8461" max="8461" width="17.140625" style="1575" customWidth="1"/>
    <col min="8462" max="8462" width="19.85546875" style="1575" customWidth="1"/>
    <col min="8463" max="8703" width="8.85546875" style="1575"/>
    <col min="8704" max="8704" width="24" style="1575" customWidth="1"/>
    <col min="8705" max="8705" width="18.85546875" style="1575" customWidth="1"/>
    <col min="8706" max="8706" width="27.42578125" style="1575" customWidth="1"/>
    <col min="8707" max="8707" width="58.85546875" style="1575" customWidth="1"/>
    <col min="8708" max="8708" width="9.140625" style="1575" customWidth="1"/>
    <col min="8709" max="8709" width="14.85546875" style="1575" customWidth="1"/>
    <col min="8710" max="8710" width="18.85546875" style="1575" customWidth="1"/>
    <col min="8711" max="8711" width="21.140625" style="1575" customWidth="1"/>
    <col min="8712" max="8712" width="31.140625" style="1575" customWidth="1"/>
    <col min="8713" max="8713" width="18.85546875" style="1575" customWidth="1"/>
    <col min="8714" max="8714" width="25.140625" style="1575" customWidth="1"/>
    <col min="8715" max="8715" width="21.85546875" style="1575" customWidth="1"/>
    <col min="8716" max="8716" width="14.85546875" style="1575" customWidth="1"/>
    <col min="8717" max="8717" width="17.140625" style="1575" customWidth="1"/>
    <col min="8718" max="8718" width="19.85546875" style="1575" customWidth="1"/>
    <col min="8719" max="8959" width="8.85546875" style="1575"/>
    <col min="8960" max="8960" width="24" style="1575" customWidth="1"/>
    <col min="8961" max="8961" width="18.85546875" style="1575" customWidth="1"/>
    <col min="8962" max="8962" width="27.42578125" style="1575" customWidth="1"/>
    <col min="8963" max="8963" width="58.85546875" style="1575" customWidth="1"/>
    <col min="8964" max="8964" width="9.140625" style="1575" customWidth="1"/>
    <col min="8965" max="8965" width="14.85546875" style="1575" customWidth="1"/>
    <col min="8966" max="8966" width="18.85546875" style="1575" customWidth="1"/>
    <col min="8967" max="8967" width="21.140625" style="1575" customWidth="1"/>
    <col min="8968" max="8968" width="31.140625" style="1575" customWidth="1"/>
    <col min="8969" max="8969" width="18.85546875" style="1575" customWidth="1"/>
    <col min="8970" max="8970" width="25.140625" style="1575" customWidth="1"/>
    <col min="8971" max="8971" width="21.85546875" style="1575" customWidth="1"/>
    <col min="8972" max="8972" width="14.85546875" style="1575" customWidth="1"/>
    <col min="8973" max="8973" width="17.140625" style="1575" customWidth="1"/>
    <col min="8974" max="8974" width="19.85546875" style="1575" customWidth="1"/>
    <col min="8975" max="9215" width="8.85546875" style="1575"/>
    <col min="9216" max="9216" width="24" style="1575" customWidth="1"/>
    <col min="9217" max="9217" width="18.85546875" style="1575" customWidth="1"/>
    <col min="9218" max="9218" width="27.42578125" style="1575" customWidth="1"/>
    <col min="9219" max="9219" width="58.85546875" style="1575" customWidth="1"/>
    <col min="9220" max="9220" width="9.140625" style="1575" customWidth="1"/>
    <col min="9221" max="9221" width="14.85546875" style="1575" customWidth="1"/>
    <col min="9222" max="9222" width="18.85546875" style="1575" customWidth="1"/>
    <col min="9223" max="9223" width="21.140625" style="1575" customWidth="1"/>
    <col min="9224" max="9224" width="31.140625" style="1575" customWidth="1"/>
    <col min="9225" max="9225" width="18.85546875" style="1575" customWidth="1"/>
    <col min="9226" max="9226" width="25.140625" style="1575" customWidth="1"/>
    <col min="9227" max="9227" width="21.85546875" style="1575" customWidth="1"/>
    <col min="9228" max="9228" width="14.85546875" style="1575" customWidth="1"/>
    <col min="9229" max="9229" width="17.140625" style="1575" customWidth="1"/>
    <col min="9230" max="9230" width="19.85546875" style="1575" customWidth="1"/>
    <col min="9231" max="9471" width="8.85546875" style="1575"/>
    <col min="9472" max="9472" width="24" style="1575" customWidth="1"/>
    <col min="9473" max="9473" width="18.85546875" style="1575" customWidth="1"/>
    <col min="9474" max="9474" width="27.42578125" style="1575" customWidth="1"/>
    <col min="9475" max="9475" width="58.85546875" style="1575" customWidth="1"/>
    <col min="9476" max="9476" width="9.140625" style="1575" customWidth="1"/>
    <col min="9477" max="9477" width="14.85546875" style="1575" customWidth="1"/>
    <col min="9478" max="9478" width="18.85546875" style="1575" customWidth="1"/>
    <col min="9479" max="9479" width="21.140625" style="1575" customWidth="1"/>
    <col min="9480" max="9480" width="31.140625" style="1575" customWidth="1"/>
    <col min="9481" max="9481" width="18.85546875" style="1575" customWidth="1"/>
    <col min="9482" max="9482" width="25.140625" style="1575" customWidth="1"/>
    <col min="9483" max="9483" width="21.85546875" style="1575" customWidth="1"/>
    <col min="9484" max="9484" width="14.85546875" style="1575" customWidth="1"/>
    <col min="9485" max="9485" width="17.140625" style="1575" customWidth="1"/>
    <col min="9486" max="9486" width="19.85546875" style="1575" customWidth="1"/>
    <col min="9487" max="9727" width="8.85546875" style="1575"/>
    <col min="9728" max="9728" width="24" style="1575" customWidth="1"/>
    <col min="9729" max="9729" width="18.85546875" style="1575" customWidth="1"/>
    <col min="9730" max="9730" width="27.42578125" style="1575" customWidth="1"/>
    <col min="9731" max="9731" width="58.85546875" style="1575" customWidth="1"/>
    <col min="9732" max="9732" width="9.140625" style="1575" customWidth="1"/>
    <col min="9733" max="9733" width="14.85546875" style="1575" customWidth="1"/>
    <col min="9734" max="9734" width="18.85546875" style="1575" customWidth="1"/>
    <col min="9735" max="9735" width="21.140625" style="1575" customWidth="1"/>
    <col min="9736" max="9736" width="31.140625" style="1575" customWidth="1"/>
    <col min="9737" max="9737" width="18.85546875" style="1575" customWidth="1"/>
    <col min="9738" max="9738" width="25.140625" style="1575" customWidth="1"/>
    <col min="9739" max="9739" width="21.85546875" style="1575" customWidth="1"/>
    <col min="9740" max="9740" width="14.85546875" style="1575" customWidth="1"/>
    <col min="9741" max="9741" width="17.140625" style="1575" customWidth="1"/>
    <col min="9742" max="9742" width="19.85546875" style="1575" customWidth="1"/>
    <col min="9743" max="9983" width="8.85546875" style="1575"/>
    <col min="9984" max="9984" width="24" style="1575" customWidth="1"/>
    <col min="9985" max="9985" width="18.85546875" style="1575" customWidth="1"/>
    <col min="9986" max="9986" width="27.42578125" style="1575" customWidth="1"/>
    <col min="9987" max="9987" width="58.85546875" style="1575" customWidth="1"/>
    <col min="9988" max="9988" width="9.140625" style="1575" customWidth="1"/>
    <col min="9989" max="9989" width="14.85546875" style="1575" customWidth="1"/>
    <col min="9990" max="9990" width="18.85546875" style="1575" customWidth="1"/>
    <col min="9991" max="9991" width="21.140625" style="1575" customWidth="1"/>
    <col min="9992" max="9992" width="31.140625" style="1575" customWidth="1"/>
    <col min="9993" max="9993" width="18.85546875" style="1575" customWidth="1"/>
    <col min="9994" max="9994" width="25.140625" style="1575" customWidth="1"/>
    <col min="9995" max="9995" width="21.85546875" style="1575" customWidth="1"/>
    <col min="9996" max="9996" width="14.85546875" style="1575" customWidth="1"/>
    <col min="9997" max="9997" width="17.140625" style="1575" customWidth="1"/>
    <col min="9998" max="9998" width="19.85546875" style="1575" customWidth="1"/>
    <col min="9999" max="10239" width="8.85546875" style="1575"/>
    <col min="10240" max="10240" width="24" style="1575" customWidth="1"/>
    <col min="10241" max="10241" width="18.85546875" style="1575" customWidth="1"/>
    <col min="10242" max="10242" width="27.42578125" style="1575" customWidth="1"/>
    <col min="10243" max="10243" width="58.85546875" style="1575" customWidth="1"/>
    <col min="10244" max="10244" width="9.140625" style="1575" customWidth="1"/>
    <col min="10245" max="10245" width="14.85546875" style="1575" customWidth="1"/>
    <col min="10246" max="10246" width="18.85546875" style="1575" customWidth="1"/>
    <col min="10247" max="10247" width="21.140625" style="1575" customWidth="1"/>
    <col min="10248" max="10248" width="31.140625" style="1575" customWidth="1"/>
    <col min="10249" max="10249" width="18.85546875" style="1575" customWidth="1"/>
    <col min="10250" max="10250" width="25.140625" style="1575" customWidth="1"/>
    <col min="10251" max="10251" width="21.85546875" style="1575" customWidth="1"/>
    <col min="10252" max="10252" width="14.85546875" style="1575" customWidth="1"/>
    <col min="10253" max="10253" width="17.140625" style="1575" customWidth="1"/>
    <col min="10254" max="10254" width="19.85546875" style="1575" customWidth="1"/>
    <col min="10255" max="10495" width="8.85546875" style="1575"/>
    <col min="10496" max="10496" width="24" style="1575" customWidth="1"/>
    <col min="10497" max="10497" width="18.85546875" style="1575" customWidth="1"/>
    <col min="10498" max="10498" width="27.42578125" style="1575" customWidth="1"/>
    <col min="10499" max="10499" width="58.85546875" style="1575" customWidth="1"/>
    <col min="10500" max="10500" width="9.140625" style="1575" customWidth="1"/>
    <col min="10501" max="10501" width="14.85546875" style="1575" customWidth="1"/>
    <col min="10502" max="10502" width="18.85546875" style="1575" customWidth="1"/>
    <col min="10503" max="10503" width="21.140625" style="1575" customWidth="1"/>
    <col min="10504" max="10504" width="31.140625" style="1575" customWidth="1"/>
    <col min="10505" max="10505" width="18.85546875" style="1575" customWidth="1"/>
    <col min="10506" max="10506" width="25.140625" style="1575" customWidth="1"/>
    <col min="10507" max="10507" width="21.85546875" style="1575" customWidth="1"/>
    <col min="10508" max="10508" width="14.85546875" style="1575" customWidth="1"/>
    <col min="10509" max="10509" width="17.140625" style="1575" customWidth="1"/>
    <col min="10510" max="10510" width="19.85546875" style="1575" customWidth="1"/>
    <col min="10511" max="10751" width="8.85546875" style="1575"/>
    <col min="10752" max="10752" width="24" style="1575" customWidth="1"/>
    <col min="10753" max="10753" width="18.85546875" style="1575" customWidth="1"/>
    <col min="10754" max="10754" width="27.42578125" style="1575" customWidth="1"/>
    <col min="10755" max="10755" width="58.85546875" style="1575" customWidth="1"/>
    <col min="10756" max="10756" width="9.140625" style="1575" customWidth="1"/>
    <col min="10757" max="10757" width="14.85546875" style="1575" customWidth="1"/>
    <col min="10758" max="10758" width="18.85546875" style="1575" customWidth="1"/>
    <col min="10759" max="10759" width="21.140625" style="1575" customWidth="1"/>
    <col min="10760" max="10760" width="31.140625" style="1575" customWidth="1"/>
    <col min="10761" max="10761" width="18.85546875" style="1575" customWidth="1"/>
    <col min="10762" max="10762" width="25.140625" style="1575" customWidth="1"/>
    <col min="10763" max="10763" width="21.85546875" style="1575" customWidth="1"/>
    <col min="10764" max="10764" width="14.85546875" style="1575" customWidth="1"/>
    <col min="10765" max="10765" width="17.140625" style="1575" customWidth="1"/>
    <col min="10766" max="10766" width="19.85546875" style="1575" customWidth="1"/>
    <col min="10767" max="11007" width="8.85546875" style="1575"/>
    <col min="11008" max="11008" width="24" style="1575" customWidth="1"/>
    <col min="11009" max="11009" width="18.85546875" style="1575" customWidth="1"/>
    <col min="11010" max="11010" width="27.42578125" style="1575" customWidth="1"/>
    <col min="11011" max="11011" width="58.85546875" style="1575" customWidth="1"/>
    <col min="11012" max="11012" width="9.140625" style="1575" customWidth="1"/>
    <col min="11013" max="11013" width="14.85546875" style="1575" customWidth="1"/>
    <col min="11014" max="11014" width="18.85546875" style="1575" customWidth="1"/>
    <col min="11015" max="11015" width="21.140625" style="1575" customWidth="1"/>
    <col min="11016" max="11016" width="31.140625" style="1575" customWidth="1"/>
    <col min="11017" max="11017" width="18.85546875" style="1575" customWidth="1"/>
    <col min="11018" max="11018" width="25.140625" style="1575" customWidth="1"/>
    <col min="11019" max="11019" width="21.85546875" style="1575" customWidth="1"/>
    <col min="11020" max="11020" width="14.85546875" style="1575" customWidth="1"/>
    <col min="11021" max="11021" width="17.140625" style="1575" customWidth="1"/>
    <col min="11022" max="11022" width="19.85546875" style="1575" customWidth="1"/>
    <col min="11023" max="11263" width="8.85546875" style="1575"/>
    <col min="11264" max="11264" width="24" style="1575" customWidth="1"/>
    <col min="11265" max="11265" width="18.85546875" style="1575" customWidth="1"/>
    <col min="11266" max="11266" width="27.42578125" style="1575" customWidth="1"/>
    <col min="11267" max="11267" width="58.85546875" style="1575" customWidth="1"/>
    <col min="11268" max="11268" width="9.140625" style="1575" customWidth="1"/>
    <col min="11269" max="11269" width="14.85546875" style="1575" customWidth="1"/>
    <col min="11270" max="11270" width="18.85546875" style="1575" customWidth="1"/>
    <col min="11271" max="11271" width="21.140625" style="1575" customWidth="1"/>
    <col min="11272" max="11272" width="31.140625" style="1575" customWidth="1"/>
    <col min="11273" max="11273" width="18.85546875" style="1575" customWidth="1"/>
    <col min="11274" max="11274" width="25.140625" style="1575" customWidth="1"/>
    <col min="11275" max="11275" width="21.85546875" style="1575" customWidth="1"/>
    <col min="11276" max="11276" width="14.85546875" style="1575" customWidth="1"/>
    <col min="11277" max="11277" width="17.140625" style="1575" customWidth="1"/>
    <col min="11278" max="11278" width="19.85546875" style="1575" customWidth="1"/>
    <col min="11279" max="11519" width="8.85546875" style="1575"/>
    <col min="11520" max="11520" width="24" style="1575" customWidth="1"/>
    <col min="11521" max="11521" width="18.85546875" style="1575" customWidth="1"/>
    <col min="11522" max="11522" width="27.42578125" style="1575" customWidth="1"/>
    <col min="11523" max="11523" width="58.85546875" style="1575" customWidth="1"/>
    <col min="11524" max="11524" width="9.140625" style="1575" customWidth="1"/>
    <col min="11525" max="11525" width="14.85546875" style="1575" customWidth="1"/>
    <col min="11526" max="11526" width="18.85546875" style="1575" customWidth="1"/>
    <col min="11527" max="11527" width="21.140625" style="1575" customWidth="1"/>
    <col min="11528" max="11528" width="31.140625" style="1575" customWidth="1"/>
    <col min="11529" max="11529" width="18.85546875" style="1575" customWidth="1"/>
    <col min="11530" max="11530" width="25.140625" style="1575" customWidth="1"/>
    <col min="11531" max="11531" width="21.85546875" style="1575" customWidth="1"/>
    <col min="11532" max="11532" width="14.85546875" style="1575" customWidth="1"/>
    <col min="11533" max="11533" width="17.140625" style="1575" customWidth="1"/>
    <col min="11534" max="11534" width="19.85546875" style="1575" customWidth="1"/>
    <col min="11535" max="11775" width="8.85546875" style="1575"/>
    <col min="11776" max="11776" width="24" style="1575" customWidth="1"/>
    <col min="11777" max="11777" width="18.85546875" style="1575" customWidth="1"/>
    <col min="11778" max="11778" width="27.42578125" style="1575" customWidth="1"/>
    <col min="11779" max="11779" width="58.85546875" style="1575" customWidth="1"/>
    <col min="11780" max="11780" width="9.140625" style="1575" customWidth="1"/>
    <col min="11781" max="11781" width="14.85546875" style="1575" customWidth="1"/>
    <col min="11782" max="11782" width="18.85546875" style="1575" customWidth="1"/>
    <col min="11783" max="11783" width="21.140625" style="1575" customWidth="1"/>
    <col min="11784" max="11784" width="31.140625" style="1575" customWidth="1"/>
    <col min="11785" max="11785" width="18.85546875" style="1575" customWidth="1"/>
    <col min="11786" max="11786" width="25.140625" style="1575" customWidth="1"/>
    <col min="11787" max="11787" width="21.85546875" style="1575" customWidth="1"/>
    <col min="11788" max="11788" width="14.85546875" style="1575" customWidth="1"/>
    <col min="11789" max="11789" width="17.140625" style="1575" customWidth="1"/>
    <col min="11790" max="11790" width="19.85546875" style="1575" customWidth="1"/>
    <col min="11791" max="12031" width="8.85546875" style="1575"/>
    <col min="12032" max="12032" width="24" style="1575" customWidth="1"/>
    <col min="12033" max="12033" width="18.85546875" style="1575" customWidth="1"/>
    <col min="12034" max="12034" width="27.42578125" style="1575" customWidth="1"/>
    <col min="12035" max="12035" width="58.85546875" style="1575" customWidth="1"/>
    <col min="12036" max="12036" width="9.140625" style="1575" customWidth="1"/>
    <col min="12037" max="12037" width="14.85546875" style="1575" customWidth="1"/>
    <col min="12038" max="12038" width="18.85546875" style="1575" customWidth="1"/>
    <col min="12039" max="12039" width="21.140625" style="1575" customWidth="1"/>
    <col min="12040" max="12040" width="31.140625" style="1575" customWidth="1"/>
    <col min="12041" max="12041" width="18.85546875" style="1575" customWidth="1"/>
    <col min="12042" max="12042" width="25.140625" style="1575" customWidth="1"/>
    <col min="12043" max="12043" width="21.85546875" style="1575" customWidth="1"/>
    <col min="12044" max="12044" width="14.85546875" style="1575" customWidth="1"/>
    <col min="12045" max="12045" width="17.140625" style="1575" customWidth="1"/>
    <col min="12046" max="12046" width="19.85546875" style="1575" customWidth="1"/>
    <col min="12047" max="12287" width="8.85546875" style="1575"/>
    <col min="12288" max="12288" width="24" style="1575" customWidth="1"/>
    <col min="12289" max="12289" width="18.85546875" style="1575" customWidth="1"/>
    <col min="12290" max="12290" width="27.42578125" style="1575" customWidth="1"/>
    <col min="12291" max="12291" width="58.85546875" style="1575" customWidth="1"/>
    <col min="12292" max="12292" width="9.140625" style="1575" customWidth="1"/>
    <col min="12293" max="12293" width="14.85546875" style="1575" customWidth="1"/>
    <col min="12294" max="12294" width="18.85546875" style="1575" customWidth="1"/>
    <col min="12295" max="12295" width="21.140625" style="1575" customWidth="1"/>
    <col min="12296" max="12296" width="31.140625" style="1575" customWidth="1"/>
    <col min="12297" max="12297" width="18.85546875" style="1575" customWidth="1"/>
    <col min="12298" max="12298" width="25.140625" style="1575" customWidth="1"/>
    <col min="12299" max="12299" width="21.85546875" style="1575" customWidth="1"/>
    <col min="12300" max="12300" width="14.85546875" style="1575" customWidth="1"/>
    <col min="12301" max="12301" width="17.140625" style="1575" customWidth="1"/>
    <col min="12302" max="12302" width="19.85546875" style="1575" customWidth="1"/>
    <col min="12303" max="12543" width="8.85546875" style="1575"/>
    <col min="12544" max="12544" width="24" style="1575" customWidth="1"/>
    <col min="12545" max="12545" width="18.85546875" style="1575" customWidth="1"/>
    <col min="12546" max="12546" width="27.42578125" style="1575" customWidth="1"/>
    <col min="12547" max="12547" width="58.85546875" style="1575" customWidth="1"/>
    <col min="12548" max="12548" width="9.140625" style="1575" customWidth="1"/>
    <col min="12549" max="12549" width="14.85546875" style="1575" customWidth="1"/>
    <col min="12550" max="12550" width="18.85546875" style="1575" customWidth="1"/>
    <col min="12551" max="12551" width="21.140625" style="1575" customWidth="1"/>
    <col min="12552" max="12552" width="31.140625" style="1575" customWidth="1"/>
    <col min="12553" max="12553" width="18.85546875" style="1575" customWidth="1"/>
    <col min="12554" max="12554" width="25.140625" style="1575" customWidth="1"/>
    <col min="12555" max="12555" width="21.85546875" style="1575" customWidth="1"/>
    <col min="12556" max="12556" width="14.85546875" style="1575" customWidth="1"/>
    <col min="12557" max="12557" width="17.140625" style="1575" customWidth="1"/>
    <col min="12558" max="12558" width="19.85546875" style="1575" customWidth="1"/>
    <col min="12559" max="12799" width="8.85546875" style="1575"/>
    <col min="12800" max="12800" width="24" style="1575" customWidth="1"/>
    <col min="12801" max="12801" width="18.85546875" style="1575" customWidth="1"/>
    <col min="12802" max="12802" width="27.42578125" style="1575" customWidth="1"/>
    <col min="12803" max="12803" width="58.85546875" style="1575" customWidth="1"/>
    <col min="12804" max="12804" width="9.140625" style="1575" customWidth="1"/>
    <col min="12805" max="12805" width="14.85546875" style="1575" customWidth="1"/>
    <col min="12806" max="12806" width="18.85546875" style="1575" customWidth="1"/>
    <col min="12807" max="12807" width="21.140625" style="1575" customWidth="1"/>
    <col min="12808" max="12808" width="31.140625" style="1575" customWidth="1"/>
    <col min="12809" max="12809" width="18.85546875" style="1575" customWidth="1"/>
    <col min="12810" max="12810" width="25.140625" style="1575" customWidth="1"/>
    <col min="12811" max="12811" width="21.85546875" style="1575" customWidth="1"/>
    <col min="12812" max="12812" width="14.85546875" style="1575" customWidth="1"/>
    <col min="12813" max="12813" width="17.140625" style="1575" customWidth="1"/>
    <col min="12814" max="12814" width="19.85546875" style="1575" customWidth="1"/>
    <col min="12815" max="13055" width="8.85546875" style="1575"/>
    <col min="13056" max="13056" width="24" style="1575" customWidth="1"/>
    <col min="13057" max="13057" width="18.85546875" style="1575" customWidth="1"/>
    <col min="13058" max="13058" width="27.42578125" style="1575" customWidth="1"/>
    <col min="13059" max="13059" width="58.85546875" style="1575" customWidth="1"/>
    <col min="13060" max="13060" width="9.140625" style="1575" customWidth="1"/>
    <col min="13061" max="13061" width="14.85546875" style="1575" customWidth="1"/>
    <col min="13062" max="13062" width="18.85546875" style="1575" customWidth="1"/>
    <col min="13063" max="13063" width="21.140625" style="1575" customWidth="1"/>
    <col min="13064" max="13064" width="31.140625" style="1575" customWidth="1"/>
    <col min="13065" max="13065" width="18.85546875" style="1575" customWidth="1"/>
    <col min="13066" max="13066" width="25.140625" style="1575" customWidth="1"/>
    <col min="13067" max="13067" width="21.85546875" style="1575" customWidth="1"/>
    <col min="13068" max="13068" width="14.85546875" style="1575" customWidth="1"/>
    <col min="13069" max="13069" width="17.140625" style="1575" customWidth="1"/>
    <col min="13070" max="13070" width="19.85546875" style="1575" customWidth="1"/>
    <col min="13071" max="13311" width="8.85546875" style="1575"/>
    <col min="13312" max="13312" width="24" style="1575" customWidth="1"/>
    <col min="13313" max="13313" width="18.85546875" style="1575" customWidth="1"/>
    <col min="13314" max="13314" width="27.42578125" style="1575" customWidth="1"/>
    <col min="13315" max="13315" width="58.85546875" style="1575" customWidth="1"/>
    <col min="13316" max="13316" width="9.140625" style="1575" customWidth="1"/>
    <col min="13317" max="13317" width="14.85546875" style="1575" customWidth="1"/>
    <col min="13318" max="13318" width="18.85546875" style="1575" customWidth="1"/>
    <col min="13319" max="13319" width="21.140625" style="1575" customWidth="1"/>
    <col min="13320" max="13320" width="31.140625" style="1575" customWidth="1"/>
    <col min="13321" max="13321" width="18.85546875" style="1575" customWidth="1"/>
    <col min="13322" max="13322" width="25.140625" style="1575" customWidth="1"/>
    <col min="13323" max="13323" width="21.85546875" style="1575" customWidth="1"/>
    <col min="13324" max="13324" width="14.85546875" style="1575" customWidth="1"/>
    <col min="13325" max="13325" width="17.140625" style="1575" customWidth="1"/>
    <col min="13326" max="13326" width="19.85546875" style="1575" customWidth="1"/>
    <col min="13327" max="13567" width="8.85546875" style="1575"/>
    <col min="13568" max="13568" width="24" style="1575" customWidth="1"/>
    <col min="13569" max="13569" width="18.85546875" style="1575" customWidth="1"/>
    <col min="13570" max="13570" width="27.42578125" style="1575" customWidth="1"/>
    <col min="13571" max="13571" width="58.85546875" style="1575" customWidth="1"/>
    <col min="13572" max="13572" width="9.140625" style="1575" customWidth="1"/>
    <col min="13573" max="13573" width="14.85546875" style="1575" customWidth="1"/>
    <col min="13574" max="13574" width="18.85546875" style="1575" customWidth="1"/>
    <col min="13575" max="13575" width="21.140625" style="1575" customWidth="1"/>
    <col min="13576" max="13576" width="31.140625" style="1575" customWidth="1"/>
    <col min="13577" max="13577" width="18.85546875" style="1575" customWidth="1"/>
    <col min="13578" max="13578" width="25.140625" style="1575" customWidth="1"/>
    <col min="13579" max="13579" width="21.85546875" style="1575" customWidth="1"/>
    <col min="13580" max="13580" width="14.85546875" style="1575" customWidth="1"/>
    <col min="13581" max="13581" width="17.140625" style="1575" customWidth="1"/>
    <col min="13582" max="13582" width="19.85546875" style="1575" customWidth="1"/>
    <col min="13583" max="13823" width="8.85546875" style="1575"/>
    <col min="13824" max="13824" width="24" style="1575" customWidth="1"/>
    <col min="13825" max="13825" width="18.85546875" style="1575" customWidth="1"/>
    <col min="13826" max="13826" width="27.42578125" style="1575" customWidth="1"/>
    <col min="13827" max="13827" width="58.85546875" style="1575" customWidth="1"/>
    <col min="13828" max="13828" width="9.140625" style="1575" customWidth="1"/>
    <col min="13829" max="13829" width="14.85546875" style="1575" customWidth="1"/>
    <col min="13830" max="13830" width="18.85546875" style="1575" customWidth="1"/>
    <col min="13831" max="13831" width="21.140625" style="1575" customWidth="1"/>
    <col min="13832" max="13832" width="31.140625" style="1575" customWidth="1"/>
    <col min="13833" max="13833" width="18.85546875" style="1575" customWidth="1"/>
    <col min="13834" max="13834" width="25.140625" style="1575" customWidth="1"/>
    <col min="13835" max="13835" width="21.85546875" style="1575" customWidth="1"/>
    <col min="13836" max="13836" width="14.85546875" style="1575" customWidth="1"/>
    <col min="13837" max="13837" width="17.140625" style="1575" customWidth="1"/>
    <col min="13838" max="13838" width="19.85546875" style="1575" customWidth="1"/>
    <col min="13839" max="14079" width="8.85546875" style="1575"/>
    <col min="14080" max="14080" width="24" style="1575" customWidth="1"/>
    <col min="14081" max="14081" width="18.85546875" style="1575" customWidth="1"/>
    <col min="14082" max="14082" width="27.42578125" style="1575" customWidth="1"/>
    <col min="14083" max="14083" width="58.85546875" style="1575" customWidth="1"/>
    <col min="14084" max="14084" width="9.140625" style="1575" customWidth="1"/>
    <col min="14085" max="14085" width="14.85546875" style="1575" customWidth="1"/>
    <col min="14086" max="14086" width="18.85546875" style="1575" customWidth="1"/>
    <col min="14087" max="14087" width="21.140625" style="1575" customWidth="1"/>
    <col min="14088" max="14088" width="31.140625" style="1575" customWidth="1"/>
    <col min="14089" max="14089" width="18.85546875" style="1575" customWidth="1"/>
    <col min="14090" max="14090" width="25.140625" style="1575" customWidth="1"/>
    <col min="14091" max="14091" width="21.85546875" style="1575" customWidth="1"/>
    <col min="14092" max="14092" width="14.85546875" style="1575" customWidth="1"/>
    <col min="14093" max="14093" width="17.140625" style="1575" customWidth="1"/>
    <col min="14094" max="14094" width="19.85546875" style="1575" customWidth="1"/>
    <col min="14095" max="14335" width="8.85546875" style="1575"/>
    <col min="14336" max="14336" width="24" style="1575" customWidth="1"/>
    <col min="14337" max="14337" width="18.85546875" style="1575" customWidth="1"/>
    <col min="14338" max="14338" width="27.42578125" style="1575" customWidth="1"/>
    <col min="14339" max="14339" width="58.85546875" style="1575" customWidth="1"/>
    <col min="14340" max="14340" width="9.140625" style="1575" customWidth="1"/>
    <col min="14341" max="14341" width="14.85546875" style="1575" customWidth="1"/>
    <col min="14342" max="14342" width="18.85546875" style="1575" customWidth="1"/>
    <col min="14343" max="14343" width="21.140625" style="1575" customWidth="1"/>
    <col min="14344" max="14344" width="31.140625" style="1575" customWidth="1"/>
    <col min="14345" max="14345" width="18.85546875" style="1575" customWidth="1"/>
    <col min="14346" max="14346" width="25.140625" style="1575" customWidth="1"/>
    <col min="14347" max="14347" width="21.85546875" style="1575" customWidth="1"/>
    <col min="14348" max="14348" width="14.85546875" style="1575" customWidth="1"/>
    <col min="14349" max="14349" width="17.140625" style="1575" customWidth="1"/>
    <col min="14350" max="14350" width="19.85546875" style="1575" customWidth="1"/>
    <col min="14351" max="14591" width="8.85546875" style="1575"/>
    <col min="14592" max="14592" width="24" style="1575" customWidth="1"/>
    <col min="14593" max="14593" width="18.85546875" style="1575" customWidth="1"/>
    <col min="14594" max="14594" width="27.42578125" style="1575" customWidth="1"/>
    <col min="14595" max="14595" width="58.85546875" style="1575" customWidth="1"/>
    <col min="14596" max="14596" width="9.140625" style="1575" customWidth="1"/>
    <col min="14597" max="14597" width="14.85546875" style="1575" customWidth="1"/>
    <col min="14598" max="14598" width="18.85546875" style="1575" customWidth="1"/>
    <col min="14599" max="14599" width="21.140625" style="1575" customWidth="1"/>
    <col min="14600" max="14600" width="31.140625" style="1575" customWidth="1"/>
    <col min="14601" max="14601" width="18.85546875" style="1575" customWidth="1"/>
    <col min="14602" max="14602" width="25.140625" style="1575" customWidth="1"/>
    <col min="14603" max="14603" width="21.85546875" style="1575" customWidth="1"/>
    <col min="14604" max="14604" width="14.85546875" style="1575" customWidth="1"/>
    <col min="14605" max="14605" width="17.140625" style="1575" customWidth="1"/>
    <col min="14606" max="14606" width="19.85546875" style="1575" customWidth="1"/>
    <col min="14607" max="14847" width="8.85546875" style="1575"/>
    <col min="14848" max="14848" width="24" style="1575" customWidth="1"/>
    <col min="14849" max="14849" width="18.85546875" style="1575" customWidth="1"/>
    <col min="14850" max="14850" width="27.42578125" style="1575" customWidth="1"/>
    <col min="14851" max="14851" width="58.85546875" style="1575" customWidth="1"/>
    <col min="14852" max="14852" width="9.140625" style="1575" customWidth="1"/>
    <col min="14853" max="14853" width="14.85546875" style="1575" customWidth="1"/>
    <col min="14854" max="14854" width="18.85546875" style="1575" customWidth="1"/>
    <col min="14855" max="14855" width="21.140625" style="1575" customWidth="1"/>
    <col min="14856" max="14856" width="31.140625" style="1575" customWidth="1"/>
    <col min="14857" max="14857" width="18.85546875" style="1575" customWidth="1"/>
    <col min="14858" max="14858" width="25.140625" style="1575" customWidth="1"/>
    <col min="14859" max="14859" width="21.85546875" style="1575" customWidth="1"/>
    <col min="14860" max="14860" width="14.85546875" style="1575" customWidth="1"/>
    <col min="14861" max="14861" width="17.140625" style="1575" customWidth="1"/>
    <col min="14862" max="14862" width="19.85546875" style="1575" customWidth="1"/>
    <col min="14863" max="15103" width="8.85546875" style="1575"/>
    <col min="15104" max="15104" width="24" style="1575" customWidth="1"/>
    <col min="15105" max="15105" width="18.85546875" style="1575" customWidth="1"/>
    <col min="15106" max="15106" width="27.42578125" style="1575" customWidth="1"/>
    <col min="15107" max="15107" width="58.85546875" style="1575" customWidth="1"/>
    <col min="15108" max="15108" width="9.140625" style="1575" customWidth="1"/>
    <col min="15109" max="15109" width="14.85546875" style="1575" customWidth="1"/>
    <col min="15110" max="15110" width="18.85546875" style="1575" customWidth="1"/>
    <col min="15111" max="15111" width="21.140625" style="1575" customWidth="1"/>
    <col min="15112" max="15112" width="31.140625" style="1575" customWidth="1"/>
    <col min="15113" max="15113" width="18.85546875" style="1575" customWidth="1"/>
    <col min="15114" max="15114" width="25.140625" style="1575" customWidth="1"/>
    <col min="15115" max="15115" width="21.85546875" style="1575" customWidth="1"/>
    <col min="15116" max="15116" width="14.85546875" style="1575" customWidth="1"/>
    <col min="15117" max="15117" width="17.140625" style="1575" customWidth="1"/>
    <col min="15118" max="15118" width="19.85546875" style="1575" customWidth="1"/>
    <col min="15119" max="15359" width="8.85546875" style="1575"/>
    <col min="15360" max="15360" width="24" style="1575" customWidth="1"/>
    <col min="15361" max="15361" width="18.85546875" style="1575" customWidth="1"/>
    <col min="15362" max="15362" width="27.42578125" style="1575" customWidth="1"/>
    <col min="15363" max="15363" width="58.85546875" style="1575" customWidth="1"/>
    <col min="15364" max="15364" width="9.140625" style="1575" customWidth="1"/>
    <col min="15365" max="15365" width="14.85546875" style="1575" customWidth="1"/>
    <col min="15366" max="15366" width="18.85546875" style="1575" customWidth="1"/>
    <col min="15367" max="15367" width="21.140625" style="1575" customWidth="1"/>
    <col min="15368" max="15368" width="31.140625" style="1575" customWidth="1"/>
    <col min="15369" max="15369" width="18.85546875" style="1575" customWidth="1"/>
    <col min="15370" max="15370" width="25.140625" style="1575" customWidth="1"/>
    <col min="15371" max="15371" width="21.85546875" style="1575" customWidth="1"/>
    <col min="15372" max="15372" width="14.85546875" style="1575" customWidth="1"/>
    <col min="15373" max="15373" width="17.140625" style="1575" customWidth="1"/>
    <col min="15374" max="15374" width="19.85546875" style="1575" customWidth="1"/>
    <col min="15375" max="15615" width="8.85546875" style="1575"/>
    <col min="15616" max="15616" width="24" style="1575" customWidth="1"/>
    <col min="15617" max="15617" width="18.85546875" style="1575" customWidth="1"/>
    <col min="15618" max="15618" width="27.42578125" style="1575" customWidth="1"/>
    <col min="15619" max="15619" width="58.85546875" style="1575" customWidth="1"/>
    <col min="15620" max="15620" width="9.140625" style="1575" customWidth="1"/>
    <col min="15621" max="15621" width="14.85546875" style="1575" customWidth="1"/>
    <col min="15622" max="15622" width="18.85546875" style="1575" customWidth="1"/>
    <col min="15623" max="15623" width="21.140625" style="1575" customWidth="1"/>
    <col min="15624" max="15624" width="31.140625" style="1575" customWidth="1"/>
    <col min="15625" max="15625" width="18.85546875" style="1575" customWidth="1"/>
    <col min="15626" max="15626" width="25.140625" style="1575" customWidth="1"/>
    <col min="15627" max="15627" width="21.85546875" style="1575" customWidth="1"/>
    <col min="15628" max="15628" width="14.85546875" style="1575" customWidth="1"/>
    <col min="15629" max="15629" width="17.140625" style="1575" customWidth="1"/>
    <col min="15630" max="15630" width="19.85546875" style="1575" customWidth="1"/>
    <col min="15631" max="15871" width="8.85546875" style="1575"/>
    <col min="15872" max="15872" width="24" style="1575" customWidth="1"/>
    <col min="15873" max="15873" width="18.85546875" style="1575" customWidth="1"/>
    <col min="15874" max="15874" width="27.42578125" style="1575" customWidth="1"/>
    <col min="15875" max="15875" width="58.85546875" style="1575" customWidth="1"/>
    <col min="15876" max="15876" width="9.140625" style="1575" customWidth="1"/>
    <col min="15877" max="15877" width="14.85546875" style="1575" customWidth="1"/>
    <col min="15878" max="15878" width="18.85546875" style="1575" customWidth="1"/>
    <col min="15879" max="15879" width="21.140625" style="1575" customWidth="1"/>
    <col min="15880" max="15880" width="31.140625" style="1575" customWidth="1"/>
    <col min="15881" max="15881" width="18.85546875" style="1575" customWidth="1"/>
    <col min="15882" max="15882" width="25.140625" style="1575" customWidth="1"/>
    <col min="15883" max="15883" width="21.85546875" style="1575" customWidth="1"/>
    <col min="15884" max="15884" width="14.85546875" style="1575" customWidth="1"/>
    <col min="15885" max="15885" width="17.140625" style="1575" customWidth="1"/>
    <col min="15886" max="15886" width="19.85546875" style="1575" customWidth="1"/>
    <col min="15887" max="16127" width="8.85546875" style="1575"/>
    <col min="16128" max="16128" width="24" style="1575" customWidth="1"/>
    <col min="16129" max="16129" width="18.85546875" style="1575" customWidth="1"/>
    <col min="16130" max="16130" width="27.42578125" style="1575" customWidth="1"/>
    <col min="16131" max="16131" width="58.85546875" style="1575" customWidth="1"/>
    <col min="16132" max="16132" width="9.140625" style="1575" customWidth="1"/>
    <col min="16133" max="16133" width="14.85546875" style="1575" customWidth="1"/>
    <col min="16134" max="16134" width="18.85546875" style="1575" customWidth="1"/>
    <col min="16135" max="16135" width="21.140625" style="1575" customWidth="1"/>
    <col min="16136" max="16136" width="31.140625" style="1575" customWidth="1"/>
    <col min="16137" max="16137" width="18.85546875" style="1575" customWidth="1"/>
    <col min="16138" max="16138" width="25.140625" style="1575" customWidth="1"/>
    <col min="16139" max="16139" width="21.85546875" style="1575" customWidth="1"/>
    <col min="16140" max="16140" width="14.85546875" style="1575" customWidth="1"/>
    <col min="16141" max="16141" width="17.140625" style="1575" customWidth="1"/>
    <col min="16142" max="16142" width="19.85546875" style="1575" customWidth="1"/>
    <col min="16143" max="16384" width="8.85546875" style="1575"/>
  </cols>
  <sheetData>
    <row r="1" spans="1:17" s="1566" customFormat="1" ht="13.5" customHeight="1" thickTop="1" x14ac:dyDescent="0.2">
      <c r="A1" s="1966" t="s">
        <v>659</v>
      </c>
      <c r="B1" s="1968"/>
      <c r="C1" s="1968" t="s">
        <v>660</v>
      </c>
      <c r="D1" s="1968" t="s">
        <v>179</v>
      </c>
      <c r="E1" s="1971" t="s">
        <v>1180</v>
      </c>
      <c r="F1" s="1964" t="s">
        <v>661</v>
      </c>
      <c r="G1" s="1964" t="s">
        <v>662</v>
      </c>
      <c r="H1" s="1973" t="s">
        <v>663</v>
      </c>
      <c r="I1" s="1973" t="s">
        <v>664</v>
      </c>
      <c r="J1" s="1973" t="s">
        <v>38</v>
      </c>
      <c r="K1" s="1973" t="s">
        <v>665</v>
      </c>
      <c r="L1" s="1973" t="s">
        <v>666</v>
      </c>
      <c r="M1" s="1973" t="s">
        <v>667</v>
      </c>
      <c r="N1" s="1975" t="s">
        <v>668</v>
      </c>
      <c r="Q1" s="1620" t="s">
        <v>1125</v>
      </c>
    </row>
    <row r="2" spans="1:17" s="1566" customFormat="1" ht="13.5" customHeight="1" x14ac:dyDescent="0.2">
      <c r="A2" s="1967"/>
      <c r="B2" s="1969"/>
      <c r="C2" s="1970"/>
      <c r="D2" s="1969"/>
      <c r="E2" s="1972"/>
      <c r="F2" s="1965"/>
      <c r="G2" s="1965"/>
      <c r="H2" s="1974"/>
      <c r="I2" s="1974"/>
      <c r="J2" s="1974"/>
      <c r="K2" s="1974"/>
      <c r="L2" s="1974"/>
      <c r="M2" s="1974"/>
      <c r="N2" s="1976"/>
      <c r="Q2" s="1620" t="s">
        <v>1126</v>
      </c>
    </row>
    <row r="3" spans="1:17" s="1566" customFormat="1" ht="13.5" customHeight="1" x14ac:dyDescent="0.2">
      <c r="A3" s="1567">
        <v>1</v>
      </c>
      <c r="B3" s="1568">
        <v>1</v>
      </c>
      <c r="C3" s="1806" t="s">
        <v>1385</v>
      </c>
      <c r="D3" s="1568" t="s">
        <v>1211</v>
      </c>
      <c r="E3" s="1726" t="s">
        <v>1212</v>
      </c>
      <c r="F3" s="1239">
        <v>7200</v>
      </c>
      <c r="G3" s="1239">
        <v>7200</v>
      </c>
      <c r="H3" s="1568" t="s">
        <v>1150</v>
      </c>
      <c r="I3" s="1568"/>
      <c r="J3" s="1568" t="s">
        <v>1138</v>
      </c>
      <c r="K3" s="1568" t="s">
        <v>844</v>
      </c>
      <c r="L3" s="1569"/>
      <c r="M3" s="1569"/>
      <c r="N3" s="1570"/>
      <c r="Q3" s="1620" t="s">
        <v>1127</v>
      </c>
    </row>
    <row r="4" spans="1:17" s="1566" customFormat="1" ht="13.5" customHeight="1" x14ac:dyDescent="0.2">
      <c r="A4" s="1571">
        <v>2</v>
      </c>
      <c r="B4" s="1572">
        <v>1</v>
      </c>
      <c r="C4" s="1572" t="s">
        <v>1385</v>
      </c>
      <c r="D4" s="1568" t="s">
        <v>1213</v>
      </c>
      <c r="E4" s="1726" t="s">
        <v>1212</v>
      </c>
      <c r="F4" s="1239">
        <v>3500</v>
      </c>
      <c r="G4" s="1239">
        <v>3500</v>
      </c>
      <c r="H4" s="1572" t="s">
        <v>1152</v>
      </c>
      <c r="I4" s="1572"/>
      <c r="J4" s="1568" t="s">
        <v>1138</v>
      </c>
      <c r="K4" s="1568" t="s">
        <v>844</v>
      </c>
      <c r="L4" s="1573"/>
      <c r="M4" s="1573"/>
      <c r="N4" s="1574"/>
      <c r="Q4" s="1620" t="s">
        <v>1128</v>
      </c>
    </row>
    <row r="5" spans="1:17" s="1566" customFormat="1" ht="13.5" customHeight="1" x14ac:dyDescent="0.2">
      <c r="A5" s="1571">
        <v>3</v>
      </c>
      <c r="B5" s="1572">
        <v>1</v>
      </c>
      <c r="C5" s="1572" t="s">
        <v>1385</v>
      </c>
      <c r="D5" s="1568" t="s">
        <v>1214</v>
      </c>
      <c r="E5" s="1726" t="s">
        <v>1212</v>
      </c>
      <c r="F5" s="1239">
        <v>750</v>
      </c>
      <c r="G5" s="1239">
        <v>750</v>
      </c>
      <c r="H5" s="1572" t="s">
        <v>1153</v>
      </c>
      <c r="I5" s="1572"/>
      <c r="J5" s="1572" t="s">
        <v>1141</v>
      </c>
      <c r="K5" s="1568" t="s">
        <v>844</v>
      </c>
      <c r="L5" s="1573"/>
      <c r="M5" s="1573"/>
      <c r="N5" s="1574"/>
      <c r="Q5" s="1620" t="s">
        <v>1129</v>
      </c>
    </row>
    <row r="6" spans="1:17" s="1566" customFormat="1" ht="13.5" customHeight="1" x14ac:dyDescent="0.2">
      <c r="A6" s="1571">
        <v>4</v>
      </c>
      <c r="B6" s="1572">
        <v>1</v>
      </c>
      <c r="C6" s="1572" t="s">
        <v>1385</v>
      </c>
      <c r="D6" s="1568" t="s">
        <v>1215</v>
      </c>
      <c r="E6" s="1726" t="s">
        <v>1212</v>
      </c>
      <c r="F6" s="1239">
        <v>2500</v>
      </c>
      <c r="G6" s="1239">
        <v>2500</v>
      </c>
      <c r="H6" s="1572" t="s">
        <v>1154</v>
      </c>
      <c r="I6" s="1572"/>
      <c r="J6" s="1568" t="s">
        <v>1138</v>
      </c>
      <c r="K6" s="1568" t="s">
        <v>844</v>
      </c>
      <c r="L6" s="1573"/>
      <c r="M6" s="1573"/>
      <c r="N6" s="1574"/>
      <c r="Q6" s="1620" t="s">
        <v>1130</v>
      </c>
    </row>
    <row r="7" spans="1:17" s="1566" customFormat="1" ht="13.5" customHeight="1" x14ac:dyDescent="0.2">
      <c r="A7" s="1571">
        <v>5</v>
      </c>
      <c r="B7" s="1572">
        <v>1</v>
      </c>
      <c r="C7" s="1572" t="s">
        <v>1385</v>
      </c>
      <c r="D7" s="1568" t="s">
        <v>1216</v>
      </c>
      <c r="E7" s="1726" t="s">
        <v>1212</v>
      </c>
      <c r="F7" s="1239">
        <v>1500</v>
      </c>
      <c r="G7" s="1239">
        <v>1500</v>
      </c>
      <c r="H7" s="1572" t="s">
        <v>1154</v>
      </c>
      <c r="I7" s="1572"/>
      <c r="J7" s="1568" t="s">
        <v>1138</v>
      </c>
      <c r="K7" s="1568" t="s">
        <v>844</v>
      </c>
      <c r="L7" s="1573"/>
      <c r="M7" s="1573"/>
      <c r="N7" s="1574"/>
      <c r="Q7" s="1620" t="s">
        <v>1131</v>
      </c>
    </row>
    <row r="8" spans="1:17" s="1566" customFormat="1" ht="13.5" customHeight="1" x14ac:dyDescent="0.2">
      <c r="A8" s="1571">
        <v>6</v>
      </c>
      <c r="B8" s="1572">
        <v>1</v>
      </c>
      <c r="C8" s="1572" t="s">
        <v>1385</v>
      </c>
      <c r="D8" s="1568" t="s">
        <v>1217</v>
      </c>
      <c r="E8" s="1726" t="s">
        <v>1212</v>
      </c>
      <c r="F8" s="1239">
        <v>2500</v>
      </c>
      <c r="G8" s="1239">
        <v>2500</v>
      </c>
      <c r="H8" s="1572" t="s">
        <v>1153</v>
      </c>
      <c r="I8" s="1572"/>
      <c r="J8" s="1568" t="s">
        <v>1138</v>
      </c>
      <c r="K8" s="1568" t="s">
        <v>844</v>
      </c>
      <c r="L8" s="1573"/>
      <c r="M8" s="1573"/>
      <c r="N8" s="1574"/>
      <c r="Q8" s="1620" t="s">
        <v>1132</v>
      </c>
    </row>
    <row r="9" spans="1:17" s="1566" customFormat="1" ht="13.5" customHeight="1" x14ac:dyDescent="0.2">
      <c r="A9" s="1571">
        <v>7</v>
      </c>
      <c r="B9" s="1572">
        <v>1</v>
      </c>
      <c r="C9" s="1572" t="s">
        <v>1385</v>
      </c>
      <c r="D9" s="1568" t="s">
        <v>1218</v>
      </c>
      <c r="E9" s="1726" t="s">
        <v>1212</v>
      </c>
      <c r="F9" s="1239">
        <v>3000</v>
      </c>
      <c r="G9" s="1239">
        <v>3000</v>
      </c>
      <c r="H9" s="1572" t="s">
        <v>1154</v>
      </c>
      <c r="I9" s="1572"/>
      <c r="J9" s="1572" t="s">
        <v>1141</v>
      </c>
      <c r="K9" s="1568" t="s">
        <v>844</v>
      </c>
      <c r="L9" s="1573"/>
      <c r="M9" s="1573"/>
      <c r="N9" s="1574"/>
      <c r="Q9" s="1620" t="s">
        <v>1133</v>
      </c>
    </row>
    <row r="10" spans="1:17" s="1566" customFormat="1" ht="13.5" customHeight="1" x14ac:dyDescent="0.2">
      <c r="A10" s="1571">
        <v>8</v>
      </c>
      <c r="B10" s="1572">
        <v>1</v>
      </c>
      <c r="C10" s="1572" t="s">
        <v>1385</v>
      </c>
      <c r="D10" s="1568" t="s">
        <v>1219</v>
      </c>
      <c r="E10" s="1726" t="s">
        <v>1212</v>
      </c>
      <c r="F10" s="1239">
        <v>1450</v>
      </c>
      <c r="G10" s="1239">
        <v>1450</v>
      </c>
      <c r="H10" s="1572" t="s">
        <v>1155</v>
      </c>
      <c r="I10" s="1572"/>
      <c r="J10" s="1572" t="s">
        <v>1141</v>
      </c>
      <c r="K10" s="1568" t="s">
        <v>844</v>
      </c>
      <c r="L10" s="1573"/>
      <c r="M10" s="1573"/>
      <c r="N10" s="1574"/>
      <c r="Q10" s="1620" t="s">
        <v>1127</v>
      </c>
    </row>
    <row r="11" spans="1:17" s="1566" customFormat="1" ht="13.5" customHeight="1" x14ac:dyDescent="0.2">
      <c r="A11" s="1571">
        <v>9</v>
      </c>
      <c r="B11" s="1572">
        <v>2</v>
      </c>
      <c r="C11" s="1806" t="s">
        <v>1388</v>
      </c>
      <c r="D11" s="1568" t="s">
        <v>1220</v>
      </c>
      <c r="E11" s="1726" t="s">
        <v>1221</v>
      </c>
      <c r="F11" s="1239">
        <v>6900</v>
      </c>
      <c r="G11" s="1239">
        <v>6900</v>
      </c>
      <c r="H11" s="1568" t="s">
        <v>1150</v>
      </c>
      <c r="I11" s="1572"/>
      <c r="J11" s="1568" t="s">
        <v>1138</v>
      </c>
      <c r="K11" s="1572" t="s">
        <v>906</v>
      </c>
      <c r="L11" s="1573"/>
      <c r="M11" s="1573"/>
      <c r="N11" s="1574"/>
      <c r="Q11" s="1620" t="s">
        <v>1128</v>
      </c>
    </row>
    <row r="12" spans="1:17" s="1566" customFormat="1" ht="13.5" customHeight="1" x14ac:dyDescent="0.2">
      <c r="A12" s="1571">
        <v>10</v>
      </c>
      <c r="B12" s="1572">
        <v>2</v>
      </c>
      <c r="C12" s="1572" t="s">
        <v>1388</v>
      </c>
      <c r="D12" s="1568" t="s">
        <v>1222</v>
      </c>
      <c r="E12" s="1726" t="s">
        <v>1221</v>
      </c>
      <c r="F12" s="1239">
        <v>3500</v>
      </c>
      <c r="G12" s="1239">
        <v>3500</v>
      </c>
      <c r="H12" s="1572" t="s">
        <v>1152</v>
      </c>
      <c r="I12" s="1572"/>
      <c r="J12" s="1568" t="s">
        <v>1138</v>
      </c>
      <c r="K12" s="1572" t="s">
        <v>906</v>
      </c>
      <c r="L12" s="1573"/>
      <c r="M12" s="1573"/>
      <c r="N12" s="1574"/>
      <c r="Q12" s="1620" t="s">
        <v>1129</v>
      </c>
    </row>
    <row r="13" spans="1:17" s="1566" customFormat="1" ht="13.5" customHeight="1" x14ac:dyDescent="0.2">
      <c r="A13" s="1571">
        <v>11</v>
      </c>
      <c r="B13" s="1572">
        <v>2</v>
      </c>
      <c r="C13" s="1572" t="s">
        <v>1388</v>
      </c>
      <c r="D13" s="1568" t="s">
        <v>1223</v>
      </c>
      <c r="E13" s="1726" t="s">
        <v>1221</v>
      </c>
      <c r="F13" s="1239">
        <v>1500</v>
      </c>
      <c r="G13" s="1239">
        <v>1500</v>
      </c>
      <c r="H13" s="1572" t="s">
        <v>1153</v>
      </c>
      <c r="I13" s="1572"/>
      <c r="J13" s="1572" t="s">
        <v>1141</v>
      </c>
      <c r="K13" s="1572" t="s">
        <v>906</v>
      </c>
      <c r="L13" s="1573"/>
      <c r="M13" s="1573"/>
      <c r="N13" s="1574"/>
      <c r="Q13" s="1620" t="s">
        <v>1130</v>
      </c>
    </row>
    <row r="14" spans="1:17" s="1566" customFormat="1" ht="13.5" customHeight="1" x14ac:dyDescent="0.2">
      <c r="A14" s="1571">
        <v>12</v>
      </c>
      <c r="B14" s="1572">
        <v>2</v>
      </c>
      <c r="C14" s="1572" t="s">
        <v>1388</v>
      </c>
      <c r="D14" s="1568" t="s">
        <v>1224</v>
      </c>
      <c r="E14" s="1726" t="s">
        <v>1221</v>
      </c>
      <c r="F14" s="1239">
        <v>2500</v>
      </c>
      <c r="G14" s="1239">
        <v>2500</v>
      </c>
      <c r="H14" s="1572" t="s">
        <v>1154</v>
      </c>
      <c r="I14" s="1572"/>
      <c r="J14" s="1568" t="s">
        <v>1138</v>
      </c>
      <c r="K14" s="1572" t="s">
        <v>906</v>
      </c>
      <c r="L14" s="1573"/>
      <c r="M14" s="1573"/>
      <c r="N14" s="1574"/>
      <c r="Q14" s="1620" t="s">
        <v>1131</v>
      </c>
    </row>
    <row r="15" spans="1:17" s="1566" customFormat="1" ht="13.5" customHeight="1" x14ac:dyDescent="0.2">
      <c r="A15" s="1571">
        <v>13</v>
      </c>
      <c r="B15" s="1572">
        <v>2</v>
      </c>
      <c r="C15" s="1572" t="s">
        <v>1388</v>
      </c>
      <c r="D15" s="1568" t="s">
        <v>1225</v>
      </c>
      <c r="E15" s="1726" t="s">
        <v>1221</v>
      </c>
      <c r="F15" s="1239">
        <v>2500</v>
      </c>
      <c r="G15" s="1239">
        <v>2500</v>
      </c>
      <c r="H15" s="1572" t="s">
        <v>1153</v>
      </c>
      <c r="I15" s="1572"/>
      <c r="J15" s="1568" t="s">
        <v>1138</v>
      </c>
      <c r="K15" s="1572" t="s">
        <v>906</v>
      </c>
      <c r="L15" s="1573"/>
      <c r="M15" s="1573"/>
      <c r="N15" s="1574"/>
      <c r="Q15" s="1620" t="s">
        <v>1132</v>
      </c>
    </row>
    <row r="16" spans="1:17" s="1566" customFormat="1" ht="13.5" customHeight="1" x14ac:dyDescent="0.2">
      <c r="A16" s="1571">
        <v>14</v>
      </c>
      <c r="B16" s="1572">
        <v>2</v>
      </c>
      <c r="C16" s="1572" t="s">
        <v>1388</v>
      </c>
      <c r="D16" s="1568" t="s">
        <v>1226</v>
      </c>
      <c r="E16" s="1726" t="s">
        <v>1221</v>
      </c>
      <c r="F16" s="1239">
        <v>3000</v>
      </c>
      <c r="G16" s="1239">
        <v>3000</v>
      </c>
      <c r="H16" s="1572" t="s">
        <v>1154</v>
      </c>
      <c r="I16" s="1572"/>
      <c r="J16" s="1572" t="s">
        <v>1141</v>
      </c>
      <c r="K16" s="1572" t="s">
        <v>906</v>
      </c>
      <c r="L16" s="1573"/>
      <c r="M16" s="1573"/>
      <c r="N16" s="1574"/>
      <c r="Q16" s="1620" t="s">
        <v>1133</v>
      </c>
    </row>
    <row r="17" spans="1:17" s="1566" customFormat="1" ht="13.5" customHeight="1" x14ac:dyDescent="0.2">
      <c r="A17" s="1571">
        <v>15</v>
      </c>
      <c r="B17" s="1572">
        <v>2</v>
      </c>
      <c r="C17" s="1572" t="s">
        <v>1388</v>
      </c>
      <c r="D17" s="1568" t="s">
        <v>1227</v>
      </c>
      <c r="E17" s="1726" t="s">
        <v>1221</v>
      </c>
      <c r="F17" s="1239">
        <v>2850</v>
      </c>
      <c r="G17" s="1239">
        <v>2850</v>
      </c>
      <c r="H17" s="1572" t="s">
        <v>1155</v>
      </c>
      <c r="I17" s="1572"/>
      <c r="J17" s="1572" t="s">
        <v>1141</v>
      </c>
      <c r="K17" s="1572" t="s">
        <v>906</v>
      </c>
      <c r="L17" s="1573"/>
      <c r="M17" s="1573"/>
      <c r="N17" s="1574"/>
      <c r="Q17" s="1620" t="s">
        <v>1134</v>
      </c>
    </row>
    <row r="18" spans="1:17" s="1566" customFormat="1" ht="13.5" customHeight="1" x14ac:dyDescent="0.2">
      <c r="A18" s="1571">
        <v>16</v>
      </c>
      <c r="B18" s="1572">
        <v>3</v>
      </c>
      <c r="C18" s="1806" t="s">
        <v>1388</v>
      </c>
      <c r="D18" s="1568" t="s">
        <v>1220</v>
      </c>
      <c r="E18" s="1726" t="s">
        <v>1228</v>
      </c>
      <c r="F18" s="1239">
        <v>6900</v>
      </c>
      <c r="G18" s="1239">
        <v>6900</v>
      </c>
      <c r="H18" s="1568" t="s">
        <v>1150</v>
      </c>
      <c r="I18" s="1572"/>
      <c r="J18" s="1568" t="s">
        <v>1138</v>
      </c>
      <c r="K18" s="1572" t="s">
        <v>906</v>
      </c>
      <c r="L18" s="1573"/>
      <c r="M18" s="1573"/>
      <c r="N18" s="1574"/>
      <c r="Q18" s="1620" t="s">
        <v>1135</v>
      </c>
    </row>
    <row r="19" spans="1:17" s="1566" customFormat="1" ht="13.5" customHeight="1" x14ac:dyDescent="0.2">
      <c r="A19" s="1571">
        <v>17</v>
      </c>
      <c r="B19" s="1572">
        <v>3</v>
      </c>
      <c r="C19" s="1572" t="s">
        <v>1388</v>
      </c>
      <c r="D19" s="1568" t="s">
        <v>1222</v>
      </c>
      <c r="E19" s="1726" t="s">
        <v>1228</v>
      </c>
      <c r="F19" s="1239">
        <v>3500</v>
      </c>
      <c r="G19" s="1239">
        <v>3500</v>
      </c>
      <c r="H19" s="1572" t="s">
        <v>1152</v>
      </c>
      <c r="I19" s="1572"/>
      <c r="J19" s="1568" t="s">
        <v>1138</v>
      </c>
      <c r="K19" s="1572" t="s">
        <v>906</v>
      </c>
      <c r="L19" s="1573"/>
      <c r="M19" s="1573"/>
      <c r="N19" s="1574"/>
      <c r="Q19" s="1620" t="s">
        <v>1136</v>
      </c>
    </row>
    <row r="20" spans="1:17" s="1566" customFormat="1" ht="13.5" customHeight="1" x14ac:dyDescent="0.2">
      <c r="A20" s="1571">
        <v>18</v>
      </c>
      <c r="B20" s="1572">
        <v>3</v>
      </c>
      <c r="C20" s="1572" t="s">
        <v>1388</v>
      </c>
      <c r="D20" s="1568" t="s">
        <v>1223</v>
      </c>
      <c r="E20" s="1726" t="s">
        <v>1228</v>
      </c>
      <c r="F20" s="1239">
        <v>1500</v>
      </c>
      <c r="G20" s="1239">
        <v>1500</v>
      </c>
      <c r="H20" s="1572" t="s">
        <v>1153</v>
      </c>
      <c r="I20" s="1572"/>
      <c r="J20" s="1572" t="s">
        <v>1141</v>
      </c>
      <c r="K20" s="1572" t="s">
        <v>906</v>
      </c>
      <c r="L20" s="1573"/>
      <c r="M20" s="1573"/>
      <c r="N20" s="1574"/>
      <c r="Q20" s="1620" t="s">
        <v>1137</v>
      </c>
    </row>
    <row r="21" spans="1:17" s="1566" customFormat="1" ht="13.5" customHeight="1" x14ac:dyDescent="0.2">
      <c r="A21" s="1571">
        <v>19</v>
      </c>
      <c r="B21" s="1572">
        <v>3</v>
      </c>
      <c r="C21" s="1572" t="s">
        <v>1388</v>
      </c>
      <c r="D21" s="1568" t="s">
        <v>1224</v>
      </c>
      <c r="E21" s="1726" t="s">
        <v>1228</v>
      </c>
      <c r="F21" s="1239">
        <v>2500</v>
      </c>
      <c r="G21" s="1239">
        <v>2500</v>
      </c>
      <c r="H21" s="1572" t="s">
        <v>1154</v>
      </c>
      <c r="I21" s="1572"/>
      <c r="J21" s="1568" t="s">
        <v>1138</v>
      </c>
      <c r="K21" s="1572" t="s">
        <v>906</v>
      </c>
      <c r="L21" s="1573"/>
      <c r="M21" s="1573"/>
      <c r="N21" s="1574"/>
      <c r="Q21" s="1620" t="s">
        <v>1138</v>
      </c>
    </row>
    <row r="22" spans="1:17" s="1566" customFormat="1" ht="13.5" customHeight="1" x14ac:dyDescent="0.2">
      <c r="A22" s="1571">
        <v>20</v>
      </c>
      <c r="B22" s="1572">
        <v>3</v>
      </c>
      <c r="C22" s="1572" t="s">
        <v>1388</v>
      </c>
      <c r="D22" s="1568" t="s">
        <v>1225</v>
      </c>
      <c r="E22" s="1726" t="s">
        <v>1228</v>
      </c>
      <c r="F22" s="1239">
        <v>2500</v>
      </c>
      <c r="G22" s="1239">
        <v>2500</v>
      </c>
      <c r="H22" s="1572" t="s">
        <v>1153</v>
      </c>
      <c r="I22" s="1572"/>
      <c r="J22" s="1568" t="s">
        <v>1138</v>
      </c>
      <c r="K22" s="1572" t="s">
        <v>906</v>
      </c>
      <c r="L22" s="1573"/>
      <c r="M22" s="1573"/>
      <c r="N22" s="1574"/>
      <c r="Q22" s="1620" t="s">
        <v>1139</v>
      </c>
    </row>
    <row r="23" spans="1:17" s="1566" customFormat="1" ht="13.5" customHeight="1" x14ac:dyDescent="0.2">
      <c r="A23" s="1571">
        <v>21</v>
      </c>
      <c r="B23" s="1572">
        <v>3</v>
      </c>
      <c r="C23" s="1572" t="s">
        <v>1388</v>
      </c>
      <c r="D23" s="1568" t="s">
        <v>1226</v>
      </c>
      <c r="E23" s="1726" t="s">
        <v>1228</v>
      </c>
      <c r="F23" s="1239">
        <v>3000</v>
      </c>
      <c r="G23" s="1239">
        <v>3000</v>
      </c>
      <c r="H23" s="1572" t="s">
        <v>1154</v>
      </c>
      <c r="I23" s="1572"/>
      <c r="J23" s="1572" t="s">
        <v>1141</v>
      </c>
      <c r="K23" s="1572" t="s">
        <v>906</v>
      </c>
      <c r="L23" s="1573"/>
      <c r="M23" s="1573"/>
      <c r="N23" s="1574"/>
      <c r="Q23" s="1620" t="s">
        <v>1140</v>
      </c>
    </row>
    <row r="24" spans="1:17" s="1566" customFormat="1" ht="13.5" customHeight="1" x14ac:dyDescent="0.2">
      <c r="A24" s="1571">
        <v>22</v>
      </c>
      <c r="B24" s="1572">
        <v>3</v>
      </c>
      <c r="C24" s="1572" t="s">
        <v>1388</v>
      </c>
      <c r="D24" s="1568" t="s">
        <v>1227</v>
      </c>
      <c r="E24" s="1726" t="s">
        <v>1228</v>
      </c>
      <c r="F24" s="1239">
        <v>2850</v>
      </c>
      <c r="G24" s="1239">
        <v>2850</v>
      </c>
      <c r="H24" s="1572" t="s">
        <v>1155</v>
      </c>
      <c r="I24" s="1572"/>
      <c r="J24" s="1572" t="s">
        <v>1141</v>
      </c>
      <c r="K24" s="1572" t="s">
        <v>906</v>
      </c>
      <c r="L24" s="1573"/>
      <c r="M24" s="1573"/>
      <c r="N24" s="1574"/>
      <c r="Q24" s="1620" t="s">
        <v>1141</v>
      </c>
    </row>
    <row r="25" spans="1:17" s="1566" customFormat="1" ht="13.5" customHeight="1" x14ac:dyDescent="0.2">
      <c r="A25" s="1571">
        <v>23</v>
      </c>
      <c r="B25" s="1572">
        <v>4</v>
      </c>
      <c r="C25" s="1806" t="s">
        <v>1386</v>
      </c>
      <c r="D25" s="1568" t="s">
        <v>1229</v>
      </c>
      <c r="E25" s="1726" t="s">
        <v>1230</v>
      </c>
      <c r="F25" s="1239">
        <v>8100</v>
      </c>
      <c r="G25" s="1239">
        <v>8100</v>
      </c>
      <c r="H25" s="1568" t="s">
        <v>1150</v>
      </c>
      <c r="I25" s="1572"/>
      <c r="J25" s="1568" t="s">
        <v>1138</v>
      </c>
      <c r="K25" s="1572" t="s">
        <v>1022</v>
      </c>
      <c r="L25" s="1573"/>
      <c r="M25" s="1573"/>
      <c r="N25" s="1574"/>
      <c r="Q25" s="1620" t="s">
        <v>1142</v>
      </c>
    </row>
    <row r="26" spans="1:17" s="1566" customFormat="1" ht="13.5" customHeight="1" x14ac:dyDescent="0.2">
      <c r="A26" s="1571">
        <v>24</v>
      </c>
      <c r="B26" s="1572">
        <v>4</v>
      </c>
      <c r="C26" s="1572" t="s">
        <v>1386</v>
      </c>
      <c r="D26" s="1568" t="s">
        <v>1231</v>
      </c>
      <c r="E26" s="1726" t="s">
        <v>1230</v>
      </c>
      <c r="F26" s="1239">
        <v>3500</v>
      </c>
      <c r="G26" s="1239">
        <v>3500</v>
      </c>
      <c r="H26" s="1572" t="s">
        <v>1152</v>
      </c>
      <c r="I26" s="1572"/>
      <c r="J26" s="1568" t="s">
        <v>1138</v>
      </c>
      <c r="K26" s="1572" t="s">
        <v>1022</v>
      </c>
      <c r="L26" s="1573"/>
      <c r="M26" s="1573"/>
      <c r="N26" s="1574"/>
      <c r="Q26" s="1620" t="s">
        <v>1143</v>
      </c>
    </row>
    <row r="27" spans="1:17" s="1566" customFormat="1" ht="13.5" customHeight="1" x14ac:dyDescent="0.2">
      <c r="A27" s="1571">
        <v>25</v>
      </c>
      <c r="B27" s="1572">
        <v>4</v>
      </c>
      <c r="C27" s="1572" t="s">
        <v>1386</v>
      </c>
      <c r="D27" s="1568" t="s">
        <v>1232</v>
      </c>
      <c r="E27" s="1726" t="s">
        <v>1230</v>
      </c>
      <c r="F27" s="1239">
        <v>1000</v>
      </c>
      <c r="G27" s="1239">
        <v>1000</v>
      </c>
      <c r="H27" s="1572" t="s">
        <v>1153</v>
      </c>
      <c r="I27" s="1572"/>
      <c r="J27" s="1572" t="s">
        <v>1141</v>
      </c>
      <c r="K27" s="1572" t="s">
        <v>1022</v>
      </c>
      <c r="L27" s="1573"/>
      <c r="M27" s="1573"/>
      <c r="N27" s="1574"/>
      <c r="Q27" s="1620" t="s">
        <v>1144</v>
      </c>
    </row>
    <row r="28" spans="1:17" s="1566" customFormat="1" ht="13.5" customHeight="1" x14ac:dyDescent="0.2">
      <c r="A28" s="1571">
        <v>26</v>
      </c>
      <c r="B28" s="1572">
        <v>4</v>
      </c>
      <c r="C28" s="1572" t="s">
        <v>1386</v>
      </c>
      <c r="D28" s="1568" t="s">
        <v>1233</v>
      </c>
      <c r="E28" s="1726" t="s">
        <v>1230</v>
      </c>
      <c r="F28" s="1239">
        <v>2500</v>
      </c>
      <c r="G28" s="1239">
        <v>2500</v>
      </c>
      <c r="H28" s="1572" t="s">
        <v>1154</v>
      </c>
      <c r="I28" s="1572"/>
      <c r="J28" s="1568" t="s">
        <v>1138</v>
      </c>
      <c r="K28" s="1572" t="s">
        <v>1022</v>
      </c>
      <c r="L28" s="1573"/>
      <c r="M28" s="1573"/>
      <c r="N28" s="1574"/>
      <c r="Q28" s="1620" t="s">
        <v>1145</v>
      </c>
    </row>
    <row r="29" spans="1:17" s="1566" customFormat="1" ht="13.5" customHeight="1" x14ac:dyDescent="0.2">
      <c r="A29" s="1571">
        <v>27</v>
      </c>
      <c r="B29" s="1572">
        <v>4</v>
      </c>
      <c r="C29" s="1572" t="s">
        <v>1386</v>
      </c>
      <c r="D29" s="1568" t="s">
        <v>1234</v>
      </c>
      <c r="E29" s="1726" t="s">
        <v>1230</v>
      </c>
      <c r="F29" s="1239">
        <v>2500</v>
      </c>
      <c r="G29" s="1239">
        <v>2500</v>
      </c>
      <c r="H29" s="1572" t="s">
        <v>1153</v>
      </c>
      <c r="I29" s="1572"/>
      <c r="J29" s="1568" t="s">
        <v>1138</v>
      </c>
      <c r="K29" s="1572" t="s">
        <v>1022</v>
      </c>
      <c r="L29" s="1573"/>
      <c r="M29" s="1573"/>
      <c r="N29" s="1574"/>
      <c r="Q29" s="1620" t="s">
        <v>1146</v>
      </c>
    </row>
    <row r="30" spans="1:17" s="1566" customFormat="1" ht="13.5" customHeight="1" x14ac:dyDescent="0.2">
      <c r="A30" s="1571">
        <v>28</v>
      </c>
      <c r="B30" s="1572">
        <v>4</v>
      </c>
      <c r="C30" s="1572" t="s">
        <v>1386</v>
      </c>
      <c r="D30" s="1568" t="s">
        <v>1235</v>
      </c>
      <c r="E30" s="1726" t="s">
        <v>1230</v>
      </c>
      <c r="F30" s="1239">
        <v>3000</v>
      </c>
      <c r="G30" s="1239">
        <v>3000</v>
      </c>
      <c r="H30" s="1572" t="s">
        <v>1154</v>
      </c>
      <c r="I30" s="1572"/>
      <c r="J30" s="1572" t="s">
        <v>1141</v>
      </c>
      <c r="K30" s="1572" t="s">
        <v>1022</v>
      </c>
      <c r="L30" s="1573"/>
      <c r="M30" s="1573"/>
      <c r="N30" s="1574"/>
    </row>
    <row r="31" spans="1:17" s="1566" customFormat="1" ht="13.5" customHeight="1" x14ac:dyDescent="0.2">
      <c r="A31" s="1571">
        <v>29</v>
      </c>
      <c r="B31" s="1572">
        <v>4</v>
      </c>
      <c r="C31" s="1572" t="s">
        <v>1386</v>
      </c>
      <c r="D31" s="1568" t="s">
        <v>1236</v>
      </c>
      <c r="E31" s="1726" t="s">
        <v>1230</v>
      </c>
      <c r="F31" s="1239">
        <v>1450</v>
      </c>
      <c r="G31" s="1239">
        <v>1450</v>
      </c>
      <c r="H31" s="1572" t="s">
        <v>1155</v>
      </c>
      <c r="I31" s="1572"/>
      <c r="J31" s="1572" t="s">
        <v>1141</v>
      </c>
      <c r="K31" s="1572" t="s">
        <v>1022</v>
      </c>
      <c r="L31" s="1573"/>
      <c r="M31" s="1573"/>
      <c r="N31" s="1574"/>
    </row>
    <row r="32" spans="1:17" s="1566" customFormat="1" ht="13.5" customHeight="1" x14ac:dyDescent="0.2">
      <c r="A32" s="1571">
        <v>30</v>
      </c>
      <c r="B32" s="1572">
        <v>5</v>
      </c>
      <c r="C32" s="1806" t="s">
        <v>1386</v>
      </c>
      <c r="D32" s="1568" t="s">
        <v>1229</v>
      </c>
      <c r="E32" s="1726" t="s">
        <v>1237</v>
      </c>
      <c r="F32" s="1239">
        <v>8100</v>
      </c>
      <c r="G32" s="1239">
        <v>8100</v>
      </c>
      <c r="H32" s="1568" t="s">
        <v>1150</v>
      </c>
      <c r="I32" s="1572"/>
      <c r="J32" s="1568" t="s">
        <v>1138</v>
      </c>
      <c r="K32" s="1572" t="s">
        <v>1022</v>
      </c>
      <c r="L32" s="1573"/>
      <c r="M32" s="1573"/>
      <c r="N32" s="1574"/>
      <c r="Q32" s="1620" t="s">
        <v>1147</v>
      </c>
    </row>
    <row r="33" spans="1:17" s="1566" customFormat="1" ht="13.5" customHeight="1" x14ac:dyDescent="0.2">
      <c r="A33" s="1571">
        <v>31</v>
      </c>
      <c r="B33" s="1572">
        <v>5</v>
      </c>
      <c r="C33" s="1572" t="s">
        <v>1386</v>
      </c>
      <c r="D33" s="1568" t="s">
        <v>1231</v>
      </c>
      <c r="E33" s="1726" t="s">
        <v>1237</v>
      </c>
      <c r="F33" s="1239">
        <v>3500</v>
      </c>
      <c r="G33" s="1239">
        <v>3500</v>
      </c>
      <c r="H33" s="1572" t="s">
        <v>1152</v>
      </c>
      <c r="I33" s="1572"/>
      <c r="J33" s="1568" t="s">
        <v>1138</v>
      </c>
      <c r="K33" s="1572" t="s">
        <v>1022</v>
      </c>
      <c r="L33" s="1573"/>
      <c r="M33" s="1573"/>
      <c r="N33" s="1574"/>
      <c r="Q33" s="1620" t="s">
        <v>1148</v>
      </c>
    </row>
    <row r="34" spans="1:17" s="1566" customFormat="1" ht="13.5" customHeight="1" x14ac:dyDescent="0.2">
      <c r="A34" s="1571">
        <v>32</v>
      </c>
      <c r="B34" s="1572">
        <v>5</v>
      </c>
      <c r="C34" s="1572" t="s">
        <v>1386</v>
      </c>
      <c r="D34" s="1568" t="s">
        <v>1232</v>
      </c>
      <c r="E34" s="1726" t="s">
        <v>1237</v>
      </c>
      <c r="F34" s="1239">
        <v>1000</v>
      </c>
      <c r="G34" s="1239">
        <v>1000</v>
      </c>
      <c r="H34" s="1572" t="s">
        <v>1153</v>
      </c>
      <c r="I34" s="1572"/>
      <c r="J34" s="1572" t="s">
        <v>1141</v>
      </c>
      <c r="K34" s="1572" t="s">
        <v>1022</v>
      </c>
      <c r="L34" s="1573"/>
      <c r="M34" s="1573"/>
      <c r="N34" s="1574"/>
      <c r="Q34" s="1620" t="s">
        <v>1149</v>
      </c>
    </row>
    <row r="35" spans="1:17" s="1566" customFormat="1" ht="13.5" customHeight="1" x14ac:dyDescent="0.2">
      <c r="A35" s="1571">
        <v>33</v>
      </c>
      <c r="B35" s="1572">
        <v>5</v>
      </c>
      <c r="C35" s="1572" t="s">
        <v>1386</v>
      </c>
      <c r="D35" s="1568" t="s">
        <v>1233</v>
      </c>
      <c r="E35" s="1726" t="s">
        <v>1237</v>
      </c>
      <c r="F35" s="1239">
        <v>2500</v>
      </c>
      <c r="G35" s="1239">
        <v>2500</v>
      </c>
      <c r="H35" s="1572" t="s">
        <v>1154</v>
      </c>
      <c r="I35" s="1572"/>
      <c r="J35" s="1568" t="s">
        <v>1138</v>
      </c>
      <c r="K35" s="1572" t="s">
        <v>1022</v>
      </c>
      <c r="L35" s="1573"/>
      <c r="M35" s="1573"/>
      <c r="N35" s="1574"/>
      <c r="Q35" s="1620" t="s">
        <v>1150</v>
      </c>
    </row>
    <row r="36" spans="1:17" s="1566" customFormat="1" ht="13.5" customHeight="1" x14ac:dyDescent="0.2">
      <c r="A36" s="1571">
        <v>34</v>
      </c>
      <c r="B36" s="1572">
        <v>5</v>
      </c>
      <c r="C36" s="1572" t="s">
        <v>1386</v>
      </c>
      <c r="D36" s="1568" t="s">
        <v>1234</v>
      </c>
      <c r="E36" s="1726" t="s">
        <v>1237</v>
      </c>
      <c r="F36" s="1239">
        <v>2500</v>
      </c>
      <c r="G36" s="1239">
        <v>2500</v>
      </c>
      <c r="H36" s="1572" t="s">
        <v>1153</v>
      </c>
      <c r="I36" s="1572"/>
      <c r="J36" s="1568" t="s">
        <v>1138</v>
      </c>
      <c r="K36" s="1572" t="s">
        <v>1022</v>
      </c>
      <c r="L36" s="1573"/>
      <c r="M36" s="1573"/>
      <c r="N36" s="1574"/>
      <c r="Q36" s="1620" t="s">
        <v>1151</v>
      </c>
    </row>
    <row r="37" spans="1:17" s="1566" customFormat="1" ht="13.5" customHeight="1" x14ac:dyDescent="0.2">
      <c r="A37" s="1571">
        <v>35</v>
      </c>
      <c r="B37" s="1572">
        <v>5</v>
      </c>
      <c r="C37" s="1572" t="s">
        <v>1386</v>
      </c>
      <c r="D37" s="1568" t="s">
        <v>1235</v>
      </c>
      <c r="E37" s="1726" t="s">
        <v>1237</v>
      </c>
      <c r="F37" s="1239">
        <v>3000</v>
      </c>
      <c r="G37" s="1239">
        <v>3000</v>
      </c>
      <c r="H37" s="1572" t="s">
        <v>1154</v>
      </c>
      <c r="I37" s="1572"/>
      <c r="J37" s="1572" t="s">
        <v>1141</v>
      </c>
      <c r="K37" s="1572" t="s">
        <v>1022</v>
      </c>
      <c r="L37" s="1573"/>
      <c r="M37" s="1573"/>
      <c r="N37" s="1574"/>
      <c r="Q37" s="1620" t="s">
        <v>1152</v>
      </c>
    </row>
    <row r="38" spans="1:17" s="1566" customFormat="1" ht="13.5" customHeight="1" x14ac:dyDescent="0.2">
      <c r="A38" s="1571">
        <v>36</v>
      </c>
      <c r="B38" s="1572">
        <v>5</v>
      </c>
      <c r="C38" s="1572" t="s">
        <v>1386</v>
      </c>
      <c r="D38" s="1568" t="s">
        <v>1236</v>
      </c>
      <c r="E38" s="1726" t="s">
        <v>1237</v>
      </c>
      <c r="F38" s="1239">
        <v>1450</v>
      </c>
      <c r="G38" s="1239">
        <v>1450</v>
      </c>
      <c r="H38" s="1572" t="s">
        <v>1155</v>
      </c>
      <c r="I38" s="1572"/>
      <c r="J38" s="1572" t="s">
        <v>1141</v>
      </c>
      <c r="K38" s="1572" t="s">
        <v>1022</v>
      </c>
      <c r="L38" s="1573"/>
      <c r="M38" s="1573"/>
      <c r="N38" s="1574"/>
      <c r="Q38" s="1620" t="s">
        <v>1153</v>
      </c>
    </row>
    <row r="39" spans="1:17" s="1566" customFormat="1" ht="13.5" customHeight="1" x14ac:dyDescent="0.2">
      <c r="A39" s="1571">
        <v>37</v>
      </c>
      <c r="B39" s="1572">
        <v>6</v>
      </c>
      <c r="C39" s="1806" t="s">
        <v>1387</v>
      </c>
      <c r="D39" s="1568" t="s">
        <v>1238</v>
      </c>
      <c r="E39" s="1726" t="s">
        <v>1239</v>
      </c>
      <c r="F39" s="1239">
        <v>7400</v>
      </c>
      <c r="G39" s="1239">
        <v>7400</v>
      </c>
      <c r="H39" s="1568" t="s">
        <v>1150</v>
      </c>
      <c r="I39" s="1572"/>
      <c r="J39" s="1568" t="s">
        <v>1138</v>
      </c>
      <c r="K39" s="1572" t="s">
        <v>844</v>
      </c>
      <c r="L39" s="1573"/>
      <c r="M39" s="1573"/>
      <c r="N39" s="1574"/>
      <c r="Q39" s="1620" t="s">
        <v>1154</v>
      </c>
    </row>
    <row r="40" spans="1:17" s="1566" customFormat="1" ht="13.5" customHeight="1" x14ac:dyDescent="0.2">
      <c r="A40" s="1571">
        <v>38</v>
      </c>
      <c r="B40" s="1572">
        <v>6</v>
      </c>
      <c r="C40" s="1572" t="s">
        <v>1387</v>
      </c>
      <c r="D40" s="1568" t="s">
        <v>1240</v>
      </c>
      <c r="E40" s="1726" t="s">
        <v>1239</v>
      </c>
      <c r="F40" s="1239">
        <v>3500</v>
      </c>
      <c r="G40" s="1239">
        <v>3500</v>
      </c>
      <c r="H40" s="1572" t="s">
        <v>1152</v>
      </c>
      <c r="I40" s="1572"/>
      <c r="J40" s="1568" t="s">
        <v>1138</v>
      </c>
      <c r="K40" s="1572" t="s">
        <v>844</v>
      </c>
      <c r="L40" s="1573"/>
      <c r="M40" s="1573"/>
      <c r="N40" s="1574"/>
      <c r="Q40" s="1620" t="s">
        <v>1155</v>
      </c>
    </row>
    <row r="41" spans="1:17" s="1566" customFormat="1" ht="13.5" customHeight="1" x14ac:dyDescent="0.2">
      <c r="A41" s="1571">
        <v>39</v>
      </c>
      <c r="B41" s="1572">
        <v>6</v>
      </c>
      <c r="C41" s="1572" t="s">
        <v>1387</v>
      </c>
      <c r="D41" s="1568" t="s">
        <v>1241</v>
      </c>
      <c r="E41" s="1726" t="s">
        <v>1239</v>
      </c>
      <c r="F41" s="1239">
        <v>750</v>
      </c>
      <c r="G41" s="1239">
        <v>750</v>
      </c>
      <c r="H41" s="1572" t="s">
        <v>1153</v>
      </c>
      <c r="I41" s="1572"/>
      <c r="J41" s="1572" t="s">
        <v>1141</v>
      </c>
      <c r="K41" s="1572" t="s">
        <v>844</v>
      </c>
      <c r="L41" s="1573"/>
      <c r="M41" s="1573"/>
      <c r="N41" s="1574"/>
      <c r="Q41" s="1620" t="s">
        <v>1156</v>
      </c>
    </row>
    <row r="42" spans="1:17" s="1566" customFormat="1" ht="13.5" customHeight="1" x14ac:dyDescent="0.2">
      <c r="A42" s="1571">
        <v>40</v>
      </c>
      <c r="B42" s="1572">
        <v>6</v>
      </c>
      <c r="C42" s="1572" t="s">
        <v>1387</v>
      </c>
      <c r="D42" s="1568" t="s">
        <v>1242</v>
      </c>
      <c r="E42" s="1726" t="s">
        <v>1239</v>
      </c>
      <c r="F42" s="1239">
        <v>2500</v>
      </c>
      <c r="G42" s="1239">
        <v>2500</v>
      </c>
      <c r="H42" s="1572" t="s">
        <v>1154</v>
      </c>
      <c r="I42" s="1572"/>
      <c r="J42" s="1568" t="s">
        <v>1138</v>
      </c>
      <c r="K42" s="1572" t="s">
        <v>844</v>
      </c>
      <c r="L42" s="1573"/>
      <c r="M42" s="1573"/>
      <c r="N42" s="1574"/>
      <c r="Q42" s="1620" t="s">
        <v>1157</v>
      </c>
    </row>
    <row r="43" spans="1:17" s="1566" customFormat="1" ht="13.5" customHeight="1" x14ac:dyDescent="0.2">
      <c r="A43" s="1571">
        <v>41</v>
      </c>
      <c r="B43" s="1572">
        <v>6</v>
      </c>
      <c r="C43" s="1572" t="s">
        <v>1387</v>
      </c>
      <c r="D43" s="1568" t="s">
        <v>1243</v>
      </c>
      <c r="E43" s="1726" t="s">
        <v>1239</v>
      </c>
      <c r="F43" s="1239">
        <v>1500</v>
      </c>
      <c r="G43" s="1239">
        <v>1500</v>
      </c>
      <c r="H43" s="1572" t="s">
        <v>1154</v>
      </c>
      <c r="I43" s="1572"/>
      <c r="J43" s="1568" t="s">
        <v>1138</v>
      </c>
      <c r="K43" s="1572" t="s">
        <v>844</v>
      </c>
      <c r="L43" s="1573"/>
      <c r="M43" s="1573"/>
      <c r="N43" s="1574"/>
      <c r="Q43" s="1620" t="s">
        <v>1158</v>
      </c>
    </row>
    <row r="44" spans="1:17" s="1566" customFormat="1" ht="13.5" customHeight="1" x14ac:dyDescent="0.2">
      <c r="A44" s="1571">
        <v>42</v>
      </c>
      <c r="B44" s="1572">
        <v>6</v>
      </c>
      <c r="C44" s="1572" t="s">
        <v>1387</v>
      </c>
      <c r="D44" s="1568" t="s">
        <v>1244</v>
      </c>
      <c r="E44" s="1726" t="s">
        <v>1239</v>
      </c>
      <c r="F44" s="1239">
        <v>2500</v>
      </c>
      <c r="G44" s="1239">
        <v>2500</v>
      </c>
      <c r="H44" s="1572" t="s">
        <v>1153</v>
      </c>
      <c r="I44" s="1572"/>
      <c r="J44" s="1568" t="s">
        <v>1138</v>
      </c>
      <c r="K44" s="1572" t="s">
        <v>844</v>
      </c>
      <c r="L44" s="1573"/>
      <c r="M44" s="1573"/>
      <c r="N44" s="1574"/>
      <c r="Q44" s="1620" t="s">
        <v>1159</v>
      </c>
    </row>
    <row r="45" spans="1:17" s="1566" customFormat="1" ht="13.5" customHeight="1" x14ac:dyDescent="0.2">
      <c r="A45" s="1571">
        <v>43</v>
      </c>
      <c r="B45" s="1572">
        <v>6</v>
      </c>
      <c r="C45" s="1572" t="s">
        <v>1387</v>
      </c>
      <c r="D45" s="1568" t="s">
        <v>1245</v>
      </c>
      <c r="E45" s="1726" t="s">
        <v>1239</v>
      </c>
      <c r="F45" s="1239">
        <v>3000</v>
      </c>
      <c r="G45" s="1239">
        <v>3000</v>
      </c>
      <c r="H45" s="1572" t="s">
        <v>1154</v>
      </c>
      <c r="I45" s="1572"/>
      <c r="J45" s="1572" t="s">
        <v>1141</v>
      </c>
      <c r="K45" s="1572" t="s">
        <v>844</v>
      </c>
      <c r="L45" s="1573"/>
      <c r="M45" s="1573"/>
      <c r="N45" s="1574"/>
      <c r="Q45" s="1620" t="s">
        <v>1160</v>
      </c>
    </row>
    <row r="46" spans="1:17" s="1566" customFormat="1" ht="13.5" customHeight="1" x14ac:dyDescent="0.2">
      <c r="A46" s="1571">
        <v>44</v>
      </c>
      <c r="B46" s="1572">
        <v>6</v>
      </c>
      <c r="C46" s="1572" t="s">
        <v>1387</v>
      </c>
      <c r="D46" s="1568" t="s">
        <v>1246</v>
      </c>
      <c r="E46" s="1726" t="s">
        <v>1239</v>
      </c>
      <c r="F46" s="1239">
        <v>1450</v>
      </c>
      <c r="G46" s="1239">
        <v>1450</v>
      </c>
      <c r="H46" s="1572" t="s">
        <v>1155</v>
      </c>
      <c r="I46" s="1572"/>
      <c r="J46" s="1572" t="s">
        <v>1141</v>
      </c>
      <c r="K46" s="1572" t="s">
        <v>844</v>
      </c>
      <c r="L46" s="1573"/>
      <c r="M46" s="1573"/>
      <c r="N46" s="1574"/>
      <c r="Q46" s="1620" t="s">
        <v>1161</v>
      </c>
    </row>
    <row r="47" spans="1:17" s="1566" customFormat="1" ht="13.5" customHeight="1" x14ac:dyDescent="0.2">
      <c r="A47" s="1571">
        <v>45</v>
      </c>
      <c r="B47" s="1572">
        <v>7</v>
      </c>
      <c r="C47" s="1806" t="s">
        <v>1389</v>
      </c>
      <c r="D47" s="1568" t="s">
        <v>1238</v>
      </c>
      <c r="E47" s="1726" t="s">
        <v>1247</v>
      </c>
      <c r="F47" s="1239">
        <v>7400</v>
      </c>
      <c r="G47" s="1239">
        <v>7400</v>
      </c>
      <c r="H47" s="1568" t="s">
        <v>1150</v>
      </c>
      <c r="I47" s="1572"/>
      <c r="J47" s="1568" t="s">
        <v>1138</v>
      </c>
      <c r="K47" s="1572" t="s">
        <v>844</v>
      </c>
      <c r="L47" s="1573"/>
      <c r="M47" s="1573"/>
      <c r="N47" s="1574"/>
      <c r="Q47" s="1620" t="s">
        <v>1162</v>
      </c>
    </row>
    <row r="48" spans="1:17" s="1566" customFormat="1" ht="13.5" customHeight="1" x14ac:dyDescent="0.2">
      <c r="A48" s="1571">
        <v>46</v>
      </c>
      <c r="B48" s="1572">
        <v>7</v>
      </c>
      <c r="C48" s="1572" t="s">
        <v>1389</v>
      </c>
      <c r="D48" s="1568" t="s">
        <v>1240</v>
      </c>
      <c r="E48" s="1726" t="s">
        <v>1247</v>
      </c>
      <c r="F48" s="1239">
        <v>3500</v>
      </c>
      <c r="G48" s="1239">
        <v>3500</v>
      </c>
      <c r="H48" s="1572" t="s">
        <v>1152</v>
      </c>
      <c r="I48" s="1572"/>
      <c r="J48" s="1568" t="s">
        <v>1138</v>
      </c>
      <c r="K48" s="1572" t="s">
        <v>844</v>
      </c>
      <c r="L48" s="1573"/>
      <c r="M48" s="1573"/>
      <c r="N48" s="1574"/>
      <c r="Q48" s="1620" t="s">
        <v>1163</v>
      </c>
    </row>
    <row r="49" spans="1:17" s="1566" customFormat="1" ht="13.5" customHeight="1" x14ac:dyDescent="0.2">
      <c r="A49" s="1571">
        <v>47</v>
      </c>
      <c r="B49" s="1572">
        <v>7</v>
      </c>
      <c r="C49" s="1572" t="s">
        <v>1389</v>
      </c>
      <c r="D49" s="1568" t="s">
        <v>1241</v>
      </c>
      <c r="E49" s="1726" t="s">
        <v>1247</v>
      </c>
      <c r="F49" s="1239">
        <v>750</v>
      </c>
      <c r="G49" s="1239">
        <v>750</v>
      </c>
      <c r="H49" s="1572" t="s">
        <v>1153</v>
      </c>
      <c r="I49" s="1572"/>
      <c r="J49" s="1572" t="s">
        <v>1141</v>
      </c>
      <c r="K49" s="1572" t="s">
        <v>844</v>
      </c>
      <c r="L49" s="1573"/>
      <c r="M49" s="1573"/>
      <c r="N49" s="1574"/>
      <c r="Q49" s="1620" t="s">
        <v>1164</v>
      </c>
    </row>
    <row r="50" spans="1:17" s="1566" customFormat="1" ht="13.5" customHeight="1" x14ac:dyDescent="0.2">
      <c r="A50" s="1571">
        <v>48</v>
      </c>
      <c r="B50" s="1572">
        <v>7</v>
      </c>
      <c r="C50" s="1572" t="s">
        <v>1389</v>
      </c>
      <c r="D50" s="1568" t="s">
        <v>1242</v>
      </c>
      <c r="E50" s="1726" t="s">
        <v>1247</v>
      </c>
      <c r="F50" s="1239">
        <v>2500</v>
      </c>
      <c r="G50" s="1239">
        <v>2500</v>
      </c>
      <c r="H50" s="1572" t="s">
        <v>1154</v>
      </c>
      <c r="I50" s="1572"/>
      <c r="J50" s="1568" t="s">
        <v>1138</v>
      </c>
      <c r="K50" s="1572" t="s">
        <v>844</v>
      </c>
      <c r="L50" s="1573"/>
      <c r="M50" s="1573"/>
      <c r="N50" s="1574"/>
      <c r="Q50" s="1620" t="s">
        <v>1165</v>
      </c>
    </row>
    <row r="51" spans="1:17" s="1566" customFormat="1" ht="13.5" customHeight="1" x14ac:dyDescent="0.2">
      <c r="A51" s="1571">
        <v>49</v>
      </c>
      <c r="B51" s="1572">
        <v>7</v>
      </c>
      <c r="C51" s="1572" t="s">
        <v>1389</v>
      </c>
      <c r="D51" s="1568" t="s">
        <v>1243</v>
      </c>
      <c r="E51" s="1726" t="s">
        <v>1247</v>
      </c>
      <c r="F51" s="1239">
        <v>1500</v>
      </c>
      <c r="G51" s="1239">
        <v>1500</v>
      </c>
      <c r="H51" s="1572" t="s">
        <v>1154</v>
      </c>
      <c r="I51" s="1572"/>
      <c r="J51" s="1568" t="s">
        <v>1138</v>
      </c>
      <c r="K51" s="1572" t="s">
        <v>844</v>
      </c>
      <c r="L51" s="1573"/>
      <c r="M51" s="1573"/>
      <c r="N51" s="1574"/>
      <c r="Q51" s="1620" t="s">
        <v>1166</v>
      </c>
    </row>
    <row r="52" spans="1:17" s="1566" customFormat="1" ht="13.5" customHeight="1" x14ac:dyDescent="0.2">
      <c r="A52" s="1571">
        <v>50</v>
      </c>
      <c r="B52" s="1572">
        <v>7</v>
      </c>
      <c r="C52" s="1572" t="s">
        <v>1389</v>
      </c>
      <c r="D52" s="1568" t="s">
        <v>1244</v>
      </c>
      <c r="E52" s="1726" t="s">
        <v>1247</v>
      </c>
      <c r="F52" s="1239">
        <v>2500</v>
      </c>
      <c r="G52" s="1239">
        <v>2500</v>
      </c>
      <c r="H52" s="1572" t="s">
        <v>1153</v>
      </c>
      <c r="I52" s="1572"/>
      <c r="J52" s="1568" t="s">
        <v>1138</v>
      </c>
      <c r="K52" s="1572" t="s">
        <v>844</v>
      </c>
      <c r="L52" s="1573"/>
      <c r="M52" s="1573"/>
      <c r="N52" s="1574"/>
      <c r="Q52" s="1620" t="s">
        <v>1167</v>
      </c>
    </row>
    <row r="53" spans="1:17" s="1566" customFormat="1" ht="13.5" customHeight="1" x14ac:dyDescent="0.2">
      <c r="A53" s="1571">
        <v>51</v>
      </c>
      <c r="B53" s="1572">
        <v>7</v>
      </c>
      <c r="C53" s="1572" t="s">
        <v>1389</v>
      </c>
      <c r="D53" s="1568" t="s">
        <v>1245</v>
      </c>
      <c r="E53" s="1726" t="s">
        <v>1247</v>
      </c>
      <c r="F53" s="1239">
        <v>3000</v>
      </c>
      <c r="G53" s="1239">
        <v>3000</v>
      </c>
      <c r="H53" s="1572" t="s">
        <v>1154</v>
      </c>
      <c r="I53" s="1572"/>
      <c r="J53" s="1572" t="s">
        <v>1141</v>
      </c>
      <c r="K53" s="1572" t="s">
        <v>844</v>
      </c>
      <c r="L53" s="1573"/>
      <c r="M53" s="1573"/>
      <c r="N53" s="1574"/>
      <c r="Q53" s="1620" t="s">
        <v>1168</v>
      </c>
    </row>
    <row r="54" spans="1:17" s="1566" customFormat="1" ht="13.5" customHeight="1" x14ac:dyDescent="0.2">
      <c r="A54" s="1571">
        <v>52</v>
      </c>
      <c r="B54" s="1572">
        <v>7</v>
      </c>
      <c r="C54" s="1572" t="s">
        <v>1389</v>
      </c>
      <c r="D54" s="1568" t="s">
        <v>1248</v>
      </c>
      <c r="E54" s="1726" t="s">
        <v>1247</v>
      </c>
      <c r="F54" s="1239">
        <v>1450</v>
      </c>
      <c r="G54" s="1239">
        <v>1450</v>
      </c>
      <c r="H54" s="1572" t="s">
        <v>1155</v>
      </c>
      <c r="I54" s="1572"/>
      <c r="J54" s="1572" t="s">
        <v>1141</v>
      </c>
      <c r="K54" s="1572" t="s">
        <v>844</v>
      </c>
      <c r="L54" s="1573"/>
      <c r="M54" s="1573"/>
      <c r="N54" s="1574"/>
      <c r="Q54" s="1620" t="s">
        <v>1169</v>
      </c>
    </row>
    <row r="55" spans="1:17" s="1566" customFormat="1" ht="13.5" customHeight="1" x14ac:dyDescent="0.2">
      <c r="A55" s="1571">
        <v>53</v>
      </c>
      <c r="B55" s="1572">
        <v>8</v>
      </c>
      <c r="C55" s="1806" t="s">
        <v>1390</v>
      </c>
      <c r="D55" s="1568" t="s">
        <v>1249</v>
      </c>
      <c r="E55" s="1726" t="s">
        <v>1250</v>
      </c>
      <c r="F55" s="1239">
        <v>5800</v>
      </c>
      <c r="G55" s="1239">
        <v>5800</v>
      </c>
      <c r="H55" s="1568" t="s">
        <v>1150</v>
      </c>
      <c r="I55" s="1572"/>
      <c r="J55" s="1568" t="s">
        <v>1138</v>
      </c>
      <c r="K55" s="1572" t="s">
        <v>905</v>
      </c>
      <c r="L55" s="1573"/>
      <c r="M55" s="1573"/>
      <c r="N55" s="1574"/>
      <c r="Q55" s="1620" t="s">
        <v>1170</v>
      </c>
    </row>
    <row r="56" spans="1:17" s="1566" customFormat="1" ht="13.5" customHeight="1" x14ac:dyDescent="0.2">
      <c r="A56" s="1571">
        <v>54</v>
      </c>
      <c r="B56" s="1572">
        <v>8</v>
      </c>
      <c r="C56" s="1572" t="s">
        <v>1390</v>
      </c>
      <c r="D56" s="1568" t="s">
        <v>1251</v>
      </c>
      <c r="E56" s="1726" t="s">
        <v>1250</v>
      </c>
      <c r="F56" s="1239">
        <v>3500</v>
      </c>
      <c r="G56" s="1239">
        <v>3500</v>
      </c>
      <c r="H56" s="1572" t="s">
        <v>1152</v>
      </c>
      <c r="I56" s="1572"/>
      <c r="J56" s="1568" t="s">
        <v>1138</v>
      </c>
      <c r="K56" s="1572" t="s">
        <v>905</v>
      </c>
      <c r="L56" s="1573"/>
      <c r="M56" s="1573"/>
      <c r="N56" s="1574"/>
      <c r="Q56" s="1620" t="s">
        <v>1171</v>
      </c>
    </row>
    <row r="57" spans="1:17" s="1566" customFormat="1" ht="13.5" customHeight="1" x14ac:dyDescent="0.2">
      <c r="A57" s="1571">
        <v>55</v>
      </c>
      <c r="B57" s="1572">
        <v>8</v>
      </c>
      <c r="C57" s="1572" t="s">
        <v>1390</v>
      </c>
      <c r="D57" s="1568" t="s">
        <v>1252</v>
      </c>
      <c r="E57" s="1726" t="s">
        <v>1250</v>
      </c>
      <c r="F57" s="1239">
        <v>500</v>
      </c>
      <c r="G57" s="1239">
        <v>500</v>
      </c>
      <c r="H57" s="1572" t="s">
        <v>1153</v>
      </c>
      <c r="I57" s="1572"/>
      <c r="J57" s="1572" t="s">
        <v>1141</v>
      </c>
      <c r="K57" s="1572" t="s">
        <v>905</v>
      </c>
      <c r="L57" s="1573"/>
      <c r="M57" s="1573"/>
      <c r="N57" s="1574"/>
      <c r="Q57" s="1620" t="s">
        <v>1172</v>
      </c>
    </row>
    <row r="58" spans="1:17" s="1566" customFormat="1" ht="13.5" customHeight="1" x14ac:dyDescent="0.2">
      <c r="A58" s="1571">
        <v>56</v>
      </c>
      <c r="B58" s="1572">
        <v>8</v>
      </c>
      <c r="C58" s="1572" t="s">
        <v>1390</v>
      </c>
      <c r="D58" s="1568" t="s">
        <v>1253</v>
      </c>
      <c r="E58" s="1726" t="s">
        <v>1250</v>
      </c>
      <c r="F58" s="1239">
        <v>2500</v>
      </c>
      <c r="G58" s="1239">
        <v>2500</v>
      </c>
      <c r="H58" s="1572" t="s">
        <v>1154</v>
      </c>
      <c r="I58" s="1572"/>
      <c r="J58" s="1568" t="s">
        <v>1138</v>
      </c>
      <c r="K58" s="1572" t="s">
        <v>905</v>
      </c>
      <c r="L58" s="1573"/>
      <c r="M58" s="1573"/>
      <c r="N58" s="1574"/>
      <c r="Q58" s="1620" t="s">
        <v>1173</v>
      </c>
    </row>
    <row r="59" spans="1:17" s="1566" customFormat="1" ht="13.5" customHeight="1" x14ac:dyDescent="0.2">
      <c r="A59" s="1571">
        <v>57</v>
      </c>
      <c r="B59" s="1572">
        <v>8</v>
      </c>
      <c r="C59" s="1572" t="s">
        <v>1390</v>
      </c>
      <c r="D59" s="1568" t="s">
        <v>1254</v>
      </c>
      <c r="E59" s="1726" t="s">
        <v>1250</v>
      </c>
      <c r="F59" s="1239">
        <v>2500</v>
      </c>
      <c r="G59" s="1239">
        <v>2500</v>
      </c>
      <c r="H59" s="1572" t="s">
        <v>1153</v>
      </c>
      <c r="I59" s="1572"/>
      <c r="J59" s="1568" t="s">
        <v>1138</v>
      </c>
      <c r="K59" s="1572" t="s">
        <v>905</v>
      </c>
      <c r="L59" s="1573"/>
      <c r="M59" s="1573"/>
      <c r="N59" s="1574"/>
      <c r="Q59" s="1620" t="s">
        <v>1174</v>
      </c>
    </row>
    <row r="60" spans="1:17" s="1566" customFormat="1" ht="13.5" customHeight="1" x14ac:dyDescent="0.2">
      <c r="A60" s="1571">
        <v>58</v>
      </c>
      <c r="B60" s="1572">
        <v>8</v>
      </c>
      <c r="C60" s="1572" t="s">
        <v>1390</v>
      </c>
      <c r="D60" s="1568" t="s">
        <v>1255</v>
      </c>
      <c r="E60" s="1726" t="s">
        <v>1250</v>
      </c>
      <c r="F60" s="1239">
        <v>3000</v>
      </c>
      <c r="G60" s="1239">
        <v>3000</v>
      </c>
      <c r="H60" s="1572" t="s">
        <v>1154</v>
      </c>
      <c r="I60" s="1572"/>
      <c r="J60" s="1572" t="s">
        <v>1141</v>
      </c>
      <c r="K60" s="1572" t="s">
        <v>905</v>
      </c>
      <c r="L60" s="1573"/>
      <c r="M60" s="1573"/>
      <c r="N60" s="1574"/>
      <c r="Q60" s="1620" t="s">
        <v>1175</v>
      </c>
    </row>
    <row r="61" spans="1:17" s="1566" customFormat="1" ht="13.5" customHeight="1" x14ac:dyDescent="0.2">
      <c r="A61" s="1571">
        <v>59</v>
      </c>
      <c r="B61" s="1572">
        <v>8</v>
      </c>
      <c r="C61" s="1572" t="s">
        <v>1390</v>
      </c>
      <c r="D61" s="1568" t="s">
        <v>1256</v>
      </c>
      <c r="E61" s="1726" t="s">
        <v>1250</v>
      </c>
      <c r="F61" s="1239">
        <v>1450</v>
      </c>
      <c r="G61" s="1239">
        <v>1450</v>
      </c>
      <c r="H61" s="1572" t="s">
        <v>1155</v>
      </c>
      <c r="I61" s="1572"/>
      <c r="J61" s="1572" t="s">
        <v>1141</v>
      </c>
      <c r="K61" s="1572" t="s">
        <v>905</v>
      </c>
      <c r="L61" s="1573"/>
      <c r="M61" s="1573"/>
      <c r="N61" s="1574"/>
      <c r="Q61" s="1620" t="s">
        <v>1176</v>
      </c>
    </row>
    <row r="62" spans="1:17" s="1566" customFormat="1" ht="13.5" customHeight="1" x14ac:dyDescent="0.2">
      <c r="A62" s="1571">
        <v>60</v>
      </c>
      <c r="B62" s="1572">
        <v>9</v>
      </c>
      <c r="C62" s="1806" t="s">
        <v>1392</v>
      </c>
      <c r="D62" s="1568" t="s">
        <v>1257</v>
      </c>
      <c r="E62" s="1726" t="s">
        <v>1258</v>
      </c>
      <c r="F62" s="1239">
        <v>6700</v>
      </c>
      <c r="G62" s="1239">
        <v>6700</v>
      </c>
      <c r="H62" s="1568" t="s">
        <v>1150</v>
      </c>
      <c r="I62" s="1572"/>
      <c r="J62" s="1568" t="s">
        <v>1138</v>
      </c>
      <c r="K62" s="1572" t="s">
        <v>906</v>
      </c>
      <c r="L62" s="1573"/>
      <c r="M62" s="1573"/>
      <c r="N62" s="1574"/>
      <c r="Q62" s="1620" t="s">
        <v>1177</v>
      </c>
    </row>
    <row r="63" spans="1:17" s="1566" customFormat="1" ht="13.5" customHeight="1" x14ac:dyDescent="0.2">
      <c r="A63" s="1571">
        <v>61</v>
      </c>
      <c r="B63" s="1572">
        <v>9</v>
      </c>
      <c r="C63" s="1572" t="s">
        <v>1392</v>
      </c>
      <c r="D63" s="1568" t="s">
        <v>1259</v>
      </c>
      <c r="E63" s="1726" t="s">
        <v>1258</v>
      </c>
      <c r="F63" s="1239">
        <v>3500</v>
      </c>
      <c r="G63" s="1239">
        <v>3500</v>
      </c>
      <c r="H63" s="1572" t="s">
        <v>1152</v>
      </c>
      <c r="I63" s="1572"/>
      <c r="J63" s="1568" t="s">
        <v>1138</v>
      </c>
      <c r="K63" s="1572" t="s">
        <v>906</v>
      </c>
      <c r="L63" s="1573"/>
      <c r="M63" s="1573"/>
      <c r="N63" s="1574"/>
      <c r="Q63" s="1620" t="s">
        <v>1178</v>
      </c>
    </row>
    <row r="64" spans="1:17" s="1566" customFormat="1" ht="13.5" customHeight="1" x14ac:dyDescent="0.2">
      <c r="A64" s="1571">
        <v>62</v>
      </c>
      <c r="B64" s="1572">
        <v>9</v>
      </c>
      <c r="C64" s="1572" t="s">
        <v>1392</v>
      </c>
      <c r="D64" s="1568" t="s">
        <v>1260</v>
      </c>
      <c r="E64" s="1726" t="s">
        <v>1258</v>
      </c>
      <c r="F64" s="1239">
        <v>1500</v>
      </c>
      <c r="G64" s="1239">
        <v>1500</v>
      </c>
      <c r="H64" s="1572" t="s">
        <v>1153</v>
      </c>
      <c r="I64" s="1572"/>
      <c r="J64" s="1572" t="s">
        <v>1141</v>
      </c>
      <c r="K64" s="1572" t="s">
        <v>906</v>
      </c>
      <c r="L64" s="1573"/>
      <c r="M64" s="1573"/>
      <c r="N64" s="1574"/>
      <c r="Q64" s="1620" t="s">
        <v>1179</v>
      </c>
    </row>
    <row r="65" spans="1:14" s="1566" customFormat="1" ht="13.5" customHeight="1" x14ac:dyDescent="0.2">
      <c r="A65" s="1571">
        <v>63</v>
      </c>
      <c r="B65" s="1572">
        <v>9</v>
      </c>
      <c r="C65" s="1572" t="s">
        <v>1392</v>
      </c>
      <c r="D65" s="1568" t="s">
        <v>1261</v>
      </c>
      <c r="E65" s="1726" t="s">
        <v>1258</v>
      </c>
      <c r="F65" s="1239">
        <v>2500</v>
      </c>
      <c r="G65" s="1239">
        <v>2500</v>
      </c>
      <c r="H65" s="1572" t="s">
        <v>1154</v>
      </c>
      <c r="I65" s="1572"/>
      <c r="J65" s="1568" t="s">
        <v>1138</v>
      </c>
      <c r="K65" s="1572" t="s">
        <v>906</v>
      </c>
      <c r="L65" s="1573"/>
      <c r="M65" s="1573"/>
      <c r="N65" s="1574"/>
    </row>
    <row r="66" spans="1:14" s="1566" customFormat="1" ht="13.5" customHeight="1" x14ac:dyDescent="0.2">
      <c r="A66" s="1571">
        <v>64</v>
      </c>
      <c r="B66" s="1572">
        <v>9</v>
      </c>
      <c r="C66" s="1572" t="s">
        <v>1392</v>
      </c>
      <c r="D66" s="1568" t="s">
        <v>1262</v>
      </c>
      <c r="E66" s="1726" t="s">
        <v>1258</v>
      </c>
      <c r="F66" s="1239">
        <v>2500</v>
      </c>
      <c r="G66" s="1239">
        <v>2500</v>
      </c>
      <c r="H66" s="1572" t="s">
        <v>1153</v>
      </c>
      <c r="I66" s="1572"/>
      <c r="J66" s="1568" t="s">
        <v>1138</v>
      </c>
      <c r="K66" s="1572" t="s">
        <v>906</v>
      </c>
      <c r="L66" s="1573"/>
      <c r="M66" s="1573"/>
      <c r="N66" s="1574"/>
    </row>
    <row r="67" spans="1:14" s="1566" customFormat="1" ht="13.5" customHeight="1" x14ac:dyDescent="0.2">
      <c r="A67" s="1571">
        <v>65</v>
      </c>
      <c r="B67" s="1572">
        <v>9</v>
      </c>
      <c r="C67" s="1572" t="s">
        <v>1392</v>
      </c>
      <c r="D67" s="1568" t="s">
        <v>1263</v>
      </c>
      <c r="E67" s="1726" t="s">
        <v>1258</v>
      </c>
      <c r="F67" s="1239">
        <v>3000</v>
      </c>
      <c r="G67" s="1239">
        <v>3000</v>
      </c>
      <c r="H67" s="1572" t="s">
        <v>1154</v>
      </c>
      <c r="I67" s="1572"/>
      <c r="J67" s="1572" t="s">
        <v>1141</v>
      </c>
      <c r="K67" s="1572" t="s">
        <v>906</v>
      </c>
      <c r="L67" s="1573"/>
      <c r="M67" s="1573"/>
      <c r="N67" s="1574"/>
    </row>
    <row r="68" spans="1:14" s="1566" customFormat="1" ht="13.5" customHeight="1" x14ac:dyDescent="0.2">
      <c r="A68" s="1571">
        <v>66</v>
      </c>
      <c r="B68" s="1572">
        <v>9</v>
      </c>
      <c r="C68" s="1572" t="s">
        <v>1392</v>
      </c>
      <c r="D68" s="1568" t="s">
        <v>1264</v>
      </c>
      <c r="E68" s="1726" t="s">
        <v>1258</v>
      </c>
      <c r="F68" s="1239">
        <v>2850</v>
      </c>
      <c r="G68" s="1239">
        <v>2850</v>
      </c>
      <c r="H68" s="1572" t="s">
        <v>1155</v>
      </c>
      <c r="I68" s="1572"/>
      <c r="J68" s="1572" t="s">
        <v>1141</v>
      </c>
      <c r="K68" s="1572" t="s">
        <v>906</v>
      </c>
      <c r="L68" s="1573"/>
      <c r="M68" s="1573"/>
      <c r="N68" s="1574"/>
    </row>
    <row r="69" spans="1:14" s="1566" customFormat="1" ht="13.5" customHeight="1" x14ac:dyDescent="0.2">
      <c r="A69" s="1571">
        <v>67</v>
      </c>
      <c r="B69" s="1572">
        <v>10</v>
      </c>
      <c r="C69" s="1806" t="s">
        <v>1393</v>
      </c>
      <c r="D69" s="1568" t="s">
        <v>1265</v>
      </c>
      <c r="E69" s="1726" t="s">
        <v>1239</v>
      </c>
      <c r="F69" s="1239">
        <v>7100</v>
      </c>
      <c r="G69" s="1239">
        <v>7100</v>
      </c>
      <c r="H69" s="1568" t="s">
        <v>1150</v>
      </c>
      <c r="I69" s="1572"/>
      <c r="J69" s="1568" t="s">
        <v>1138</v>
      </c>
      <c r="K69" s="1572" t="s">
        <v>871</v>
      </c>
      <c r="L69" s="1573"/>
      <c r="M69" s="1573"/>
      <c r="N69" s="1574"/>
    </row>
    <row r="70" spans="1:14" s="1566" customFormat="1" ht="13.5" customHeight="1" x14ac:dyDescent="0.2">
      <c r="A70" s="1571">
        <v>68</v>
      </c>
      <c r="B70" s="1572">
        <v>10</v>
      </c>
      <c r="C70" s="1572" t="s">
        <v>1393</v>
      </c>
      <c r="D70" s="1568" t="s">
        <v>1266</v>
      </c>
      <c r="E70" s="1726" t="s">
        <v>1239</v>
      </c>
      <c r="F70" s="1239">
        <v>3500</v>
      </c>
      <c r="G70" s="1239">
        <v>3500</v>
      </c>
      <c r="H70" s="1572" t="s">
        <v>1152</v>
      </c>
      <c r="I70" s="1572"/>
      <c r="J70" s="1568" t="s">
        <v>1138</v>
      </c>
      <c r="K70" s="1572" t="s">
        <v>871</v>
      </c>
      <c r="L70" s="1573"/>
      <c r="M70" s="1573"/>
      <c r="N70" s="1574"/>
    </row>
    <row r="71" spans="1:14" x14ac:dyDescent="0.2">
      <c r="A71" s="1571">
        <v>69</v>
      </c>
      <c r="B71" s="1572">
        <v>10</v>
      </c>
      <c r="C71" s="1572" t="s">
        <v>1393</v>
      </c>
      <c r="D71" s="1568" t="s">
        <v>1267</v>
      </c>
      <c r="E71" s="1726" t="s">
        <v>1239</v>
      </c>
      <c r="F71" s="1239">
        <v>1500</v>
      </c>
      <c r="G71" s="1239">
        <v>1500</v>
      </c>
      <c r="H71" s="1572" t="s">
        <v>1153</v>
      </c>
      <c r="I71" s="1572"/>
      <c r="J71" s="1572" t="s">
        <v>1141</v>
      </c>
      <c r="K71" s="1572" t="s">
        <v>871</v>
      </c>
      <c r="L71" s="1573"/>
      <c r="M71" s="1573"/>
      <c r="N71" s="1574"/>
    </row>
    <row r="72" spans="1:14" x14ac:dyDescent="0.2">
      <c r="A72" s="1571">
        <v>70</v>
      </c>
      <c r="B72" s="1572">
        <v>10</v>
      </c>
      <c r="C72" s="1572" t="s">
        <v>1393</v>
      </c>
      <c r="D72" s="1568" t="s">
        <v>1268</v>
      </c>
      <c r="E72" s="1726" t="s">
        <v>1239</v>
      </c>
      <c r="F72" s="1239">
        <v>2500</v>
      </c>
      <c r="G72" s="1239">
        <v>2500</v>
      </c>
      <c r="H72" s="1572" t="s">
        <v>1154</v>
      </c>
      <c r="I72" s="1572"/>
      <c r="J72" s="1568" t="s">
        <v>1138</v>
      </c>
      <c r="K72" s="1572" t="s">
        <v>871</v>
      </c>
      <c r="L72" s="1573"/>
      <c r="M72" s="1573"/>
      <c r="N72" s="1574"/>
    </row>
    <row r="73" spans="1:14" x14ac:dyDescent="0.2">
      <c r="A73" s="1571">
        <v>71</v>
      </c>
      <c r="B73" s="1572">
        <v>10</v>
      </c>
      <c r="C73" s="1572" t="s">
        <v>1393</v>
      </c>
      <c r="D73" s="1568" t="s">
        <v>1269</v>
      </c>
      <c r="E73" s="1726" t="s">
        <v>1239</v>
      </c>
      <c r="F73" s="1239">
        <v>2500</v>
      </c>
      <c r="G73" s="1239">
        <v>2500</v>
      </c>
      <c r="H73" s="1572" t="s">
        <v>1153</v>
      </c>
      <c r="I73" s="1572"/>
      <c r="J73" s="1568" t="s">
        <v>1138</v>
      </c>
      <c r="K73" s="1572" t="s">
        <v>871</v>
      </c>
      <c r="L73" s="1573"/>
      <c r="M73" s="1573"/>
      <c r="N73" s="1574"/>
    </row>
    <row r="74" spans="1:14" x14ac:dyDescent="0.2">
      <c r="A74" s="1571">
        <v>72</v>
      </c>
      <c r="B74" s="1572">
        <v>10</v>
      </c>
      <c r="C74" s="1572" t="s">
        <v>1393</v>
      </c>
      <c r="D74" s="1568" t="s">
        <v>1270</v>
      </c>
      <c r="E74" s="1726" t="s">
        <v>1239</v>
      </c>
      <c r="F74" s="1239">
        <v>3000</v>
      </c>
      <c r="G74" s="1239">
        <v>3000</v>
      </c>
      <c r="H74" s="1572" t="s">
        <v>1154</v>
      </c>
      <c r="I74" s="1572"/>
      <c r="J74" s="1572" t="s">
        <v>1141</v>
      </c>
      <c r="K74" s="1572" t="s">
        <v>871</v>
      </c>
      <c r="L74" s="1573"/>
      <c r="M74" s="1573"/>
      <c r="N74" s="1574"/>
    </row>
    <row r="75" spans="1:14" x14ac:dyDescent="0.2">
      <c r="A75" s="1571">
        <v>73</v>
      </c>
      <c r="B75" s="1572">
        <v>10</v>
      </c>
      <c r="C75" s="1572" t="s">
        <v>1393</v>
      </c>
      <c r="D75" s="1568" t="s">
        <v>1271</v>
      </c>
      <c r="E75" s="1726" t="s">
        <v>1239</v>
      </c>
      <c r="F75" s="1239">
        <v>2850</v>
      </c>
      <c r="G75" s="1239">
        <v>2850</v>
      </c>
      <c r="H75" s="1572" t="s">
        <v>1155</v>
      </c>
      <c r="I75" s="1572"/>
      <c r="J75" s="1572" t="s">
        <v>1141</v>
      </c>
      <c r="K75" s="1572" t="s">
        <v>871</v>
      </c>
      <c r="L75" s="1573"/>
      <c r="M75" s="1573"/>
      <c r="N75" s="1574"/>
    </row>
    <row r="76" spans="1:14" x14ac:dyDescent="0.2">
      <c r="A76" s="1571">
        <v>74</v>
      </c>
      <c r="B76" s="1572">
        <v>11</v>
      </c>
      <c r="C76" s="1806" t="s">
        <v>1391</v>
      </c>
      <c r="D76" s="1568" t="s">
        <v>1272</v>
      </c>
      <c r="E76" s="1726" t="s">
        <v>1247</v>
      </c>
      <c r="F76" s="1239">
        <v>7100</v>
      </c>
      <c r="G76" s="1239">
        <v>7100</v>
      </c>
      <c r="H76" s="1568" t="s">
        <v>1150</v>
      </c>
      <c r="I76" s="1572"/>
      <c r="J76" s="1568" t="s">
        <v>1138</v>
      </c>
      <c r="K76" s="1572" t="s">
        <v>871</v>
      </c>
      <c r="L76" s="1573"/>
      <c r="M76" s="1573"/>
      <c r="N76" s="1574"/>
    </row>
    <row r="77" spans="1:14" x14ac:dyDescent="0.2">
      <c r="A77" s="1571">
        <v>75</v>
      </c>
      <c r="B77" s="1572">
        <v>11</v>
      </c>
      <c r="C77" s="1572" t="s">
        <v>1391</v>
      </c>
      <c r="D77" s="1568" t="s">
        <v>1266</v>
      </c>
      <c r="E77" s="1726" t="s">
        <v>1247</v>
      </c>
      <c r="F77" s="1239">
        <v>3500</v>
      </c>
      <c r="G77" s="1239">
        <v>3500</v>
      </c>
      <c r="H77" s="1572" t="s">
        <v>1152</v>
      </c>
      <c r="I77" s="1572"/>
      <c r="J77" s="1568" t="s">
        <v>1138</v>
      </c>
      <c r="K77" s="1572" t="s">
        <v>871</v>
      </c>
      <c r="L77" s="1573"/>
      <c r="M77" s="1573"/>
      <c r="N77" s="1574"/>
    </row>
    <row r="78" spans="1:14" x14ac:dyDescent="0.2">
      <c r="A78" s="1571">
        <v>76</v>
      </c>
      <c r="B78" s="1572">
        <v>11</v>
      </c>
      <c r="C78" s="1572" t="s">
        <v>1391</v>
      </c>
      <c r="D78" s="1568" t="s">
        <v>1267</v>
      </c>
      <c r="E78" s="1726" t="s">
        <v>1247</v>
      </c>
      <c r="F78" s="1239">
        <v>1500</v>
      </c>
      <c r="G78" s="1239">
        <v>1500</v>
      </c>
      <c r="H78" s="1572" t="s">
        <v>1153</v>
      </c>
      <c r="I78" s="1572"/>
      <c r="J78" s="1572" t="s">
        <v>1141</v>
      </c>
      <c r="K78" s="1572" t="s">
        <v>871</v>
      </c>
      <c r="L78" s="1573"/>
      <c r="M78" s="1573"/>
      <c r="N78" s="1574"/>
    </row>
    <row r="79" spans="1:14" x14ac:dyDescent="0.2">
      <c r="A79" s="1571">
        <v>77</v>
      </c>
      <c r="B79" s="1572">
        <v>11</v>
      </c>
      <c r="C79" s="1572" t="s">
        <v>1391</v>
      </c>
      <c r="D79" s="1568" t="s">
        <v>1268</v>
      </c>
      <c r="E79" s="1726" t="s">
        <v>1247</v>
      </c>
      <c r="F79" s="1239">
        <v>2500</v>
      </c>
      <c r="G79" s="1239">
        <v>2500</v>
      </c>
      <c r="H79" s="1572" t="s">
        <v>1154</v>
      </c>
      <c r="I79" s="1572"/>
      <c r="J79" s="1568" t="s">
        <v>1138</v>
      </c>
      <c r="K79" s="1572" t="s">
        <v>871</v>
      </c>
      <c r="L79" s="1573"/>
      <c r="M79" s="1573"/>
      <c r="N79" s="1574"/>
    </row>
    <row r="80" spans="1:14" x14ac:dyDescent="0.2">
      <c r="A80" s="1571">
        <v>78</v>
      </c>
      <c r="B80" s="1572">
        <v>11</v>
      </c>
      <c r="C80" s="1572" t="s">
        <v>1391</v>
      </c>
      <c r="D80" s="1568" t="s">
        <v>1269</v>
      </c>
      <c r="E80" s="1726" t="s">
        <v>1247</v>
      </c>
      <c r="F80" s="1239">
        <v>2500</v>
      </c>
      <c r="G80" s="1239">
        <v>2500</v>
      </c>
      <c r="H80" s="1572" t="s">
        <v>1153</v>
      </c>
      <c r="I80" s="1572"/>
      <c r="J80" s="1568" t="s">
        <v>1138</v>
      </c>
      <c r="K80" s="1572" t="s">
        <v>871</v>
      </c>
      <c r="L80" s="1573"/>
      <c r="M80" s="1573"/>
      <c r="N80" s="1574"/>
    </row>
    <row r="81" spans="1:14" x14ac:dyDescent="0.2">
      <c r="A81" s="1571">
        <v>79</v>
      </c>
      <c r="B81" s="1572">
        <v>11</v>
      </c>
      <c r="C81" s="1572" t="s">
        <v>1391</v>
      </c>
      <c r="D81" s="1568" t="s">
        <v>1273</v>
      </c>
      <c r="E81" s="1726" t="s">
        <v>1247</v>
      </c>
      <c r="F81" s="1239">
        <v>3000</v>
      </c>
      <c r="G81" s="1239">
        <v>3000</v>
      </c>
      <c r="H81" s="1572" t="s">
        <v>1154</v>
      </c>
      <c r="I81" s="1572"/>
      <c r="J81" s="1572" t="s">
        <v>1141</v>
      </c>
      <c r="K81" s="1572" t="s">
        <v>871</v>
      </c>
      <c r="L81" s="1573"/>
      <c r="M81" s="1573"/>
      <c r="N81" s="1574"/>
    </row>
    <row r="82" spans="1:14" x14ac:dyDescent="0.2">
      <c r="A82" s="1571">
        <v>80</v>
      </c>
      <c r="B82" s="1572">
        <v>11</v>
      </c>
      <c r="C82" s="1572" t="s">
        <v>1391</v>
      </c>
      <c r="D82" s="1568" t="s">
        <v>1274</v>
      </c>
      <c r="E82" s="1726" t="s">
        <v>1247</v>
      </c>
      <c r="F82" s="1239">
        <v>2850</v>
      </c>
      <c r="G82" s="1239">
        <v>2850</v>
      </c>
      <c r="H82" s="1572" t="s">
        <v>1155</v>
      </c>
      <c r="I82" s="1572"/>
      <c r="J82" s="1572" t="s">
        <v>1141</v>
      </c>
      <c r="K82" s="1572" t="s">
        <v>871</v>
      </c>
      <c r="L82" s="1573"/>
      <c r="M82" s="1573"/>
      <c r="N82" s="1574"/>
    </row>
    <row r="83" spans="1:14" x14ac:dyDescent="0.2">
      <c r="A83" s="1571">
        <v>81</v>
      </c>
      <c r="B83" s="1572">
        <v>12</v>
      </c>
      <c r="C83" s="1806" t="s">
        <v>1395</v>
      </c>
      <c r="D83" s="1568" t="s">
        <v>1275</v>
      </c>
      <c r="E83" s="1726" t="s">
        <v>1221</v>
      </c>
      <c r="F83" s="1239">
        <v>22000</v>
      </c>
      <c r="G83" s="1239">
        <v>22000</v>
      </c>
      <c r="H83" s="1572" t="s">
        <v>1175</v>
      </c>
      <c r="I83" s="1572"/>
      <c r="J83" s="1572" t="s">
        <v>1138</v>
      </c>
      <c r="K83" s="1572" t="s">
        <v>906</v>
      </c>
      <c r="L83" s="1573"/>
      <c r="M83" s="1573"/>
      <c r="N83" s="1574"/>
    </row>
    <row r="84" spans="1:14" x14ac:dyDescent="0.2">
      <c r="A84" s="1571">
        <v>82</v>
      </c>
      <c r="B84" s="1572">
        <v>12</v>
      </c>
      <c r="C84" s="1572" t="s">
        <v>1395</v>
      </c>
      <c r="D84" s="1568" t="s">
        <v>1276</v>
      </c>
      <c r="E84" s="1726" t="s">
        <v>1277</v>
      </c>
      <c r="F84" s="1239">
        <v>15000</v>
      </c>
      <c r="G84" s="1239">
        <v>15000</v>
      </c>
      <c r="H84" s="1572" t="s">
        <v>1175</v>
      </c>
      <c r="I84" s="1572"/>
      <c r="J84" s="1572" t="s">
        <v>1138</v>
      </c>
      <c r="K84" s="1572" t="s">
        <v>1022</v>
      </c>
      <c r="L84" s="1573"/>
      <c r="M84" s="1573"/>
      <c r="N84" s="1574"/>
    </row>
    <row r="85" spans="1:14" x14ac:dyDescent="0.2">
      <c r="A85" s="1571">
        <v>83</v>
      </c>
      <c r="B85" s="1572">
        <v>13</v>
      </c>
      <c r="C85" s="1806" t="s">
        <v>1396</v>
      </c>
      <c r="D85" s="1568" t="s">
        <v>1278</v>
      </c>
      <c r="E85" s="1726" t="s">
        <v>1279</v>
      </c>
      <c r="F85" s="1239">
        <v>12500</v>
      </c>
      <c r="G85" s="1239">
        <v>12500</v>
      </c>
      <c r="H85" s="1572" t="s">
        <v>1175</v>
      </c>
      <c r="I85" s="1572"/>
      <c r="J85" s="1572" t="s">
        <v>1138</v>
      </c>
      <c r="K85" s="1572" t="s">
        <v>844</v>
      </c>
      <c r="L85" s="1573"/>
      <c r="M85" s="1573"/>
      <c r="N85" s="1574"/>
    </row>
    <row r="86" spans="1:14" x14ac:dyDescent="0.2">
      <c r="A86" s="1571">
        <v>84</v>
      </c>
      <c r="B86" s="1572">
        <v>14</v>
      </c>
      <c r="C86" s="1806" t="s">
        <v>1280</v>
      </c>
      <c r="D86" s="1568" t="s">
        <v>1280</v>
      </c>
      <c r="E86" s="1726" t="s">
        <v>1279</v>
      </c>
      <c r="F86" s="1239">
        <v>16000</v>
      </c>
      <c r="G86" s="1239">
        <v>16000</v>
      </c>
      <c r="H86" s="1572" t="s">
        <v>1175</v>
      </c>
      <c r="I86" s="1572"/>
      <c r="J86" s="1572" t="s">
        <v>1138</v>
      </c>
      <c r="K86" s="1572" t="s">
        <v>871</v>
      </c>
      <c r="L86" s="1573"/>
      <c r="M86" s="1573"/>
      <c r="N86" s="1574"/>
    </row>
    <row r="87" spans="1:14" x14ac:dyDescent="0.2">
      <c r="A87" s="1571">
        <v>85</v>
      </c>
      <c r="B87" s="1572">
        <v>14</v>
      </c>
      <c r="C87" s="1572" t="s">
        <v>1280</v>
      </c>
      <c r="D87" s="1568" t="s">
        <v>1281</v>
      </c>
      <c r="E87" s="1726" t="s">
        <v>1279</v>
      </c>
      <c r="F87" s="1239">
        <v>6000</v>
      </c>
      <c r="G87" s="1239">
        <v>6000</v>
      </c>
      <c r="H87" s="1572" t="s">
        <v>1175</v>
      </c>
      <c r="I87" s="1572"/>
      <c r="J87" s="1572" t="s">
        <v>1138</v>
      </c>
      <c r="K87" s="1572" t="s">
        <v>906</v>
      </c>
      <c r="L87" s="1573"/>
      <c r="M87" s="1573"/>
      <c r="N87" s="1574"/>
    </row>
    <row r="88" spans="1:14" x14ac:dyDescent="0.2">
      <c r="A88" s="1571">
        <v>86</v>
      </c>
      <c r="B88" s="1572">
        <v>15</v>
      </c>
      <c r="C88" s="1806" t="s">
        <v>1282</v>
      </c>
      <c r="D88" s="1568" t="s">
        <v>1282</v>
      </c>
      <c r="E88" s="1726" t="s">
        <v>1230</v>
      </c>
      <c r="F88" s="1239">
        <v>14000</v>
      </c>
      <c r="G88" s="1239">
        <v>14000</v>
      </c>
      <c r="H88" s="1572" t="s">
        <v>1175</v>
      </c>
      <c r="I88" s="1572"/>
      <c r="J88" s="1572" t="s">
        <v>1138</v>
      </c>
      <c r="K88" s="1572" t="s">
        <v>1022</v>
      </c>
      <c r="L88" s="1573"/>
      <c r="M88" s="1573"/>
      <c r="N88" s="1574"/>
    </row>
    <row r="89" spans="1:14" x14ac:dyDescent="0.2">
      <c r="A89" s="1571">
        <v>87</v>
      </c>
      <c r="B89" s="1572">
        <v>16</v>
      </c>
      <c r="C89" s="1806" t="s">
        <v>1394</v>
      </c>
      <c r="D89" s="1568" t="s">
        <v>1283</v>
      </c>
      <c r="E89" s="1726" t="s">
        <v>1284</v>
      </c>
      <c r="F89" s="1239">
        <v>10500</v>
      </c>
      <c r="G89" s="1239">
        <v>10500</v>
      </c>
      <c r="H89" s="1572" t="s">
        <v>1149</v>
      </c>
      <c r="I89" s="1572"/>
      <c r="J89" s="1572" t="s">
        <v>1143</v>
      </c>
      <c r="K89" s="1572" t="s">
        <v>473</v>
      </c>
      <c r="L89" s="1573"/>
      <c r="M89" s="1573"/>
      <c r="N89" s="1574"/>
    </row>
    <row r="90" spans="1:14" x14ac:dyDescent="0.2">
      <c r="A90" s="1571">
        <v>88</v>
      </c>
      <c r="B90" s="1572">
        <v>16</v>
      </c>
      <c r="C90" s="1572" t="s">
        <v>1394</v>
      </c>
      <c r="D90" s="1568" t="s">
        <v>1285</v>
      </c>
      <c r="E90" s="1726" t="s">
        <v>1284</v>
      </c>
      <c r="F90" s="1239">
        <v>2493.75</v>
      </c>
      <c r="G90" s="1239">
        <v>2493.75</v>
      </c>
      <c r="H90" s="1572" t="s">
        <v>1149</v>
      </c>
      <c r="I90" s="1572"/>
      <c r="J90" s="1572" t="s">
        <v>1144</v>
      </c>
      <c r="K90" s="1572" t="s">
        <v>473</v>
      </c>
      <c r="L90" s="1573"/>
      <c r="M90" s="1573"/>
      <c r="N90" s="1574"/>
    </row>
    <row r="91" spans="1:14" x14ac:dyDescent="0.2">
      <c r="A91" s="1571">
        <v>89</v>
      </c>
      <c r="B91" s="1572">
        <v>16</v>
      </c>
      <c r="C91" s="1572" t="s">
        <v>1394</v>
      </c>
      <c r="D91" s="1568" t="s">
        <v>1286</v>
      </c>
      <c r="E91" s="1726" t="s">
        <v>1287</v>
      </c>
      <c r="F91" s="1239">
        <v>21000</v>
      </c>
      <c r="G91" s="1239">
        <v>21000</v>
      </c>
      <c r="H91" s="1572" t="s">
        <v>1149</v>
      </c>
      <c r="I91" s="1572"/>
      <c r="J91" s="1572" t="s">
        <v>1143</v>
      </c>
      <c r="K91" s="1572" t="s">
        <v>473</v>
      </c>
      <c r="L91" s="1573"/>
      <c r="M91" s="1573"/>
      <c r="N91" s="1574"/>
    </row>
    <row r="92" spans="1:14" x14ac:dyDescent="0.2">
      <c r="A92" s="1571">
        <v>90</v>
      </c>
      <c r="B92" s="1572">
        <v>16</v>
      </c>
      <c r="C92" s="1572" t="s">
        <v>1394</v>
      </c>
      <c r="D92" s="1568" t="s">
        <v>1288</v>
      </c>
      <c r="E92" s="1726" t="s">
        <v>1287</v>
      </c>
      <c r="F92" s="1239">
        <v>4987.5</v>
      </c>
      <c r="G92" s="1239">
        <v>4987.5</v>
      </c>
      <c r="H92" s="1572" t="s">
        <v>1149</v>
      </c>
      <c r="I92" s="1572"/>
      <c r="J92" s="1572" t="s">
        <v>1144</v>
      </c>
      <c r="K92" s="1572" t="s">
        <v>473</v>
      </c>
      <c r="L92" s="1573"/>
      <c r="M92" s="1573"/>
      <c r="N92" s="1574"/>
    </row>
    <row r="93" spans="1:14" x14ac:dyDescent="0.2">
      <c r="A93" s="1571">
        <v>91</v>
      </c>
      <c r="B93" s="1572">
        <v>16</v>
      </c>
      <c r="C93" s="1572" t="s">
        <v>1394</v>
      </c>
      <c r="D93" s="1568" t="s">
        <v>1289</v>
      </c>
      <c r="E93" s="1726" t="s">
        <v>1290</v>
      </c>
      <c r="F93" s="1239">
        <v>10500</v>
      </c>
      <c r="G93" s="1239">
        <v>10500</v>
      </c>
      <c r="H93" s="1572" t="s">
        <v>1149</v>
      </c>
      <c r="I93" s="1572"/>
      <c r="J93" s="1572" t="s">
        <v>1143</v>
      </c>
      <c r="K93" s="1572" t="s">
        <v>473</v>
      </c>
      <c r="L93" s="1573"/>
      <c r="M93" s="1573"/>
      <c r="N93" s="1574"/>
    </row>
    <row r="94" spans="1:14" x14ac:dyDescent="0.2">
      <c r="A94" s="1571">
        <v>92</v>
      </c>
      <c r="B94" s="1572">
        <v>16</v>
      </c>
      <c r="C94" s="1572" t="s">
        <v>1394</v>
      </c>
      <c r="D94" s="1568" t="s">
        <v>1291</v>
      </c>
      <c r="E94" s="1726" t="s">
        <v>1290</v>
      </c>
      <c r="F94" s="1239">
        <v>2493.75</v>
      </c>
      <c r="G94" s="1239">
        <v>2493.75</v>
      </c>
      <c r="H94" s="1572" t="s">
        <v>1149</v>
      </c>
      <c r="I94" s="1572"/>
      <c r="J94" s="1572" t="s">
        <v>1144</v>
      </c>
      <c r="K94" s="1572" t="s">
        <v>473</v>
      </c>
      <c r="L94" s="1573"/>
      <c r="M94" s="1573"/>
      <c r="N94" s="1574"/>
    </row>
    <row r="95" spans="1:14" x14ac:dyDescent="0.2">
      <c r="A95" s="1571">
        <v>93</v>
      </c>
      <c r="B95" s="1572">
        <v>16</v>
      </c>
      <c r="C95" s="1572" t="s">
        <v>1394</v>
      </c>
      <c r="D95" s="1568" t="s">
        <v>1292</v>
      </c>
      <c r="E95" s="1726" t="s">
        <v>1293</v>
      </c>
      <c r="F95" s="1239">
        <v>1500</v>
      </c>
      <c r="G95" s="1239">
        <v>1500</v>
      </c>
      <c r="H95" s="1572" t="s">
        <v>1147</v>
      </c>
      <c r="I95" s="1572"/>
      <c r="J95" s="1572" t="s">
        <v>1131</v>
      </c>
      <c r="K95" s="1572" t="s">
        <v>473</v>
      </c>
      <c r="L95" s="1573"/>
      <c r="M95" s="1573"/>
      <c r="N95" s="1574"/>
    </row>
    <row r="96" spans="1:14" x14ac:dyDescent="0.2">
      <c r="A96" s="1571">
        <v>94</v>
      </c>
      <c r="B96" s="1572">
        <v>17</v>
      </c>
      <c r="C96" s="1806" t="s">
        <v>1398</v>
      </c>
      <c r="D96" s="1568" t="s">
        <v>1294</v>
      </c>
      <c r="E96" s="1726" t="s">
        <v>1295</v>
      </c>
      <c r="F96" s="1239">
        <v>50000</v>
      </c>
      <c r="G96" s="1239">
        <v>50000</v>
      </c>
      <c r="H96" s="1572" t="s">
        <v>1176</v>
      </c>
      <c r="I96" s="1572"/>
      <c r="J96" s="1572" t="s">
        <v>1138</v>
      </c>
      <c r="K96" s="1572" t="s">
        <v>906</v>
      </c>
      <c r="L96" s="1573"/>
      <c r="M96" s="1573"/>
      <c r="N96" s="1574"/>
    </row>
    <row r="97" spans="1:14" x14ac:dyDescent="0.2">
      <c r="A97" s="1571">
        <v>95</v>
      </c>
      <c r="B97" s="1572">
        <v>18</v>
      </c>
      <c r="C97" s="1806" t="s">
        <v>1296</v>
      </c>
      <c r="D97" s="1568" t="s">
        <v>1296</v>
      </c>
      <c r="E97" s="1726" t="s">
        <v>1297</v>
      </c>
      <c r="F97" s="1239">
        <v>7500</v>
      </c>
      <c r="G97" s="1239">
        <v>7500</v>
      </c>
      <c r="H97" s="1572" t="s">
        <v>1171</v>
      </c>
      <c r="I97" s="1572"/>
      <c r="J97" s="1572" t="s">
        <v>1138</v>
      </c>
      <c r="K97" s="1572" t="s">
        <v>1022</v>
      </c>
      <c r="L97" s="1573"/>
      <c r="M97" s="1573"/>
      <c r="N97" s="1574"/>
    </row>
    <row r="98" spans="1:14" x14ac:dyDescent="0.2">
      <c r="A98" s="1571">
        <v>96</v>
      </c>
      <c r="B98" s="1572">
        <v>19</v>
      </c>
      <c r="C98" s="1806" t="s">
        <v>1399</v>
      </c>
      <c r="D98" s="1568" t="s">
        <v>1298</v>
      </c>
      <c r="E98" s="1726" t="s">
        <v>1299</v>
      </c>
      <c r="F98" s="1239">
        <v>3500</v>
      </c>
      <c r="G98" s="1239">
        <v>3500</v>
      </c>
      <c r="H98" s="1572" t="s">
        <v>1159</v>
      </c>
      <c r="I98" s="1572"/>
      <c r="J98" s="1572" t="s">
        <v>1138</v>
      </c>
      <c r="K98" s="1572" t="s">
        <v>906</v>
      </c>
      <c r="L98" s="1573"/>
      <c r="M98" s="1573"/>
      <c r="N98" s="1574"/>
    </row>
    <row r="99" spans="1:14" x14ac:dyDescent="0.2">
      <c r="A99" s="1571">
        <v>97</v>
      </c>
      <c r="B99" s="1572">
        <v>19</v>
      </c>
      <c r="C99" s="1572" t="s">
        <v>1397</v>
      </c>
      <c r="D99" s="1568" t="s">
        <v>1300</v>
      </c>
      <c r="E99" s="1726" t="s">
        <v>1299</v>
      </c>
      <c r="F99" s="1239">
        <v>3000</v>
      </c>
      <c r="G99" s="1239">
        <v>3000</v>
      </c>
      <c r="H99" s="1572" t="s">
        <v>1159</v>
      </c>
      <c r="I99" s="1572"/>
      <c r="J99" s="1572" t="s">
        <v>1138</v>
      </c>
      <c r="K99" s="1572" t="s">
        <v>906</v>
      </c>
      <c r="L99" s="1573"/>
      <c r="M99" s="1573"/>
      <c r="N99" s="1574"/>
    </row>
    <row r="100" spans="1:14" x14ac:dyDescent="0.2">
      <c r="A100" s="1571">
        <v>98</v>
      </c>
      <c r="B100" s="1572">
        <v>19</v>
      </c>
      <c r="C100" s="1572" t="s">
        <v>1412</v>
      </c>
      <c r="D100" s="1568" t="s">
        <v>1301</v>
      </c>
      <c r="E100" s="1726" t="s">
        <v>1299</v>
      </c>
      <c r="F100" s="1239">
        <v>5000</v>
      </c>
      <c r="G100" s="1239">
        <v>5000</v>
      </c>
      <c r="H100" s="1572" t="s">
        <v>1159</v>
      </c>
      <c r="I100" s="1572"/>
      <c r="J100" s="1572" t="s">
        <v>1138</v>
      </c>
      <c r="K100" s="1572" t="s">
        <v>906</v>
      </c>
      <c r="L100" s="1573"/>
      <c r="M100" s="1573"/>
      <c r="N100" s="1574"/>
    </row>
    <row r="101" spans="1:14" x14ac:dyDescent="0.2">
      <c r="A101" s="1571">
        <v>99</v>
      </c>
      <c r="B101" s="1572">
        <v>19</v>
      </c>
      <c r="C101" s="1572" t="s">
        <v>1413</v>
      </c>
      <c r="D101" s="1568" t="s">
        <v>1302</v>
      </c>
      <c r="E101" s="1726" t="s">
        <v>1299</v>
      </c>
      <c r="F101" s="1239">
        <v>4500</v>
      </c>
      <c r="G101" s="1239">
        <v>4500</v>
      </c>
      <c r="H101" s="1572" t="s">
        <v>1160</v>
      </c>
      <c r="I101" s="1572"/>
      <c r="J101" s="1572" t="s">
        <v>1138</v>
      </c>
      <c r="K101" s="1572" t="s">
        <v>906</v>
      </c>
      <c r="L101" s="1573"/>
      <c r="M101" s="1573"/>
      <c r="N101" s="1574"/>
    </row>
    <row r="102" spans="1:14" x14ac:dyDescent="0.2">
      <c r="A102" s="1571">
        <v>100</v>
      </c>
      <c r="B102" s="1572">
        <v>19</v>
      </c>
      <c r="C102" s="1572" t="s">
        <v>1414</v>
      </c>
      <c r="D102" s="1568" t="s">
        <v>1303</v>
      </c>
      <c r="E102" s="1726" t="s">
        <v>1299</v>
      </c>
      <c r="F102" s="1239">
        <v>2000</v>
      </c>
      <c r="G102" s="1239">
        <v>2000</v>
      </c>
      <c r="H102" s="1572" t="s">
        <v>1159</v>
      </c>
      <c r="I102" s="1572"/>
      <c r="J102" s="1572" t="s">
        <v>1138</v>
      </c>
      <c r="K102" s="1572" t="s">
        <v>906</v>
      </c>
      <c r="L102" s="1573"/>
      <c r="M102" s="1573"/>
      <c r="N102" s="1574"/>
    </row>
    <row r="103" spans="1:14" x14ac:dyDescent="0.2">
      <c r="A103" s="1571">
        <v>101</v>
      </c>
      <c r="B103" s="1572">
        <v>19</v>
      </c>
      <c r="C103" s="1572" t="s">
        <v>1415</v>
      </c>
      <c r="D103" s="1568" t="s">
        <v>1304</v>
      </c>
      <c r="E103" s="1726" t="s">
        <v>1299</v>
      </c>
      <c r="F103" s="1239">
        <v>2500</v>
      </c>
      <c r="G103" s="1239">
        <v>2500</v>
      </c>
      <c r="H103" s="1572" t="s">
        <v>1159</v>
      </c>
      <c r="I103" s="1572"/>
      <c r="J103" s="1572" t="s">
        <v>1138</v>
      </c>
      <c r="K103" s="1572" t="s">
        <v>906</v>
      </c>
      <c r="L103" s="1573"/>
      <c r="M103" s="1573"/>
      <c r="N103" s="1574"/>
    </row>
    <row r="104" spans="1:14" x14ac:dyDescent="0.2">
      <c r="A104" s="1571">
        <v>102</v>
      </c>
      <c r="B104" s="1572">
        <v>19</v>
      </c>
      <c r="C104" s="1572" t="s">
        <v>1416</v>
      </c>
      <c r="D104" s="1568" t="s">
        <v>1305</v>
      </c>
      <c r="E104" s="1726" t="s">
        <v>1299</v>
      </c>
      <c r="F104" s="1239">
        <v>2850</v>
      </c>
      <c r="G104" s="1239">
        <v>2850</v>
      </c>
      <c r="H104" s="1572" t="s">
        <v>1162</v>
      </c>
      <c r="I104" s="1572"/>
      <c r="J104" s="1572" t="s">
        <v>1141</v>
      </c>
      <c r="K104" s="1572" t="s">
        <v>906</v>
      </c>
      <c r="L104" s="1573"/>
      <c r="M104" s="1573"/>
      <c r="N104" s="1574"/>
    </row>
    <row r="105" spans="1:14" x14ac:dyDescent="0.2">
      <c r="A105" s="1571">
        <v>103</v>
      </c>
      <c r="B105" s="1572">
        <v>20</v>
      </c>
      <c r="C105" s="1806" t="s">
        <v>1397</v>
      </c>
      <c r="D105" s="1568" t="s">
        <v>1306</v>
      </c>
      <c r="E105" s="1726" t="s">
        <v>1307</v>
      </c>
      <c r="F105" s="1239">
        <v>3500</v>
      </c>
      <c r="G105" s="1239">
        <v>3500</v>
      </c>
      <c r="H105" s="1572" t="s">
        <v>1159</v>
      </c>
      <c r="I105" s="1572"/>
      <c r="J105" s="1572" t="s">
        <v>1138</v>
      </c>
      <c r="K105" s="1572" t="s">
        <v>906</v>
      </c>
      <c r="L105" s="1573"/>
      <c r="M105" s="1573"/>
      <c r="N105" s="1574"/>
    </row>
    <row r="106" spans="1:14" x14ac:dyDescent="0.2">
      <c r="A106" s="1571">
        <v>104</v>
      </c>
      <c r="B106" s="1572">
        <v>20</v>
      </c>
      <c r="C106" s="1572" t="s">
        <v>1412</v>
      </c>
      <c r="D106" s="1568" t="s">
        <v>1308</v>
      </c>
      <c r="E106" s="1726" t="s">
        <v>1307</v>
      </c>
      <c r="F106" s="1239">
        <v>3000</v>
      </c>
      <c r="G106" s="1239">
        <v>3000</v>
      </c>
      <c r="H106" s="1572" t="s">
        <v>1159</v>
      </c>
      <c r="I106" s="1572"/>
      <c r="J106" s="1572" t="s">
        <v>1138</v>
      </c>
      <c r="K106" s="1572" t="s">
        <v>906</v>
      </c>
      <c r="L106" s="1573"/>
      <c r="M106" s="1573"/>
      <c r="N106" s="1574"/>
    </row>
    <row r="107" spans="1:14" x14ac:dyDescent="0.2">
      <c r="A107" s="1571">
        <v>105</v>
      </c>
      <c r="B107" s="1572">
        <v>20</v>
      </c>
      <c r="C107" s="1572" t="s">
        <v>1413</v>
      </c>
      <c r="D107" s="1568" t="s">
        <v>1309</v>
      </c>
      <c r="E107" s="1726" t="s">
        <v>1307</v>
      </c>
      <c r="F107" s="1239">
        <v>5000</v>
      </c>
      <c r="G107" s="1239">
        <v>5000</v>
      </c>
      <c r="H107" s="1572" t="s">
        <v>1159</v>
      </c>
      <c r="I107" s="1572"/>
      <c r="J107" s="1572" t="s">
        <v>1138</v>
      </c>
      <c r="K107" s="1572" t="s">
        <v>906</v>
      </c>
      <c r="L107" s="1573"/>
      <c r="M107" s="1573"/>
      <c r="N107" s="1574"/>
    </row>
    <row r="108" spans="1:14" x14ac:dyDescent="0.2">
      <c r="A108" s="1571">
        <v>106</v>
      </c>
      <c r="B108" s="1572">
        <v>20</v>
      </c>
      <c r="C108" s="1572" t="s">
        <v>1414</v>
      </c>
      <c r="D108" s="1568" t="s">
        <v>1310</v>
      </c>
      <c r="E108" s="1726" t="s">
        <v>1307</v>
      </c>
      <c r="F108" s="1239">
        <v>4500</v>
      </c>
      <c r="G108" s="1239">
        <v>4500</v>
      </c>
      <c r="H108" s="1572" t="s">
        <v>1160</v>
      </c>
      <c r="I108" s="1572"/>
      <c r="J108" s="1572" t="s">
        <v>1138</v>
      </c>
      <c r="K108" s="1572" t="s">
        <v>906</v>
      </c>
      <c r="L108" s="1573"/>
      <c r="M108" s="1573"/>
      <c r="N108" s="1574"/>
    </row>
    <row r="109" spans="1:14" x14ac:dyDescent="0.2">
      <c r="A109" s="1571">
        <v>107</v>
      </c>
      <c r="B109" s="1572">
        <v>20</v>
      </c>
      <c r="C109" s="1572" t="s">
        <v>1415</v>
      </c>
      <c r="D109" s="1568" t="s">
        <v>1311</v>
      </c>
      <c r="E109" s="1726" t="s">
        <v>1307</v>
      </c>
      <c r="F109" s="1239">
        <v>2000</v>
      </c>
      <c r="G109" s="1239">
        <v>2000</v>
      </c>
      <c r="H109" s="1572" t="s">
        <v>1159</v>
      </c>
      <c r="I109" s="1572"/>
      <c r="J109" s="1572" t="s">
        <v>1138</v>
      </c>
      <c r="K109" s="1572" t="s">
        <v>906</v>
      </c>
      <c r="L109" s="1573"/>
      <c r="M109" s="1573"/>
      <c r="N109" s="1574"/>
    </row>
    <row r="110" spans="1:14" x14ac:dyDescent="0.2">
      <c r="A110" s="1571">
        <v>108</v>
      </c>
      <c r="B110" s="1572">
        <v>20</v>
      </c>
      <c r="C110" s="1572" t="s">
        <v>1416</v>
      </c>
      <c r="D110" s="1568" t="s">
        <v>1312</v>
      </c>
      <c r="E110" s="1726" t="s">
        <v>1307</v>
      </c>
      <c r="F110" s="1239">
        <v>2500</v>
      </c>
      <c r="G110" s="1239">
        <v>2500</v>
      </c>
      <c r="H110" s="1572" t="s">
        <v>1159</v>
      </c>
      <c r="I110" s="1572"/>
      <c r="J110" s="1572" t="s">
        <v>1138</v>
      </c>
      <c r="K110" s="1572" t="s">
        <v>906</v>
      </c>
      <c r="L110" s="1573"/>
      <c r="M110" s="1573"/>
      <c r="N110" s="1574"/>
    </row>
    <row r="111" spans="1:14" x14ac:dyDescent="0.2">
      <c r="A111" s="1571">
        <v>109</v>
      </c>
      <c r="B111" s="1572">
        <v>20</v>
      </c>
      <c r="C111" s="1572" t="s">
        <v>1417</v>
      </c>
      <c r="D111" s="1568" t="s">
        <v>1313</v>
      </c>
      <c r="E111" s="1726" t="s">
        <v>1307</v>
      </c>
      <c r="F111" s="1239">
        <v>2850</v>
      </c>
      <c r="G111" s="1239">
        <v>2850</v>
      </c>
      <c r="H111" s="1572" t="s">
        <v>1162</v>
      </c>
      <c r="I111" s="1572"/>
      <c r="J111" s="1572" t="s">
        <v>1141</v>
      </c>
      <c r="K111" s="1572" t="s">
        <v>906</v>
      </c>
      <c r="L111" s="1573"/>
      <c r="M111" s="1573"/>
      <c r="N111" s="1574"/>
    </row>
    <row r="112" spans="1:14" x14ac:dyDescent="0.2">
      <c r="A112" s="1571">
        <v>110</v>
      </c>
      <c r="B112" s="1572">
        <v>21</v>
      </c>
      <c r="C112" s="1806" t="s">
        <v>1400</v>
      </c>
      <c r="D112" s="1568" t="s">
        <v>1314</v>
      </c>
      <c r="E112" s="1726">
        <v>43983</v>
      </c>
      <c r="F112" s="1239">
        <v>3500</v>
      </c>
      <c r="G112" s="1239">
        <v>3500</v>
      </c>
      <c r="H112" s="1572" t="s">
        <v>1159</v>
      </c>
      <c r="I112" s="1572"/>
      <c r="J112" s="1572" t="s">
        <v>1138</v>
      </c>
      <c r="K112" s="1572" t="s">
        <v>844</v>
      </c>
      <c r="L112" s="1573"/>
      <c r="M112" s="1573"/>
      <c r="N112" s="1574"/>
    </row>
    <row r="113" spans="1:14" x14ac:dyDescent="0.2">
      <c r="A113" s="1571">
        <v>111</v>
      </c>
      <c r="B113" s="1572">
        <v>21</v>
      </c>
      <c r="C113" s="1572" t="s">
        <v>1401</v>
      </c>
      <c r="D113" s="1568" t="s">
        <v>1315</v>
      </c>
      <c r="E113" s="1726">
        <v>43983</v>
      </c>
      <c r="F113" s="1239">
        <v>3000</v>
      </c>
      <c r="G113" s="1239">
        <v>3000</v>
      </c>
      <c r="H113" s="1572" t="s">
        <v>1159</v>
      </c>
      <c r="I113" s="1572"/>
      <c r="J113" s="1572" t="s">
        <v>1138</v>
      </c>
      <c r="K113" s="1572" t="s">
        <v>844</v>
      </c>
      <c r="L113" s="1573"/>
      <c r="M113" s="1573"/>
      <c r="N113" s="1574"/>
    </row>
    <row r="114" spans="1:14" x14ac:dyDescent="0.2">
      <c r="A114" s="1571">
        <v>112</v>
      </c>
      <c r="B114" s="1572">
        <v>21</v>
      </c>
      <c r="C114" s="1572" t="s">
        <v>1418</v>
      </c>
      <c r="D114" s="1568" t="s">
        <v>1316</v>
      </c>
      <c r="E114" s="1726">
        <v>43983</v>
      </c>
      <c r="F114" s="1239">
        <v>5000</v>
      </c>
      <c r="G114" s="1239">
        <v>5000</v>
      </c>
      <c r="H114" s="1572" t="s">
        <v>1159</v>
      </c>
      <c r="I114" s="1572"/>
      <c r="J114" s="1572" t="s">
        <v>1138</v>
      </c>
      <c r="K114" s="1572" t="s">
        <v>844</v>
      </c>
      <c r="L114" s="1573"/>
      <c r="M114" s="1573"/>
      <c r="N114" s="1574"/>
    </row>
    <row r="115" spans="1:14" x14ac:dyDescent="0.2">
      <c r="A115" s="1571">
        <v>113</v>
      </c>
      <c r="B115" s="1572">
        <v>21</v>
      </c>
      <c r="C115" s="1572" t="s">
        <v>1419</v>
      </c>
      <c r="D115" s="1568" t="s">
        <v>1317</v>
      </c>
      <c r="E115" s="1726">
        <v>43983</v>
      </c>
      <c r="F115" s="1239">
        <v>4500</v>
      </c>
      <c r="G115" s="1239">
        <v>4500</v>
      </c>
      <c r="H115" s="1572" t="s">
        <v>1160</v>
      </c>
      <c r="I115" s="1572"/>
      <c r="J115" s="1572" t="s">
        <v>1138</v>
      </c>
      <c r="K115" s="1572" t="s">
        <v>844</v>
      </c>
      <c r="L115" s="1573"/>
      <c r="M115" s="1573"/>
      <c r="N115" s="1574"/>
    </row>
    <row r="116" spans="1:14" x14ac:dyDescent="0.2">
      <c r="A116" s="1571">
        <v>114</v>
      </c>
      <c r="B116" s="1572">
        <v>21</v>
      </c>
      <c r="C116" s="1572" t="s">
        <v>1420</v>
      </c>
      <c r="D116" s="1568" t="s">
        <v>1318</v>
      </c>
      <c r="E116" s="1726">
        <v>43983</v>
      </c>
      <c r="F116" s="1239">
        <v>2000</v>
      </c>
      <c r="G116" s="1239">
        <v>2000</v>
      </c>
      <c r="H116" s="1572" t="s">
        <v>1159</v>
      </c>
      <c r="I116" s="1572"/>
      <c r="J116" s="1572" t="s">
        <v>1138</v>
      </c>
      <c r="K116" s="1572" t="s">
        <v>844</v>
      </c>
      <c r="L116" s="1573"/>
      <c r="M116" s="1573"/>
      <c r="N116" s="1574"/>
    </row>
    <row r="117" spans="1:14" x14ac:dyDescent="0.2">
      <c r="A117" s="1571">
        <v>115</v>
      </c>
      <c r="B117" s="1572">
        <v>21</v>
      </c>
      <c r="C117" s="1572" t="s">
        <v>1421</v>
      </c>
      <c r="D117" s="1568" t="s">
        <v>1319</v>
      </c>
      <c r="E117" s="1726">
        <v>43983</v>
      </c>
      <c r="F117" s="1239">
        <v>2500</v>
      </c>
      <c r="G117" s="1239">
        <v>2500</v>
      </c>
      <c r="H117" s="1572" t="s">
        <v>1159</v>
      </c>
      <c r="I117" s="1572"/>
      <c r="J117" s="1572" t="s">
        <v>1138</v>
      </c>
      <c r="K117" s="1572" t="s">
        <v>844</v>
      </c>
      <c r="L117" s="1573"/>
      <c r="M117" s="1573"/>
      <c r="N117" s="1574"/>
    </row>
    <row r="118" spans="1:14" x14ac:dyDescent="0.2">
      <c r="A118" s="1571">
        <v>116</v>
      </c>
      <c r="B118" s="1572">
        <v>21</v>
      </c>
      <c r="C118" s="1572" t="s">
        <v>1422</v>
      </c>
      <c r="D118" s="1568" t="s">
        <v>1320</v>
      </c>
      <c r="E118" s="1726">
        <v>43983</v>
      </c>
      <c r="F118" s="1239">
        <v>1450</v>
      </c>
      <c r="G118" s="1239">
        <v>1450</v>
      </c>
      <c r="H118" s="1572" t="s">
        <v>1162</v>
      </c>
      <c r="I118" s="1572"/>
      <c r="J118" s="1572" t="s">
        <v>1141</v>
      </c>
      <c r="K118" s="1572" t="s">
        <v>844</v>
      </c>
      <c r="L118" s="1573"/>
      <c r="M118" s="1573"/>
      <c r="N118" s="1574"/>
    </row>
    <row r="119" spans="1:14" x14ac:dyDescent="0.2">
      <c r="A119" s="1571">
        <v>117</v>
      </c>
      <c r="B119" s="1572">
        <v>22</v>
      </c>
      <c r="C119" s="1806" t="s">
        <v>1401</v>
      </c>
      <c r="D119" s="1568" t="s">
        <v>1321</v>
      </c>
      <c r="E119" s="1726" t="s">
        <v>1322</v>
      </c>
      <c r="F119" s="1239">
        <v>3500</v>
      </c>
      <c r="G119" s="1239">
        <v>3500</v>
      </c>
      <c r="H119" s="1572" t="s">
        <v>1159</v>
      </c>
      <c r="I119" s="1572"/>
      <c r="J119" s="1572" t="s">
        <v>1138</v>
      </c>
      <c r="K119" s="1572" t="s">
        <v>844</v>
      </c>
      <c r="L119" s="1573"/>
      <c r="M119" s="1573"/>
      <c r="N119" s="1574"/>
    </row>
    <row r="120" spans="1:14" x14ac:dyDescent="0.2">
      <c r="A120" s="1571">
        <v>118</v>
      </c>
      <c r="B120" s="1572">
        <v>22</v>
      </c>
      <c r="C120" s="1572" t="s">
        <v>1418</v>
      </c>
      <c r="D120" s="1568" t="s">
        <v>1323</v>
      </c>
      <c r="E120" s="1726" t="s">
        <v>1322</v>
      </c>
      <c r="F120" s="1239">
        <v>3000</v>
      </c>
      <c r="G120" s="1239">
        <v>3000</v>
      </c>
      <c r="H120" s="1572" t="s">
        <v>1159</v>
      </c>
      <c r="I120" s="1572"/>
      <c r="J120" s="1572" t="s">
        <v>1138</v>
      </c>
      <c r="K120" s="1572" t="s">
        <v>844</v>
      </c>
      <c r="L120" s="1573"/>
      <c r="M120" s="1573"/>
      <c r="N120" s="1574"/>
    </row>
    <row r="121" spans="1:14" x14ac:dyDescent="0.2">
      <c r="A121" s="1571">
        <v>119</v>
      </c>
      <c r="B121" s="1572">
        <v>22</v>
      </c>
      <c r="C121" s="1572" t="s">
        <v>1419</v>
      </c>
      <c r="D121" s="1568" t="s">
        <v>1324</v>
      </c>
      <c r="E121" s="1726" t="s">
        <v>1322</v>
      </c>
      <c r="F121" s="1239">
        <v>5000</v>
      </c>
      <c r="G121" s="1239">
        <v>5000</v>
      </c>
      <c r="H121" s="1572" t="s">
        <v>1159</v>
      </c>
      <c r="I121" s="1572"/>
      <c r="J121" s="1572" t="s">
        <v>1138</v>
      </c>
      <c r="K121" s="1572" t="s">
        <v>844</v>
      </c>
      <c r="L121" s="1573"/>
      <c r="M121" s="1573"/>
      <c r="N121" s="1574"/>
    </row>
    <row r="122" spans="1:14" x14ac:dyDescent="0.2">
      <c r="A122" s="1571">
        <v>120</v>
      </c>
      <c r="B122" s="1572">
        <v>22</v>
      </c>
      <c r="C122" s="1572" t="s">
        <v>1420</v>
      </c>
      <c r="D122" s="1568" t="s">
        <v>1325</v>
      </c>
      <c r="E122" s="1726" t="s">
        <v>1322</v>
      </c>
      <c r="F122" s="1239">
        <v>4500</v>
      </c>
      <c r="G122" s="1239">
        <v>4500</v>
      </c>
      <c r="H122" s="1572" t="s">
        <v>1160</v>
      </c>
      <c r="I122" s="1572"/>
      <c r="J122" s="1572" t="s">
        <v>1138</v>
      </c>
      <c r="K122" s="1572" t="s">
        <v>844</v>
      </c>
      <c r="L122" s="1573"/>
      <c r="M122" s="1573"/>
      <c r="N122" s="1574"/>
    </row>
    <row r="123" spans="1:14" x14ac:dyDescent="0.2">
      <c r="A123" s="1571">
        <v>121</v>
      </c>
      <c r="B123" s="1572">
        <v>22</v>
      </c>
      <c r="C123" s="1572" t="s">
        <v>1421</v>
      </c>
      <c r="D123" s="1568" t="s">
        <v>1326</v>
      </c>
      <c r="E123" s="1726" t="s">
        <v>1322</v>
      </c>
      <c r="F123" s="1239">
        <v>2000</v>
      </c>
      <c r="G123" s="1239">
        <v>2000</v>
      </c>
      <c r="H123" s="1572" t="s">
        <v>1159</v>
      </c>
      <c r="I123" s="1572"/>
      <c r="J123" s="1572" t="s">
        <v>1138</v>
      </c>
      <c r="K123" s="1572" t="s">
        <v>844</v>
      </c>
      <c r="L123" s="1573"/>
      <c r="M123" s="1573"/>
      <c r="N123" s="1574"/>
    </row>
    <row r="124" spans="1:14" x14ac:dyDescent="0.2">
      <c r="A124" s="1571">
        <v>122</v>
      </c>
      <c r="B124" s="1572">
        <v>22</v>
      </c>
      <c r="C124" s="1572" t="s">
        <v>1422</v>
      </c>
      <c r="D124" s="1568" t="s">
        <v>1327</v>
      </c>
      <c r="E124" s="1726" t="s">
        <v>1322</v>
      </c>
      <c r="F124" s="1239">
        <v>2500</v>
      </c>
      <c r="G124" s="1239">
        <v>2500</v>
      </c>
      <c r="H124" s="1572" t="s">
        <v>1159</v>
      </c>
      <c r="I124" s="1572"/>
      <c r="J124" s="1572" t="s">
        <v>1138</v>
      </c>
      <c r="K124" s="1572" t="s">
        <v>844</v>
      </c>
      <c r="L124" s="1573"/>
      <c r="M124" s="1573"/>
      <c r="N124" s="1574"/>
    </row>
    <row r="125" spans="1:14" x14ac:dyDescent="0.2">
      <c r="A125" s="1571">
        <v>123</v>
      </c>
      <c r="B125" s="1572">
        <v>22</v>
      </c>
      <c r="C125" s="1572" t="s">
        <v>1423</v>
      </c>
      <c r="D125" s="1568" t="s">
        <v>1328</v>
      </c>
      <c r="E125" s="1726" t="s">
        <v>1322</v>
      </c>
      <c r="F125" s="1239">
        <v>1450</v>
      </c>
      <c r="G125" s="1239">
        <v>1450</v>
      </c>
      <c r="H125" s="1572" t="s">
        <v>1162</v>
      </c>
      <c r="I125" s="1572"/>
      <c r="J125" s="1572" t="s">
        <v>1141</v>
      </c>
      <c r="K125" s="1572" t="s">
        <v>844</v>
      </c>
      <c r="L125" s="1573"/>
      <c r="M125" s="1573"/>
      <c r="N125" s="1574"/>
    </row>
    <row r="126" spans="1:14" x14ac:dyDescent="0.2">
      <c r="A126" s="1571">
        <v>124</v>
      </c>
      <c r="B126" s="1572">
        <v>23</v>
      </c>
      <c r="C126" s="1806" t="s">
        <v>1402</v>
      </c>
      <c r="D126" s="1568" t="s">
        <v>1329</v>
      </c>
      <c r="E126" s="1726" t="s">
        <v>1284</v>
      </c>
      <c r="F126" s="1239">
        <v>3500</v>
      </c>
      <c r="G126" s="1239">
        <v>3500</v>
      </c>
      <c r="H126" s="1572" t="s">
        <v>1159</v>
      </c>
      <c r="I126" s="1572"/>
      <c r="J126" s="1572" t="s">
        <v>1138</v>
      </c>
      <c r="K126" s="1572" t="s">
        <v>905</v>
      </c>
      <c r="L126" s="1573"/>
      <c r="M126" s="1573"/>
      <c r="N126" s="1574"/>
    </row>
    <row r="127" spans="1:14" x14ac:dyDescent="0.2">
      <c r="A127" s="1571">
        <v>125</v>
      </c>
      <c r="B127" s="1572">
        <v>23</v>
      </c>
      <c r="C127" s="1572" t="s">
        <v>1403</v>
      </c>
      <c r="D127" s="1568" t="s">
        <v>1330</v>
      </c>
      <c r="E127" s="1726" t="s">
        <v>1284</v>
      </c>
      <c r="F127" s="1239">
        <v>3000</v>
      </c>
      <c r="G127" s="1239">
        <v>3000</v>
      </c>
      <c r="H127" s="1572" t="s">
        <v>1159</v>
      </c>
      <c r="I127" s="1572"/>
      <c r="J127" s="1572" t="s">
        <v>1138</v>
      </c>
      <c r="K127" s="1572" t="s">
        <v>905</v>
      </c>
      <c r="L127" s="1573"/>
      <c r="M127" s="1573"/>
      <c r="N127" s="1574"/>
    </row>
    <row r="128" spans="1:14" x14ac:dyDescent="0.2">
      <c r="A128" s="1571">
        <v>126</v>
      </c>
      <c r="B128" s="1572">
        <v>23</v>
      </c>
      <c r="C128" s="1572" t="s">
        <v>1424</v>
      </c>
      <c r="D128" s="1568" t="s">
        <v>1331</v>
      </c>
      <c r="E128" s="1726" t="s">
        <v>1284</v>
      </c>
      <c r="F128" s="1239">
        <v>5000</v>
      </c>
      <c r="G128" s="1239">
        <v>5000</v>
      </c>
      <c r="H128" s="1572" t="s">
        <v>1159</v>
      </c>
      <c r="I128" s="1572"/>
      <c r="J128" s="1572" t="s">
        <v>1138</v>
      </c>
      <c r="K128" s="1572" t="s">
        <v>905</v>
      </c>
      <c r="L128" s="1573"/>
      <c r="M128" s="1573"/>
      <c r="N128" s="1574"/>
    </row>
    <row r="129" spans="1:14" x14ac:dyDescent="0.2">
      <c r="A129" s="1571">
        <v>127</v>
      </c>
      <c r="B129" s="1572">
        <v>23</v>
      </c>
      <c r="C129" s="1572" t="s">
        <v>1425</v>
      </c>
      <c r="D129" s="1568" t="s">
        <v>1332</v>
      </c>
      <c r="E129" s="1726" t="s">
        <v>1284</v>
      </c>
      <c r="F129" s="1239">
        <v>4500</v>
      </c>
      <c r="G129" s="1239">
        <v>4500</v>
      </c>
      <c r="H129" s="1572" t="s">
        <v>1160</v>
      </c>
      <c r="I129" s="1572"/>
      <c r="J129" s="1572" t="s">
        <v>1138</v>
      </c>
      <c r="K129" s="1572" t="s">
        <v>905</v>
      </c>
      <c r="L129" s="1573"/>
      <c r="M129" s="1573"/>
      <c r="N129" s="1574"/>
    </row>
    <row r="130" spans="1:14" x14ac:dyDescent="0.2">
      <c r="A130" s="1571">
        <v>128</v>
      </c>
      <c r="B130" s="1572">
        <v>23</v>
      </c>
      <c r="C130" s="1572" t="s">
        <v>1426</v>
      </c>
      <c r="D130" s="1568" t="s">
        <v>1333</v>
      </c>
      <c r="E130" s="1726" t="s">
        <v>1284</v>
      </c>
      <c r="F130" s="1239">
        <v>2000</v>
      </c>
      <c r="G130" s="1239">
        <v>2000</v>
      </c>
      <c r="H130" s="1572" t="s">
        <v>1159</v>
      </c>
      <c r="I130" s="1572"/>
      <c r="J130" s="1572" t="s">
        <v>1138</v>
      </c>
      <c r="K130" s="1572" t="s">
        <v>905</v>
      </c>
      <c r="L130" s="1573"/>
      <c r="M130" s="1573"/>
      <c r="N130" s="1574"/>
    </row>
    <row r="131" spans="1:14" x14ac:dyDescent="0.2">
      <c r="A131" s="1571">
        <v>129</v>
      </c>
      <c r="B131" s="1572">
        <v>23</v>
      </c>
      <c r="C131" s="1572" t="s">
        <v>1427</v>
      </c>
      <c r="D131" s="1568" t="s">
        <v>1334</v>
      </c>
      <c r="E131" s="1726" t="s">
        <v>1284</v>
      </c>
      <c r="F131" s="1239">
        <v>2500</v>
      </c>
      <c r="G131" s="1239">
        <v>2500</v>
      </c>
      <c r="H131" s="1572" t="s">
        <v>1159</v>
      </c>
      <c r="I131" s="1572"/>
      <c r="J131" s="1572" t="s">
        <v>1138</v>
      </c>
      <c r="K131" s="1572" t="s">
        <v>905</v>
      </c>
      <c r="L131" s="1573"/>
      <c r="M131" s="1573"/>
      <c r="N131" s="1574"/>
    </row>
    <row r="132" spans="1:14" x14ac:dyDescent="0.2">
      <c r="A132" s="1571">
        <v>130</v>
      </c>
      <c r="B132" s="1572">
        <v>23</v>
      </c>
      <c r="C132" s="1572" t="s">
        <v>1428</v>
      </c>
      <c r="D132" s="1568" t="s">
        <v>1335</v>
      </c>
      <c r="E132" s="1726" t="s">
        <v>1284</v>
      </c>
      <c r="F132" s="1239">
        <v>1450</v>
      </c>
      <c r="G132" s="1239">
        <v>1450</v>
      </c>
      <c r="H132" s="1572" t="s">
        <v>1162</v>
      </c>
      <c r="I132" s="1572"/>
      <c r="J132" s="1572" t="s">
        <v>1141</v>
      </c>
      <c r="K132" s="1572" t="s">
        <v>905</v>
      </c>
      <c r="L132" s="1573"/>
      <c r="M132" s="1573"/>
      <c r="N132" s="1574"/>
    </row>
    <row r="133" spans="1:14" x14ac:dyDescent="0.2">
      <c r="A133" s="1571">
        <v>131</v>
      </c>
      <c r="B133" s="1572">
        <v>24</v>
      </c>
      <c r="C133" s="1806" t="s">
        <v>1404</v>
      </c>
      <c r="D133" s="1568" t="s">
        <v>1336</v>
      </c>
      <c r="E133" s="1726" t="s">
        <v>1228</v>
      </c>
      <c r="F133" s="1239">
        <v>3500</v>
      </c>
      <c r="G133" s="1239">
        <v>3500</v>
      </c>
      <c r="H133" s="1572" t="s">
        <v>1159</v>
      </c>
      <c r="I133" s="1572"/>
      <c r="J133" s="1572" t="s">
        <v>1138</v>
      </c>
      <c r="K133" s="1572" t="s">
        <v>905</v>
      </c>
      <c r="L133" s="1573"/>
      <c r="M133" s="1573"/>
      <c r="N133" s="1574"/>
    </row>
    <row r="134" spans="1:14" x14ac:dyDescent="0.2">
      <c r="A134" s="1571">
        <v>132</v>
      </c>
      <c r="B134" s="1572">
        <v>24</v>
      </c>
      <c r="C134" s="1572" t="s">
        <v>1424</v>
      </c>
      <c r="D134" s="1568" t="s">
        <v>1337</v>
      </c>
      <c r="E134" s="1726" t="s">
        <v>1228</v>
      </c>
      <c r="F134" s="1239">
        <v>3000</v>
      </c>
      <c r="G134" s="1239">
        <v>3000</v>
      </c>
      <c r="H134" s="1572" t="s">
        <v>1159</v>
      </c>
      <c r="I134" s="1572"/>
      <c r="J134" s="1572" t="s">
        <v>1138</v>
      </c>
      <c r="K134" s="1572" t="s">
        <v>905</v>
      </c>
      <c r="L134" s="1573"/>
      <c r="M134" s="1573"/>
      <c r="N134" s="1574"/>
    </row>
    <row r="135" spans="1:14" x14ac:dyDescent="0.2">
      <c r="A135" s="1571">
        <v>133</v>
      </c>
      <c r="B135" s="1572">
        <v>24</v>
      </c>
      <c r="C135" s="1572" t="s">
        <v>1425</v>
      </c>
      <c r="D135" s="1568" t="s">
        <v>1338</v>
      </c>
      <c r="E135" s="1726" t="s">
        <v>1228</v>
      </c>
      <c r="F135" s="1239">
        <v>5000</v>
      </c>
      <c r="G135" s="1239">
        <v>5000</v>
      </c>
      <c r="H135" s="1572" t="s">
        <v>1159</v>
      </c>
      <c r="I135" s="1572"/>
      <c r="J135" s="1572" t="s">
        <v>1138</v>
      </c>
      <c r="K135" s="1572" t="s">
        <v>905</v>
      </c>
      <c r="L135" s="1573"/>
      <c r="M135" s="1573"/>
      <c r="N135" s="1574"/>
    </row>
    <row r="136" spans="1:14" x14ac:dyDescent="0.2">
      <c r="A136" s="1571">
        <v>134</v>
      </c>
      <c r="B136" s="1572">
        <v>24</v>
      </c>
      <c r="C136" s="1572" t="s">
        <v>1426</v>
      </c>
      <c r="D136" s="1568" t="s">
        <v>1339</v>
      </c>
      <c r="E136" s="1726" t="s">
        <v>1228</v>
      </c>
      <c r="F136" s="1239">
        <v>4500</v>
      </c>
      <c r="G136" s="1239">
        <v>4500</v>
      </c>
      <c r="H136" s="1572" t="s">
        <v>1160</v>
      </c>
      <c r="I136" s="1572"/>
      <c r="J136" s="1572" t="s">
        <v>1138</v>
      </c>
      <c r="K136" s="1572" t="s">
        <v>905</v>
      </c>
      <c r="L136" s="1573"/>
      <c r="M136" s="1573"/>
      <c r="N136" s="1574"/>
    </row>
    <row r="137" spans="1:14" x14ac:dyDescent="0.2">
      <c r="A137" s="1571">
        <v>135</v>
      </c>
      <c r="B137" s="1572">
        <v>24</v>
      </c>
      <c r="C137" s="1572" t="s">
        <v>1427</v>
      </c>
      <c r="D137" s="1568" t="s">
        <v>1340</v>
      </c>
      <c r="E137" s="1726" t="s">
        <v>1228</v>
      </c>
      <c r="F137" s="1239">
        <v>2000</v>
      </c>
      <c r="G137" s="1239">
        <v>2000</v>
      </c>
      <c r="H137" s="1572" t="s">
        <v>1159</v>
      </c>
      <c r="I137" s="1572"/>
      <c r="J137" s="1572" t="s">
        <v>1138</v>
      </c>
      <c r="K137" s="1572" t="s">
        <v>905</v>
      </c>
      <c r="L137" s="1573"/>
      <c r="M137" s="1573"/>
      <c r="N137" s="1574"/>
    </row>
    <row r="138" spans="1:14" x14ac:dyDescent="0.2">
      <c r="A138" s="1571">
        <v>136</v>
      </c>
      <c r="B138" s="1572">
        <v>24</v>
      </c>
      <c r="C138" s="1572" t="s">
        <v>1428</v>
      </c>
      <c r="D138" s="1568" t="s">
        <v>1341</v>
      </c>
      <c r="E138" s="1726" t="s">
        <v>1228</v>
      </c>
      <c r="F138" s="1239">
        <v>2500</v>
      </c>
      <c r="G138" s="1239">
        <v>2500</v>
      </c>
      <c r="H138" s="1572" t="s">
        <v>1159</v>
      </c>
      <c r="I138" s="1572"/>
      <c r="J138" s="1572" t="s">
        <v>1138</v>
      </c>
      <c r="K138" s="1572" t="s">
        <v>905</v>
      </c>
      <c r="L138" s="1573"/>
      <c r="M138" s="1573"/>
      <c r="N138" s="1574"/>
    </row>
    <row r="139" spans="1:14" x14ac:dyDescent="0.2">
      <c r="A139" s="1571">
        <v>137</v>
      </c>
      <c r="B139" s="1572">
        <v>24</v>
      </c>
      <c r="C139" s="1572" t="s">
        <v>1429</v>
      </c>
      <c r="D139" s="1568" t="s">
        <v>1342</v>
      </c>
      <c r="E139" s="1726" t="s">
        <v>1228</v>
      </c>
      <c r="F139" s="1239">
        <v>1450</v>
      </c>
      <c r="G139" s="1239">
        <v>1450</v>
      </c>
      <c r="H139" s="1572" t="s">
        <v>1162</v>
      </c>
      <c r="I139" s="1572"/>
      <c r="J139" s="1572" t="s">
        <v>1141</v>
      </c>
      <c r="K139" s="1572" t="s">
        <v>905</v>
      </c>
      <c r="L139" s="1573"/>
      <c r="M139" s="1573"/>
      <c r="N139" s="1574"/>
    </row>
    <row r="140" spans="1:14" x14ac:dyDescent="0.2">
      <c r="A140" s="1571">
        <v>138</v>
      </c>
      <c r="B140" s="1572">
        <v>25</v>
      </c>
      <c r="C140" s="1806" t="s">
        <v>1405</v>
      </c>
      <c r="D140" s="1568" t="s">
        <v>1343</v>
      </c>
      <c r="E140" s="1726" t="s">
        <v>1297</v>
      </c>
      <c r="F140" s="1239">
        <v>1500</v>
      </c>
      <c r="G140" s="1239">
        <v>1500</v>
      </c>
      <c r="H140" s="1572" t="s">
        <v>1158</v>
      </c>
      <c r="I140" s="1572"/>
      <c r="J140" s="1572" t="s">
        <v>1141</v>
      </c>
      <c r="K140" s="1572" t="s">
        <v>905</v>
      </c>
      <c r="L140" s="1573"/>
      <c r="M140" s="1573"/>
      <c r="N140" s="1574"/>
    </row>
    <row r="141" spans="1:14" x14ac:dyDescent="0.2">
      <c r="A141" s="1571">
        <v>139</v>
      </c>
      <c r="B141" s="1572">
        <v>25</v>
      </c>
      <c r="C141" s="1572" t="s">
        <v>1405</v>
      </c>
      <c r="D141" s="1568" t="s">
        <v>1344</v>
      </c>
      <c r="E141" s="1726" t="s">
        <v>1277</v>
      </c>
      <c r="F141" s="1239">
        <v>1500</v>
      </c>
      <c r="G141" s="1239">
        <v>1500</v>
      </c>
      <c r="H141" s="1572" t="s">
        <v>1158</v>
      </c>
      <c r="I141" s="1572"/>
      <c r="J141" s="1572" t="s">
        <v>1141</v>
      </c>
      <c r="K141" s="1572" t="s">
        <v>905</v>
      </c>
      <c r="L141" s="1573"/>
      <c r="M141" s="1573"/>
      <c r="N141" s="1574"/>
    </row>
    <row r="142" spans="1:14" x14ac:dyDescent="0.2">
      <c r="A142" s="1571">
        <v>140</v>
      </c>
      <c r="B142" s="1572">
        <v>25</v>
      </c>
      <c r="C142" s="1572" t="s">
        <v>1405</v>
      </c>
      <c r="D142" s="1568" t="s">
        <v>1345</v>
      </c>
      <c r="E142" s="1726" t="s">
        <v>1346</v>
      </c>
      <c r="F142" s="1239">
        <v>1500</v>
      </c>
      <c r="G142" s="1239">
        <v>1500</v>
      </c>
      <c r="H142" s="1572" t="s">
        <v>1158</v>
      </c>
      <c r="I142" s="1572"/>
      <c r="J142" s="1572" t="s">
        <v>1141</v>
      </c>
      <c r="K142" s="1572" t="s">
        <v>905</v>
      </c>
      <c r="L142" s="1573"/>
      <c r="M142" s="1573"/>
      <c r="N142" s="1574"/>
    </row>
    <row r="143" spans="1:14" x14ac:dyDescent="0.2">
      <c r="A143" s="1571">
        <v>141</v>
      </c>
      <c r="B143" s="1572">
        <v>25</v>
      </c>
      <c r="C143" s="1572" t="s">
        <v>1405</v>
      </c>
      <c r="D143" s="1568" t="s">
        <v>1347</v>
      </c>
      <c r="E143" s="1726" t="s">
        <v>1258</v>
      </c>
      <c r="F143" s="1239">
        <v>1500</v>
      </c>
      <c r="G143" s="1239">
        <v>1500</v>
      </c>
      <c r="H143" s="1572" t="s">
        <v>1158</v>
      </c>
      <c r="I143" s="1572"/>
      <c r="J143" s="1572" t="s">
        <v>1141</v>
      </c>
      <c r="K143" s="1572" t="s">
        <v>905</v>
      </c>
      <c r="L143" s="1573"/>
      <c r="M143" s="1573"/>
      <c r="N143" s="1574"/>
    </row>
    <row r="144" spans="1:14" x14ac:dyDescent="0.2">
      <c r="A144" s="1571">
        <v>142</v>
      </c>
      <c r="B144" s="1572">
        <v>25</v>
      </c>
      <c r="C144" s="1572" t="s">
        <v>1405</v>
      </c>
      <c r="D144" s="1568" t="s">
        <v>1348</v>
      </c>
      <c r="E144" s="1726" t="s">
        <v>1349</v>
      </c>
      <c r="F144" s="1239">
        <v>1500</v>
      </c>
      <c r="G144" s="1239">
        <v>1500</v>
      </c>
      <c r="H144" s="1572" t="s">
        <v>1158</v>
      </c>
      <c r="I144" s="1572"/>
      <c r="J144" s="1572" t="s">
        <v>1141</v>
      </c>
      <c r="K144" s="1572" t="s">
        <v>1022</v>
      </c>
      <c r="L144" s="1573"/>
      <c r="M144" s="1573"/>
      <c r="N144" s="1574"/>
    </row>
    <row r="145" spans="1:14" x14ac:dyDescent="0.2">
      <c r="A145" s="1571">
        <v>143</v>
      </c>
      <c r="B145" s="1572">
        <v>25</v>
      </c>
      <c r="C145" s="1572" t="s">
        <v>1405</v>
      </c>
      <c r="D145" s="1568" t="s">
        <v>1350</v>
      </c>
      <c r="E145" s="1726" t="s">
        <v>1250</v>
      </c>
      <c r="F145" s="1239">
        <v>1500</v>
      </c>
      <c r="G145" s="1239">
        <v>1500</v>
      </c>
      <c r="H145" s="1572" t="s">
        <v>1158</v>
      </c>
      <c r="I145" s="1572"/>
      <c r="J145" s="1572" t="s">
        <v>1141</v>
      </c>
      <c r="K145" s="1572" t="s">
        <v>1022</v>
      </c>
      <c r="L145" s="1573"/>
      <c r="M145" s="1573"/>
      <c r="N145" s="1574"/>
    </row>
    <row r="146" spans="1:14" x14ac:dyDescent="0.2">
      <c r="A146" s="1571">
        <v>144</v>
      </c>
      <c r="B146" s="1572">
        <v>25</v>
      </c>
      <c r="C146" s="1572" t="s">
        <v>1405</v>
      </c>
      <c r="D146" s="1568" t="s">
        <v>1351</v>
      </c>
      <c r="E146" s="1726" t="s">
        <v>1352</v>
      </c>
      <c r="F146" s="1239">
        <v>1500</v>
      </c>
      <c r="G146" s="1239">
        <v>1500</v>
      </c>
      <c r="H146" s="1572" t="s">
        <v>1158</v>
      </c>
      <c r="I146" s="1572"/>
      <c r="J146" s="1572" t="s">
        <v>1141</v>
      </c>
      <c r="K146" s="1572" t="s">
        <v>1022</v>
      </c>
      <c r="L146" s="1573"/>
      <c r="M146" s="1573"/>
      <c r="N146" s="1574"/>
    </row>
    <row r="147" spans="1:14" x14ac:dyDescent="0.2">
      <c r="A147" s="1571">
        <v>145</v>
      </c>
      <c r="B147" s="1572">
        <v>25</v>
      </c>
      <c r="C147" s="1572" t="s">
        <v>1405</v>
      </c>
      <c r="D147" s="1568" t="s">
        <v>1353</v>
      </c>
      <c r="E147" s="1726" t="s">
        <v>1295</v>
      </c>
      <c r="F147" s="1239">
        <v>1500</v>
      </c>
      <c r="G147" s="1239">
        <v>1500</v>
      </c>
      <c r="H147" s="1572" t="s">
        <v>1158</v>
      </c>
      <c r="I147" s="1572"/>
      <c r="J147" s="1572" t="s">
        <v>1141</v>
      </c>
      <c r="K147" s="1572" t="s">
        <v>1022</v>
      </c>
      <c r="L147" s="1573"/>
      <c r="M147" s="1573"/>
      <c r="N147" s="1574"/>
    </row>
    <row r="148" spans="1:14" x14ac:dyDescent="0.2">
      <c r="A148" s="1571">
        <v>146</v>
      </c>
      <c r="B148" s="1572">
        <v>25</v>
      </c>
      <c r="C148" s="1572" t="s">
        <v>1405</v>
      </c>
      <c r="D148" s="1568" t="s">
        <v>1354</v>
      </c>
      <c r="E148" s="1726" t="s">
        <v>1279</v>
      </c>
      <c r="F148" s="1239">
        <v>1500</v>
      </c>
      <c r="G148" s="1239">
        <v>1500</v>
      </c>
      <c r="H148" s="1572" t="s">
        <v>1158</v>
      </c>
      <c r="I148" s="1572"/>
      <c r="J148" s="1572" t="s">
        <v>1141</v>
      </c>
      <c r="K148" s="1572" t="s">
        <v>844</v>
      </c>
      <c r="L148" s="1573"/>
      <c r="M148" s="1573"/>
      <c r="N148" s="1574"/>
    </row>
    <row r="149" spans="1:14" x14ac:dyDescent="0.2">
      <c r="A149" s="1571">
        <v>147</v>
      </c>
      <c r="B149" s="1572">
        <v>25</v>
      </c>
      <c r="C149" s="1572" t="s">
        <v>1405</v>
      </c>
      <c r="D149" s="1568" t="s">
        <v>1355</v>
      </c>
      <c r="E149" s="1726" t="s">
        <v>1230</v>
      </c>
      <c r="F149" s="1239">
        <v>1500</v>
      </c>
      <c r="G149" s="1239">
        <v>1500</v>
      </c>
      <c r="H149" s="1572" t="s">
        <v>1158</v>
      </c>
      <c r="I149" s="1572"/>
      <c r="J149" s="1572" t="s">
        <v>1141</v>
      </c>
      <c r="K149" s="1572" t="s">
        <v>844</v>
      </c>
      <c r="L149" s="1573"/>
      <c r="M149" s="1573"/>
      <c r="N149" s="1574"/>
    </row>
    <row r="150" spans="1:14" x14ac:dyDescent="0.2">
      <c r="A150" s="1571">
        <v>148</v>
      </c>
      <c r="B150" s="1572">
        <v>25</v>
      </c>
      <c r="C150" s="1572" t="s">
        <v>1405</v>
      </c>
      <c r="D150" s="1568" t="s">
        <v>1356</v>
      </c>
      <c r="E150" s="1726" t="s">
        <v>1299</v>
      </c>
      <c r="F150" s="1239">
        <v>1500</v>
      </c>
      <c r="G150" s="1239">
        <v>1500</v>
      </c>
      <c r="H150" s="1572" t="s">
        <v>1158</v>
      </c>
      <c r="I150" s="1572"/>
      <c r="J150" s="1572" t="s">
        <v>1141</v>
      </c>
      <c r="K150" s="1572" t="s">
        <v>844</v>
      </c>
      <c r="L150" s="1573"/>
      <c r="M150" s="1573"/>
      <c r="N150" s="1574"/>
    </row>
    <row r="151" spans="1:14" x14ac:dyDescent="0.2">
      <c r="A151" s="1571">
        <v>149</v>
      </c>
      <c r="B151" s="1572">
        <v>25</v>
      </c>
      <c r="C151" s="1572" t="s">
        <v>1405</v>
      </c>
      <c r="D151" s="1568" t="s">
        <v>1357</v>
      </c>
      <c r="E151" s="1726" t="s">
        <v>1237</v>
      </c>
      <c r="F151" s="1239">
        <v>1500</v>
      </c>
      <c r="G151" s="1239">
        <v>1500</v>
      </c>
      <c r="H151" s="1572" t="s">
        <v>1158</v>
      </c>
      <c r="I151" s="1572"/>
      <c r="J151" s="1572" t="s">
        <v>1141</v>
      </c>
      <c r="K151" s="1572" t="s">
        <v>844</v>
      </c>
      <c r="L151" s="1573"/>
      <c r="M151" s="1573"/>
      <c r="N151" s="1574"/>
    </row>
    <row r="152" spans="1:14" x14ac:dyDescent="0.2">
      <c r="A152" s="1571">
        <v>150</v>
      </c>
      <c r="B152" s="1572">
        <v>25</v>
      </c>
      <c r="C152" s="1572" t="s">
        <v>1405</v>
      </c>
      <c r="D152" s="1568" t="s">
        <v>1358</v>
      </c>
      <c r="E152" s="1726" t="s">
        <v>1221</v>
      </c>
      <c r="F152" s="1239">
        <v>1500</v>
      </c>
      <c r="G152" s="1239">
        <v>1500</v>
      </c>
      <c r="H152" s="1572" t="s">
        <v>1158</v>
      </c>
      <c r="I152" s="1572"/>
      <c r="J152" s="1572" t="s">
        <v>1141</v>
      </c>
      <c r="K152" s="1572" t="s">
        <v>966</v>
      </c>
      <c r="L152" s="1573"/>
      <c r="M152" s="1573"/>
      <c r="N152" s="1574"/>
    </row>
    <row r="153" spans="1:14" x14ac:dyDescent="0.2">
      <c r="A153" s="1571">
        <v>151</v>
      </c>
      <c r="B153" s="1572">
        <v>25</v>
      </c>
      <c r="C153" s="1572" t="s">
        <v>1405</v>
      </c>
      <c r="D153" s="1568" t="s">
        <v>1359</v>
      </c>
      <c r="E153" s="1726" t="s">
        <v>1212</v>
      </c>
      <c r="F153" s="1239">
        <v>1500</v>
      </c>
      <c r="G153" s="1239">
        <v>1500</v>
      </c>
      <c r="H153" s="1572" t="s">
        <v>1158</v>
      </c>
      <c r="I153" s="1572"/>
      <c r="J153" s="1572" t="s">
        <v>1141</v>
      </c>
      <c r="K153" s="1572" t="s">
        <v>966</v>
      </c>
      <c r="L153" s="1573"/>
      <c r="M153" s="1573"/>
      <c r="N153" s="1574"/>
    </row>
    <row r="154" spans="1:14" x14ac:dyDescent="0.2">
      <c r="A154" s="1571">
        <v>152</v>
      </c>
      <c r="B154" s="1572">
        <v>25</v>
      </c>
      <c r="C154" s="1572" t="s">
        <v>1405</v>
      </c>
      <c r="D154" s="1568" t="s">
        <v>1360</v>
      </c>
      <c r="E154" s="1726" t="s">
        <v>1228</v>
      </c>
      <c r="F154" s="1239">
        <v>1500</v>
      </c>
      <c r="G154" s="1239">
        <v>1500</v>
      </c>
      <c r="H154" s="1572" t="s">
        <v>1158</v>
      </c>
      <c r="I154" s="1572"/>
      <c r="J154" s="1572" t="s">
        <v>1141</v>
      </c>
      <c r="K154" s="1572" t="s">
        <v>966</v>
      </c>
      <c r="L154" s="1573"/>
      <c r="M154" s="1573"/>
      <c r="N154" s="1574"/>
    </row>
    <row r="155" spans="1:14" x14ac:dyDescent="0.2">
      <c r="A155" s="1571">
        <v>153</v>
      </c>
      <c r="B155" s="1572">
        <v>25</v>
      </c>
      <c r="C155" s="1572" t="s">
        <v>1405</v>
      </c>
      <c r="D155" s="1568" t="s">
        <v>1361</v>
      </c>
      <c r="E155" s="1726" t="s">
        <v>1307</v>
      </c>
      <c r="F155" s="1239">
        <v>1500</v>
      </c>
      <c r="G155" s="1239">
        <v>1500</v>
      </c>
      <c r="H155" s="1572" t="s">
        <v>1158</v>
      </c>
      <c r="I155" s="1572"/>
      <c r="J155" s="1572" t="s">
        <v>1141</v>
      </c>
      <c r="K155" s="1572" t="s">
        <v>966</v>
      </c>
      <c r="L155" s="1573"/>
      <c r="M155" s="1573"/>
      <c r="N155" s="1574"/>
    </row>
    <row r="156" spans="1:14" x14ac:dyDescent="0.2">
      <c r="A156" s="1571">
        <v>154</v>
      </c>
      <c r="B156" s="1572">
        <v>25</v>
      </c>
      <c r="C156" s="1572" t="s">
        <v>1405</v>
      </c>
      <c r="D156" s="1568" t="s">
        <v>1362</v>
      </c>
      <c r="E156" s="1726" t="s">
        <v>1284</v>
      </c>
      <c r="F156" s="1239">
        <v>3000</v>
      </c>
      <c r="G156" s="1239">
        <v>3000</v>
      </c>
      <c r="H156" s="1572" t="s">
        <v>1158</v>
      </c>
      <c r="I156" s="1572"/>
      <c r="J156" s="1572" t="s">
        <v>1141</v>
      </c>
      <c r="K156" s="1572" t="s">
        <v>871</v>
      </c>
      <c r="L156" s="1573"/>
      <c r="M156" s="1573"/>
      <c r="N156" s="1574"/>
    </row>
    <row r="157" spans="1:14" x14ac:dyDescent="0.2">
      <c r="A157" s="1571">
        <v>155</v>
      </c>
      <c r="B157" s="1572">
        <v>25</v>
      </c>
      <c r="C157" s="1572" t="s">
        <v>1405</v>
      </c>
      <c r="D157" s="1568" t="s">
        <v>1363</v>
      </c>
      <c r="E157" s="1726" t="s">
        <v>1239</v>
      </c>
      <c r="F157" s="1239">
        <v>3000</v>
      </c>
      <c r="G157" s="1239">
        <v>3000</v>
      </c>
      <c r="H157" s="1572" t="s">
        <v>1158</v>
      </c>
      <c r="I157" s="1572"/>
      <c r="J157" s="1572" t="s">
        <v>1141</v>
      </c>
      <c r="K157" s="1572" t="s">
        <v>871</v>
      </c>
      <c r="L157" s="1573"/>
      <c r="M157" s="1573"/>
      <c r="N157" s="1574"/>
    </row>
    <row r="158" spans="1:14" x14ac:dyDescent="0.2">
      <c r="A158" s="1571">
        <v>156</v>
      </c>
      <c r="B158" s="1572">
        <v>25</v>
      </c>
      <c r="C158" s="1572" t="s">
        <v>1405</v>
      </c>
      <c r="D158" s="1568" t="s">
        <v>1364</v>
      </c>
      <c r="E158" s="1726" t="s">
        <v>1247</v>
      </c>
      <c r="F158" s="1239">
        <v>3000</v>
      </c>
      <c r="G158" s="1239">
        <v>3000</v>
      </c>
      <c r="H158" s="1572" t="s">
        <v>1158</v>
      </c>
      <c r="I158" s="1572"/>
      <c r="J158" s="1572" t="s">
        <v>1141</v>
      </c>
      <c r="K158" s="1572" t="s">
        <v>871</v>
      </c>
      <c r="L158" s="1573"/>
      <c r="M158" s="1573"/>
      <c r="N158" s="1574"/>
    </row>
    <row r="159" spans="1:14" x14ac:dyDescent="0.2">
      <c r="A159" s="1571">
        <v>157</v>
      </c>
      <c r="B159" s="1572">
        <v>25</v>
      </c>
      <c r="C159" s="1572" t="s">
        <v>1405</v>
      </c>
      <c r="D159" s="1568" t="s">
        <v>1365</v>
      </c>
      <c r="E159" s="1726" t="s">
        <v>1221</v>
      </c>
      <c r="F159" s="1239">
        <v>3000</v>
      </c>
      <c r="G159" s="1239">
        <v>3000</v>
      </c>
      <c r="H159" s="1572" t="s">
        <v>1158</v>
      </c>
      <c r="I159" s="1572"/>
      <c r="J159" s="1572" t="s">
        <v>1141</v>
      </c>
      <c r="K159" s="1572" t="s">
        <v>906</v>
      </c>
      <c r="L159" s="1573"/>
      <c r="M159" s="1573"/>
      <c r="N159" s="1574"/>
    </row>
    <row r="160" spans="1:14" x14ac:dyDescent="0.2">
      <c r="A160" s="1571">
        <v>158</v>
      </c>
      <c r="B160" s="1572">
        <v>25</v>
      </c>
      <c r="C160" s="1572" t="s">
        <v>1405</v>
      </c>
      <c r="D160" s="1568" t="s">
        <v>1366</v>
      </c>
      <c r="E160" s="1726" t="s">
        <v>1322</v>
      </c>
      <c r="F160" s="1239">
        <v>3000</v>
      </c>
      <c r="G160" s="1239">
        <v>3000</v>
      </c>
      <c r="H160" s="1572" t="s">
        <v>1158</v>
      </c>
      <c r="I160" s="1572"/>
      <c r="J160" s="1572" t="s">
        <v>1141</v>
      </c>
      <c r="K160" s="1572" t="s">
        <v>906</v>
      </c>
      <c r="L160" s="1573"/>
      <c r="M160" s="1573"/>
      <c r="N160" s="1574"/>
    </row>
    <row r="161" spans="1:14" x14ac:dyDescent="0.2">
      <c r="A161" s="1571">
        <v>159</v>
      </c>
      <c r="B161" s="1572">
        <v>25</v>
      </c>
      <c r="C161" s="1572" t="s">
        <v>1405</v>
      </c>
      <c r="D161" s="1568" t="s">
        <v>1367</v>
      </c>
      <c r="E161" s="1726" t="s">
        <v>1290</v>
      </c>
      <c r="F161" s="1239">
        <v>3000</v>
      </c>
      <c r="G161" s="1239">
        <v>3000</v>
      </c>
      <c r="H161" s="1572" t="s">
        <v>1158</v>
      </c>
      <c r="I161" s="1572"/>
      <c r="J161" s="1572" t="s">
        <v>1141</v>
      </c>
      <c r="K161" s="1572" t="s">
        <v>906</v>
      </c>
      <c r="L161" s="1573"/>
      <c r="M161" s="1573"/>
      <c r="N161" s="1574"/>
    </row>
    <row r="162" spans="1:14" x14ac:dyDescent="0.2">
      <c r="A162" s="1571">
        <v>160</v>
      </c>
      <c r="B162" s="1572">
        <v>26</v>
      </c>
      <c r="C162" s="1806" t="s">
        <v>1406</v>
      </c>
      <c r="D162" s="1568" t="s">
        <v>1368</v>
      </c>
      <c r="E162" s="1726" t="s">
        <v>1293</v>
      </c>
      <c r="F162" s="1239">
        <v>9500</v>
      </c>
      <c r="G162" s="1239">
        <v>9500</v>
      </c>
      <c r="H162" s="1572" t="s">
        <v>1157</v>
      </c>
      <c r="I162" s="1572"/>
      <c r="J162" s="1572" t="s">
        <v>1138</v>
      </c>
      <c r="K162" s="1572" t="s">
        <v>905</v>
      </c>
      <c r="L162" s="1573"/>
      <c r="M162" s="1573"/>
      <c r="N162" s="1574"/>
    </row>
    <row r="163" spans="1:14" x14ac:dyDescent="0.2">
      <c r="A163" s="1571">
        <v>161</v>
      </c>
      <c r="B163" s="1572">
        <v>26</v>
      </c>
      <c r="C163" s="1572" t="s">
        <v>1406</v>
      </c>
      <c r="D163" s="1568" t="s">
        <v>1369</v>
      </c>
      <c r="E163" s="1726" t="s">
        <v>1293</v>
      </c>
      <c r="F163" s="1239">
        <v>9500</v>
      </c>
      <c r="G163" s="1239">
        <v>9500</v>
      </c>
      <c r="H163" s="1572" t="s">
        <v>1157</v>
      </c>
      <c r="I163" s="1572"/>
      <c r="J163" s="1572" t="s">
        <v>1138</v>
      </c>
      <c r="K163" s="1572" t="s">
        <v>1022</v>
      </c>
      <c r="L163" s="1573"/>
      <c r="M163" s="1573"/>
      <c r="N163" s="1574"/>
    </row>
    <row r="164" spans="1:14" x14ac:dyDescent="0.2">
      <c r="A164" s="1571">
        <v>162</v>
      </c>
      <c r="B164" s="1572">
        <v>26</v>
      </c>
      <c r="C164" s="1572" t="s">
        <v>1406</v>
      </c>
      <c r="D164" s="1568" t="s">
        <v>1370</v>
      </c>
      <c r="E164" s="1726" t="s">
        <v>1293</v>
      </c>
      <c r="F164" s="1239">
        <v>9500</v>
      </c>
      <c r="G164" s="1239">
        <v>9500</v>
      </c>
      <c r="H164" s="1572" t="s">
        <v>1157</v>
      </c>
      <c r="I164" s="1572"/>
      <c r="J164" s="1572" t="s">
        <v>1138</v>
      </c>
      <c r="K164" s="1572" t="s">
        <v>844</v>
      </c>
      <c r="L164" s="1573"/>
      <c r="M164" s="1573"/>
      <c r="N164" s="1574"/>
    </row>
    <row r="165" spans="1:14" x14ac:dyDescent="0.2">
      <c r="A165" s="1571">
        <v>163</v>
      </c>
      <c r="B165" s="1572">
        <v>26</v>
      </c>
      <c r="C165" s="1572" t="s">
        <v>1406</v>
      </c>
      <c r="D165" s="1568" t="s">
        <v>1371</v>
      </c>
      <c r="E165" s="1726" t="s">
        <v>1349</v>
      </c>
      <c r="F165" s="1239">
        <v>9500</v>
      </c>
      <c r="G165" s="1239">
        <v>9500</v>
      </c>
      <c r="H165" s="1572" t="s">
        <v>1157</v>
      </c>
      <c r="I165" s="1572"/>
      <c r="J165" s="1572" t="s">
        <v>1138</v>
      </c>
      <c r="K165" s="1572" t="s">
        <v>871</v>
      </c>
      <c r="L165" s="1573"/>
      <c r="M165" s="1573"/>
      <c r="N165" s="1574"/>
    </row>
    <row r="166" spans="1:14" x14ac:dyDescent="0.2">
      <c r="A166" s="1571">
        <v>164</v>
      </c>
      <c r="B166" s="1572">
        <v>26</v>
      </c>
      <c r="C166" s="1572" t="s">
        <v>1406</v>
      </c>
      <c r="D166" s="1568" t="s">
        <v>1372</v>
      </c>
      <c r="E166" s="1726" t="s">
        <v>1349</v>
      </c>
      <c r="F166" s="1239">
        <v>9500</v>
      </c>
      <c r="G166" s="1239">
        <v>9500</v>
      </c>
      <c r="H166" s="1572" t="s">
        <v>1157</v>
      </c>
      <c r="I166" s="1572"/>
      <c r="J166" s="1572" t="s">
        <v>1138</v>
      </c>
      <c r="K166" s="1572" t="s">
        <v>966</v>
      </c>
      <c r="L166" s="1573"/>
      <c r="M166" s="1573"/>
      <c r="N166" s="1574"/>
    </row>
    <row r="167" spans="1:14" x14ac:dyDescent="0.2">
      <c r="A167" s="1571">
        <v>165</v>
      </c>
      <c r="B167" s="1572">
        <v>26</v>
      </c>
      <c r="C167" s="1572" t="s">
        <v>1406</v>
      </c>
      <c r="D167" s="1568" t="s">
        <v>1373</v>
      </c>
      <c r="E167" s="1726" t="s">
        <v>1349</v>
      </c>
      <c r="F167" s="1239">
        <v>9500</v>
      </c>
      <c r="G167" s="1239">
        <v>9500</v>
      </c>
      <c r="H167" s="1572" t="s">
        <v>1157</v>
      </c>
      <c r="I167" s="1572"/>
      <c r="J167" s="1572" t="s">
        <v>1138</v>
      </c>
      <c r="K167" s="1572" t="s">
        <v>906</v>
      </c>
      <c r="L167" s="1573"/>
      <c r="M167" s="1573"/>
      <c r="N167" s="1574"/>
    </row>
    <row r="168" spans="1:14" x14ac:dyDescent="0.2">
      <c r="A168" s="1571">
        <v>166</v>
      </c>
      <c r="B168" s="1572">
        <v>27</v>
      </c>
      <c r="C168" s="1806" t="s">
        <v>1407</v>
      </c>
      <c r="D168" s="1568" t="s">
        <v>1374</v>
      </c>
      <c r="E168" s="1726" t="s">
        <v>1284</v>
      </c>
      <c r="F168" s="1239">
        <v>10500</v>
      </c>
      <c r="G168" s="1239">
        <v>10500</v>
      </c>
      <c r="H168" s="1572" t="s">
        <v>1149</v>
      </c>
      <c r="I168" s="1572"/>
      <c r="J168" s="1572" t="s">
        <v>1143</v>
      </c>
      <c r="K168" s="1572" t="s">
        <v>473</v>
      </c>
      <c r="L168" s="1573"/>
      <c r="M168" s="1573"/>
      <c r="N168" s="1574"/>
    </row>
    <row r="169" spans="1:14" x14ac:dyDescent="0.2">
      <c r="A169" s="1571">
        <v>167</v>
      </c>
      <c r="B169" s="1572">
        <v>27</v>
      </c>
      <c r="C169" s="1572" t="s">
        <v>1407</v>
      </c>
      <c r="D169" s="1568" t="s">
        <v>1375</v>
      </c>
      <c r="E169" s="1726" t="s">
        <v>1284</v>
      </c>
      <c r="F169" s="1239">
        <v>2493.75</v>
      </c>
      <c r="G169" s="1239">
        <v>2493.75</v>
      </c>
      <c r="H169" s="1572" t="s">
        <v>1149</v>
      </c>
      <c r="I169" s="1572"/>
      <c r="J169" s="1572" t="s">
        <v>1144</v>
      </c>
      <c r="K169" s="1572" t="s">
        <v>473</v>
      </c>
      <c r="L169" s="1573"/>
      <c r="M169" s="1573"/>
      <c r="N169" s="1574"/>
    </row>
    <row r="170" spans="1:14" x14ac:dyDescent="0.2">
      <c r="A170" s="1571">
        <v>168</v>
      </c>
      <c r="B170" s="1572">
        <v>27</v>
      </c>
      <c r="C170" s="1572" t="s">
        <v>1407</v>
      </c>
      <c r="D170" s="1568" t="s">
        <v>1376</v>
      </c>
      <c r="E170" s="1726" t="s">
        <v>1287</v>
      </c>
      <c r="F170" s="1239">
        <v>21000</v>
      </c>
      <c r="G170" s="1239">
        <v>21000</v>
      </c>
      <c r="H170" s="1572" t="s">
        <v>1149</v>
      </c>
      <c r="I170" s="1572"/>
      <c r="J170" s="1572" t="s">
        <v>1143</v>
      </c>
      <c r="K170" s="1572" t="s">
        <v>473</v>
      </c>
      <c r="L170" s="1573"/>
      <c r="M170" s="1573"/>
      <c r="N170" s="1574"/>
    </row>
    <row r="171" spans="1:14" x14ac:dyDescent="0.2">
      <c r="A171" s="1571">
        <v>169</v>
      </c>
      <c r="B171" s="1572">
        <v>27</v>
      </c>
      <c r="C171" s="1572" t="s">
        <v>1407</v>
      </c>
      <c r="D171" s="1568" t="s">
        <v>1377</v>
      </c>
      <c r="E171" s="1726" t="s">
        <v>1287</v>
      </c>
      <c r="F171" s="1239">
        <v>4987.5</v>
      </c>
      <c r="G171" s="1239">
        <v>4987.5</v>
      </c>
      <c r="H171" s="1572" t="s">
        <v>1149</v>
      </c>
      <c r="I171" s="1572"/>
      <c r="J171" s="1572" t="s">
        <v>1144</v>
      </c>
      <c r="K171" s="1572" t="s">
        <v>473</v>
      </c>
      <c r="L171" s="1573"/>
      <c r="M171" s="1573"/>
      <c r="N171" s="1574"/>
    </row>
    <row r="172" spans="1:14" x14ac:dyDescent="0.2">
      <c r="A172" s="1571">
        <v>170</v>
      </c>
      <c r="B172" s="1572">
        <v>27</v>
      </c>
      <c r="C172" s="1572" t="s">
        <v>1407</v>
      </c>
      <c r="D172" s="1568" t="s">
        <v>1378</v>
      </c>
      <c r="E172" s="1726" t="s">
        <v>1290</v>
      </c>
      <c r="F172" s="1239">
        <v>10500</v>
      </c>
      <c r="G172" s="1239">
        <v>10500</v>
      </c>
      <c r="H172" s="1572" t="s">
        <v>1149</v>
      </c>
      <c r="I172" s="1572"/>
      <c r="J172" s="1572" t="s">
        <v>1143</v>
      </c>
      <c r="K172" s="1572" t="s">
        <v>473</v>
      </c>
      <c r="L172" s="1573"/>
      <c r="M172" s="1573"/>
      <c r="N172" s="1574"/>
    </row>
    <row r="173" spans="1:14" x14ac:dyDescent="0.2">
      <c r="A173" s="1571">
        <v>171</v>
      </c>
      <c r="B173" s="1572">
        <v>27</v>
      </c>
      <c r="C173" s="1572" t="s">
        <v>1407</v>
      </c>
      <c r="D173" s="1568" t="s">
        <v>1379</v>
      </c>
      <c r="E173" s="1726" t="s">
        <v>1290</v>
      </c>
      <c r="F173" s="1239">
        <v>2493.75</v>
      </c>
      <c r="G173" s="1239">
        <v>2493.75</v>
      </c>
      <c r="H173" s="1572" t="s">
        <v>1149</v>
      </c>
      <c r="I173" s="1572"/>
      <c r="J173" s="1572" t="s">
        <v>1144</v>
      </c>
      <c r="K173" s="1572" t="s">
        <v>473</v>
      </c>
      <c r="L173" s="1573"/>
      <c r="M173" s="1573"/>
      <c r="N173" s="1574"/>
    </row>
    <row r="174" spans="1:14" x14ac:dyDescent="0.2">
      <c r="A174" s="1571">
        <v>172</v>
      </c>
      <c r="B174" s="1572">
        <v>27</v>
      </c>
      <c r="C174" s="1572" t="s">
        <v>1407</v>
      </c>
      <c r="D174" s="1568" t="s">
        <v>1380</v>
      </c>
      <c r="E174" s="1726" t="s">
        <v>1293</v>
      </c>
      <c r="F174" s="1239">
        <v>1500</v>
      </c>
      <c r="G174" s="1239">
        <v>1500</v>
      </c>
      <c r="H174" s="1572" t="s">
        <v>1147</v>
      </c>
      <c r="I174" s="1572"/>
      <c r="J174" s="1572" t="s">
        <v>1131</v>
      </c>
      <c r="K174" s="1572" t="s">
        <v>473</v>
      </c>
      <c r="L174" s="1573"/>
      <c r="M174" s="1573"/>
      <c r="N174" s="1574"/>
    </row>
    <row r="175" spans="1:14" x14ac:dyDescent="0.2">
      <c r="A175" s="1571">
        <v>173</v>
      </c>
      <c r="B175" s="1572">
        <v>28</v>
      </c>
      <c r="C175" s="1806" t="s">
        <v>1409</v>
      </c>
      <c r="D175" s="1568" t="s">
        <v>1408</v>
      </c>
      <c r="E175" s="1726" t="s">
        <v>1284</v>
      </c>
      <c r="F175" s="1239">
        <v>15000</v>
      </c>
      <c r="G175" s="1239">
        <v>15000</v>
      </c>
      <c r="H175" s="1572" t="s">
        <v>1163</v>
      </c>
      <c r="I175" s="1572"/>
      <c r="J175" s="1572" t="s">
        <v>1138</v>
      </c>
      <c r="K175" s="1572" t="s">
        <v>906</v>
      </c>
      <c r="L175" s="1573"/>
      <c r="M175" s="1573"/>
      <c r="N175" s="1574"/>
    </row>
    <row r="176" spans="1:14" x14ac:dyDescent="0.2">
      <c r="A176" s="1571">
        <v>174</v>
      </c>
      <c r="B176" s="1572">
        <v>29</v>
      </c>
      <c r="C176" s="1806" t="s">
        <v>1410</v>
      </c>
      <c r="D176" s="1568" t="s">
        <v>1382</v>
      </c>
      <c r="E176" s="1726" t="s">
        <v>1349</v>
      </c>
      <c r="F176" s="1239">
        <v>15000</v>
      </c>
      <c r="G176" s="1239">
        <v>15000</v>
      </c>
      <c r="H176" s="1572" t="s">
        <v>1163</v>
      </c>
      <c r="I176" s="1572"/>
      <c r="J176" s="1572" t="s">
        <v>1138</v>
      </c>
      <c r="K176" s="1572" t="s">
        <v>906</v>
      </c>
      <c r="L176" s="1573"/>
      <c r="M176" s="1573"/>
      <c r="N176" s="1574"/>
    </row>
    <row r="177" spans="1:14" x14ac:dyDescent="0.2">
      <c r="A177" s="1571">
        <v>175</v>
      </c>
      <c r="B177" s="1572">
        <v>29</v>
      </c>
      <c r="C177" s="1572" t="s">
        <v>1410</v>
      </c>
      <c r="D177" s="1568" t="s">
        <v>1382</v>
      </c>
      <c r="E177" s="1726" t="s">
        <v>1352</v>
      </c>
      <c r="F177" s="1239">
        <v>15000</v>
      </c>
      <c r="G177" s="1239">
        <v>15000</v>
      </c>
      <c r="H177" s="1572" t="s">
        <v>1163</v>
      </c>
      <c r="I177" s="1572"/>
      <c r="J177" s="1572" t="s">
        <v>1138</v>
      </c>
      <c r="K177" s="1572" t="s">
        <v>1022</v>
      </c>
      <c r="L177" s="1573"/>
      <c r="M177" s="1573"/>
      <c r="N177" s="1574"/>
    </row>
    <row r="178" spans="1:14" x14ac:dyDescent="0.2">
      <c r="A178" s="1571">
        <v>176</v>
      </c>
      <c r="B178" s="1572">
        <v>30</v>
      </c>
      <c r="C178" s="1572" t="s">
        <v>1411</v>
      </c>
      <c r="D178" s="1568" t="s">
        <v>1383</v>
      </c>
      <c r="E178" s="1726" t="s">
        <v>1322</v>
      </c>
      <c r="F178" s="1239">
        <v>2500</v>
      </c>
      <c r="G178" s="1239">
        <v>2500</v>
      </c>
      <c r="H178" s="1572" t="s">
        <v>1164</v>
      </c>
      <c r="I178" s="1572"/>
      <c r="J178" s="1572" t="s">
        <v>1138</v>
      </c>
      <c r="K178" s="1572" t="s">
        <v>473</v>
      </c>
      <c r="L178" s="1573"/>
      <c r="M178" s="1573"/>
      <c r="N178" s="1574"/>
    </row>
    <row r="179" spans="1:14" x14ac:dyDescent="0.2">
      <c r="A179" s="1571">
        <v>177</v>
      </c>
      <c r="B179" s="1572">
        <v>30</v>
      </c>
      <c r="C179" s="1572" t="s">
        <v>1411</v>
      </c>
      <c r="D179" s="1568" t="s">
        <v>1384</v>
      </c>
      <c r="E179" s="1726" t="s">
        <v>1290</v>
      </c>
      <c r="F179" s="1239">
        <v>2500</v>
      </c>
      <c r="G179" s="1239">
        <v>2500</v>
      </c>
      <c r="H179" s="1572" t="s">
        <v>1164</v>
      </c>
      <c r="I179" s="1572"/>
      <c r="J179" s="1572" t="s">
        <v>1138</v>
      </c>
      <c r="K179" s="1572" t="s">
        <v>473</v>
      </c>
      <c r="L179" s="1573"/>
      <c r="M179" s="1573"/>
      <c r="N179" s="1574"/>
    </row>
    <row r="180" spans="1:14" x14ac:dyDescent="0.2">
      <c r="A180" s="1571">
        <v>178</v>
      </c>
      <c r="B180" s="1572">
        <v>31</v>
      </c>
      <c r="C180" s="1572" t="s">
        <v>1381</v>
      </c>
      <c r="D180" s="1568" t="s">
        <v>1381</v>
      </c>
      <c r="E180" s="1726" t="s">
        <v>1250</v>
      </c>
      <c r="F180" s="1239">
        <v>10000</v>
      </c>
      <c r="G180" s="1239">
        <v>10000</v>
      </c>
      <c r="H180" s="1572" t="s">
        <v>1148</v>
      </c>
      <c r="I180" s="1572"/>
      <c r="J180" s="1572" t="s">
        <v>1134</v>
      </c>
      <c r="K180" s="1572" t="s">
        <v>473</v>
      </c>
      <c r="L180" s="1573"/>
      <c r="M180" s="1573"/>
      <c r="N180" s="1574"/>
    </row>
  </sheetData>
  <mergeCells count="14">
    <mergeCell ref="M1:M2"/>
    <mergeCell ref="N1:N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dataValidations count="2">
    <dataValidation type="list" allowBlank="1" showInputMessage="1" showErrorMessage="1" sqref="H3:H180">
      <formula1>$Q$32:$Q$64</formula1>
    </dataValidation>
    <dataValidation type="list" allowBlank="1" showInputMessage="1" showErrorMessage="1" sqref="J3:J180">
      <formula1>$Q$1:$Q$29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Relatório!$AC$2:$AC$248</xm:f>
          </x14:formula1>
          <xm:sqref>K3:K83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26">
    <tabColor rgb="FFC00000"/>
  </sheetPr>
  <dimension ref="A1:AT32"/>
  <sheetViews>
    <sheetView workbookViewId="0">
      <selection activeCell="D10" sqref="D10"/>
    </sheetView>
  </sheetViews>
  <sheetFormatPr defaultColWidth="9.140625" defaultRowHeight="12" x14ac:dyDescent="0.25"/>
  <cols>
    <col min="1" max="1" width="1.140625" style="650" customWidth="1"/>
    <col min="2" max="2" width="40.42578125" style="650" bestFit="1" customWidth="1"/>
    <col min="3" max="12" width="10.5703125" style="650" bestFit="1" customWidth="1"/>
    <col min="13" max="14" width="9.140625" style="650"/>
    <col min="15" max="46" width="9.140625" style="1313"/>
    <col min="47" max="16384" width="9.140625" style="831"/>
  </cols>
  <sheetData>
    <row r="1" spans="1:46" ht="6.6" customHeight="1" thickBot="1" x14ac:dyDescent="0.3"/>
    <row r="2" spans="1:46" ht="12.75" thickTop="1" x14ac:dyDescent="0.25">
      <c r="B2" s="1314" t="s">
        <v>565</v>
      </c>
      <c r="C2" s="1315"/>
      <c r="D2" s="1315"/>
      <c r="E2" s="1315"/>
      <c r="F2" s="1315"/>
      <c r="G2" s="1315"/>
      <c r="H2" s="1315"/>
      <c r="I2" s="1315"/>
      <c r="J2" s="1315"/>
      <c r="K2" s="1315"/>
      <c r="L2" s="1351"/>
    </row>
    <row r="3" spans="1:46" ht="12.75" thickBot="1" x14ac:dyDescent="0.3">
      <c r="B3" s="1316"/>
      <c r="C3" s="1317"/>
      <c r="D3" s="1317"/>
      <c r="E3" s="1317"/>
      <c r="F3" s="1317"/>
      <c r="G3" s="1317"/>
      <c r="H3" s="1317"/>
      <c r="I3" s="1317"/>
      <c r="J3" s="1317"/>
      <c r="K3" s="1317"/>
      <c r="L3" s="1352"/>
    </row>
    <row r="4" spans="1:46" ht="12.75" thickBot="1" x14ac:dyDescent="0.3">
      <c r="B4" s="1353" t="s">
        <v>556</v>
      </c>
      <c r="C4" s="1318" t="s">
        <v>295</v>
      </c>
      <c r="D4" s="1319"/>
      <c r="E4" s="1319"/>
      <c r="F4" s="1319"/>
      <c r="G4" s="1319"/>
      <c r="H4" s="1319"/>
      <c r="I4" s="1319"/>
      <c r="J4" s="1319"/>
      <c r="K4" s="1319"/>
      <c r="L4" s="1354"/>
    </row>
    <row r="5" spans="1:46" x14ac:dyDescent="0.25">
      <c r="B5" s="1320"/>
      <c r="C5" s="1319"/>
      <c r="D5" s="1319"/>
      <c r="E5" s="1319"/>
      <c r="F5" s="1319"/>
      <c r="G5" s="1319"/>
      <c r="H5" s="1319"/>
      <c r="I5" s="1319"/>
      <c r="J5" s="1319"/>
      <c r="K5" s="1319"/>
      <c r="L5" s="1354"/>
    </row>
    <row r="6" spans="1:46" s="1324" customFormat="1" x14ac:dyDescent="0.25">
      <c r="A6" s="1321"/>
      <c r="B6" s="1322" t="s">
        <v>182</v>
      </c>
      <c r="C6" s="1350">
        <f>Pressupostos!C11</f>
        <v>2020</v>
      </c>
      <c r="D6" s="1350">
        <f t="shared" ref="D6:L6" si="0">C6+1</f>
        <v>2021</v>
      </c>
      <c r="E6" s="1350">
        <f t="shared" si="0"/>
        <v>2022</v>
      </c>
      <c r="F6" s="1350">
        <f t="shared" si="0"/>
        <v>2023</v>
      </c>
      <c r="G6" s="1350">
        <f t="shared" si="0"/>
        <v>2024</v>
      </c>
      <c r="H6" s="1350">
        <f t="shared" si="0"/>
        <v>2025</v>
      </c>
      <c r="I6" s="1350">
        <f t="shared" si="0"/>
        <v>2026</v>
      </c>
      <c r="J6" s="1350">
        <f t="shared" si="0"/>
        <v>2027</v>
      </c>
      <c r="K6" s="1350">
        <f t="shared" si="0"/>
        <v>2028</v>
      </c>
      <c r="L6" s="1355">
        <f t="shared" si="0"/>
        <v>2029</v>
      </c>
      <c r="M6" s="1321"/>
      <c r="N6" s="1321"/>
      <c r="O6" s="1323"/>
      <c r="P6" s="1323"/>
      <c r="Q6" s="1323"/>
      <c r="R6" s="1323"/>
      <c r="S6" s="1323"/>
      <c r="T6" s="1323"/>
      <c r="U6" s="1323"/>
      <c r="V6" s="1323"/>
      <c r="W6" s="1323"/>
      <c r="X6" s="1323"/>
      <c r="Y6" s="1323"/>
      <c r="Z6" s="1323"/>
      <c r="AA6" s="1323"/>
      <c r="AB6" s="1323"/>
      <c r="AC6" s="1323"/>
      <c r="AD6" s="1323"/>
      <c r="AE6" s="1323"/>
      <c r="AF6" s="1323"/>
      <c r="AG6" s="1323"/>
      <c r="AH6" s="1323"/>
      <c r="AI6" s="1323"/>
      <c r="AJ6" s="1323"/>
      <c r="AK6" s="1323"/>
      <c r="AL6" s="1323"/>
      <c r="AM6" s="1323"/>
      <c r="AN6" s="1323"/>
      <c r="AO6" s="1323"/>
      <c r="AP6" s="1323"/>
      <c r="AQ6" s="1323"/>
      <c r="AR6" s="1323"/>
      <c r="AS6" s="1323"/>
      <c r="AT6" s="1323"/>
    </row>
    <row r="7" spans="1:46" x14ac:dyDescent="0.25">
      <c r="B7" s="1325" t="s">
        <v>557</v>
      </c>
      <c r="C7" s="1367">
        <f>'DR Empresa'!C21</f>
        <v>52067.258736049873</v>
      </c>
      <c r="D7" s="1367">
        <f>'DR Empresa'!D21</f>
        <v>93897.52754993469</v>
      </c>
      <c r="E7" s="1367">
        <f>'DR Empresa'!E21</f>
        <v>87265.720623978763</v>
      </c>
      <c r="F7" s="1367">
        <f>'DR Empresa'!F21</f>
        <v>101993.65458807966</v>
      </c>
      <c r="G7" s="1367">
        <f>'DR Empresa'!G21</f>
        <v>104005.68722858414</v>
      </c>
      <c r="H7" s="1367">
        <f>'DR Empresa'!H21</f>
        <v>102796.21245382773</v>
      </c>
      <c r="I7" s="1367">
        <f>'DR Empresa'!I21</f>
        <v>104891.06522933819</v>
      </c>
      <c r="J7" s="1367">
        <f>'DR Empresa'!J21</f>
        <v>107028.59752374026</v>
      </c>
      <c r="K7" s="1367">
        <f>'DR Empresa'!K21</f>
        <v>109209.67865492532</v>
      </c>
      <c r="L7" s="1368">
        <f>'DR Empresa'!L21</f>
        <v>111435.19564326655</v>
      </c>
    </row>
    <row r="8" spans="1:46" x14ac:dyDescent="0.25">
      <c r="B8" s="1326" t="s">
        <v>558</v>
      </c>
      <c r="C8" s="1369">
        <f>-'DR Empresa'!C28</f>
        <v>-7184.8061343136133</v>
      </c>
      <c r="D8" s="1369">
        <f>-'DR Empresa'!D28</f>
        <v>-14350.048617369564</v>
      </c>
      <c r="E8" s="1369">
        <f>-'DR Empresa'!E28</f>
        <v>-12871.620058756949</v>
      </c>
      <c r="F8" s="1369">
        <f>-'DR Empresa'!F28</f>
        <v>-16199.133200407119</v>
      </c>
      <c r="G8" s="1369">
        <f>-'DR Empresa'!G28</f>
        <v>-16665.568544248094</v>
      </c>
      <c r="H8" s="1369">
        <f>-'DR Empresa'!H28</f>
        <v>-18653.732719723503</v>
      </c>
      <c r="I8" s="1369">
        <f>-'DR Empresa'!I28</f>
        <v>-19125.074594213354</v>
      </c>
      <c r="J8" s="1369">
        <f>-'DR Empresa'!J28</f>
        <v>-19606.019360453822</v>
      </c>
      <c r="K8" s="1369">
        <f>-'DR Empresa'!K28</f>
        <v>-22668.109797358193</v>
      </c>
      <c r="L8" s="1370">
        <f>-'DR Empresa'!L28</f>
        <v>-23168.851119734969</v>
      </c>
    </row>
    <row r="9" spans="1:46" x14ac:dyDescent="0.25">
      <c r="B9" s="1326" t="s">
        <v>564</v>
      </c>
      <c r="C9" s="1327">
        <f>-FM!H18</f>
        <v>-247467.66891957284</v>
      </c>
      <c r="D9" s="1327">
        <f>-FM!I18</f>
        <v>-32679.349864786956</v>
      </c>
      <c r="E9" s="1327">
        <f>-FM!J18</f>
        <v>-37892.747626675176</v>
      </c>
      <c r="F9" s="1327">
        <f>-FM!K18</f>
        <v>-38084.394320220803</v>
      </c>
      <c r="G9" s="1327">
        <f>-FM!L18</f>
        <v>-14004.335102317971</v>
      </c>
      <c r="H9" s="1327">
        <f>-FM!M18</f>
        <v>-12982.347469519125</v>
      </c>
      <c r="I9" s="1327">
        <f>-FM!N18</f>
        <v>-14800.077054568334</v>
      </c>
      <c r="J9" s="1327">
        <f>-FM!O18</f>
        <v>-15097.429683292168</v>
      </c>
      <c r="K9" s="1327">
        <f>-FM!P18</f>
        <v>-12829.409339064034</v>
      </c>
      <c r="L9" s="1356">
        <f>-FM!Q18</f>
        <v>-15710.177599088638</v>
      </c>
    </row>
    <row r="10" spans="1:46" x14ac:dyDescent="0.25">
      <c r="B10" s="1326" t="s">
        <v>639</v>
      </c>
      <c r="C10" s="1327">
        <f>-SUM(PlanoInvest!C96:C99)</f>
        <v>0</v>
      </c>
      <c r="D10" s="1327">
        <f>-SUM(PlanoInvest!D96:D99)</f>
        <v>-40000</v>
      </c>
      <c r="E10" s="1327">
        <f>-SUM(PlanoInvest!E96:E99)</f>
        <v>0</v>
      </c>
      <c r="F10" s="1327">
        <f>-SUM(PlanoInvest!F96:F99)</f>
        <v>0</v>
      </c>
      <c r="G10" s="1327">
        <f>-SUM(PlanoInvest!G96:G99)</f>
        <v>0</v>
      </c>
      <c r="H10" s="1327">
        <f>-SUM(PlanoInvest!H96:H99)</f>
        <v>0</v>
      </c>
      <c r="I10" s="1327">
        <f>-SUM(PlanoInvest!I96:I99)</f>
        <v>0</v>
      </c>
      <c r="J10" s="1327">
        <f>-SUM(PlanoInvest!J96:J99)</f>
        <v>0</v>
      </c>
      <c r="K10" s="1327">
        <f>-SUM(PlanoInvest!K96:K99)</f>
        <v>0</v>
      </c>
      <c r="L10" s="1356">
        <f>-SUM(PlanoInvest!L96:L99)</f>
        <v>0</v>
      </c>
    </row>
    <row r="11" spans="1:46" ht="12.75" thickBot="1" x14ac:dyDescent="0.3">
      <c r="B11" s="1328" t="s">
        <v>559</v>
      </c>
      <c r="C11" s="1329">
        <f>-'DR Empresa'!C26</f>
        <v>-11672.26302798936</v>
      </c>
      <c r="D11" s="1329">
        <f>-'DR Empresa'!D26</f>
        <v>-11657.009694958839</v>
      </c>
      <c r="E11" s="1329">
        <f>-'DR Empresa'!E26</f>
        <v>-11595.996362836757</v>
      </c>
      <c r="F11" s="1329">
        <f>-'DR Empresa'!F26</f>
        <v>-11534.983030714675</v>
      </c>
      <c r="G11" s="1329">
        <f>-'DR Empresa'!G26</f>
        <v>-11473.969698592593</v>
      </c>
      <c r="H11" s="1329">
        <f>-'DR Empresa'!H26</f>
        <v>-11428.209699501032</v>
      </c>
      <c r="I11" s="1329">
        <f>-'DR Empresa'!I26</f>
        <v>-11428.209699501032</v>
      </c>
      <c r="J11" s="1329">
        <f>-'DR Empresa'!J26</f>
        <v>-11428.209699501032</v>
      </c>
      <c r="K11" s="1329">
        <f>-'DR Empresa'!K26</f>
        <v>0</v>
      </c>
      <c r="L11" s="1357">
        <f>-'DR Empresa'!L26</f>
        <v>0</v>
      </c>
    </row>
    <row r="12" spans="1:46" ht="12.75" thickTop="1" x14ac:dyDescent="0.25">
      <c r="B12" s="1330" t="s">
        <v>560</v>
      </c>
      <c r="C12" s="1331">
        <f t="shared" ref="C12:L12" si="1">SUM(C7:C11)</f>
        <v>-214257.47934582594</v>
      </c>
      <c r="D12" s="1331">
        <f t="shared" si="1"/>
        <v>-4788.8806271806734</v>
      </c>
      <c r="E12" s="1331">
        <f t="shared" si="1"/>
        <v>24905.356575709884</v>
      </c>
      <c r="F12" s="1331">
        <f t="shared" si="1"/>
        <v>36175.144036737067</v>
      </c>
      <c r="G12" s="1331">
        <f t="shared" si="1"/>
        <v>61861.813883425486</v>
      </c>
      <c r="H12" s="1331">
        <f t="shared" si="1"/>
        <v>59731.922565084067</v>
      </c>
      <c r="I12" s="1331">
        <f t="shared" si="1"/>
        <v>59537.703881055466</v>
      </c>
      <c r="J12" s="1331">
        <f t="shared" si="1"/>
        <v>60896.938780493234</v>
      </c>
      <c r="K12" s="1331">
        <f t="shared" si="1"/>
        <v>73712.159518503089</v>
      </c>
      <c r="L12" s="1358">
        <f t="shared" si="1"/>
        <v>72556.166924442936</v>
      </c>
    </row>
    <row r="13" spans="1:46" ht="12.75" thickBot="1" x14ac:dyDescent="0.3">
      <c r="B13" s="1332" t="s">
        <v>561</v>
      </c>
      <c r="C13" s="1333"/>
      <c r="D13" s="1333"/>
      <c r="E13" s="1333"/>
      <c r="F13" s="1333"/>
      <c r="G13" s="1333"/>
      <c r="H13" s="1333"/>
      <c r="I13" s="1333"/>
      <c r="J13" s="1333"/>
      <c r="K13" s="1333"/>
      <c r="L13" s="1359">
        <f>IF($C$4="Sim",L12*(1+Pressupostos!$M$17)/(Pressupostos!$C$35-Pressupostos!$M$17),'Balanço Futuro'!L19+FM!Q16)</f>
        <v>1221362.1432281227</v>
      </c>
    </row>
    <row r="14" spans="1:46" s="1338" customFormat="1" ht="12.75" thickTop="1" x14ac:dyDescent="0.25">
      <c r="A14" s="1334"/>
      <c r="B14" s="1335" t="s">
        <v>562</v>
      </c>
      <c r="C14" s="1336">
        <f t="shared" ref="C14:L14" si="2">C12+C13</f>
        <v>-214257.47934582594</v>
      </c>
      <c r="D14" s="1336">
        <f t="shared" si="2"/>
        <v>-4788.8806271806734</v>
      </c>
      <c r="E14" s="1336">
        <f t="shared" si="2"/>
        <v>24905.356575709884</v>
      </c>
      <c r="F14" s="1336">
        <f t="shared" si="2"/>
        <v>36175.144036737067</v>
      </c>
      <c r="G14" s="1336">
        <f t="shared" si="2"/>
        <v>61861.813883425486</v>
      </c>
      <c r="H14" s="1336">
        <f t="shared" si="2"/>
        <v>59731.922565084067</v>
      </c>
      <c r="I14" s="1336">
        <f t="shared" si="2"/>
        <v>59537.703881055466</v>
      </c>
      <c r="J14" s="1336">
        <f t="shared" si="2"/>
        <v>60896.938780493234</v>
      </c>
      <c r="K14" s="1336">
        <f t="shared" si="2"/>
        <v>73712.159518503089</v>
      </c>
      <c r="L14" s="1360">
        <f t="shared" si="2"/>
        <v>1293918.3101525656</v>
      </c>
      <c r="M14" s="1334"/>
      <c r="N14" s="1334"/>
      <c r="O14" s="1337"/>
      <c r="P14" s="1337"/>
      <c r="Q14" s="1337"/>
      <c r="R14" s="1337"/>
      <c r="S14" s="1337"/>
      <c r="T14" s="1337"/>
      <c r="U14" s="1337"/>
      <c r="V14" s="1337"/>
      <c r="W14" s="1337"/>
      <c r="X14" s="1337"/>
      <c r="Y14" s="1337"/>
      <c r="Z14" s="1337"/>
      <c r="AA14" s="1337"/>
      <c r="AB14" s="1337"/>
      <c r="AC14" s="1337"/>
      <c r="AD14" s="1337"/>
      <c r="AE14" s="1337"/>
      <c r="AF14" s="1337"/>
      <c r="AG14" s="1337"/>
      <c r="AH14" s="1337"/>
      <c r="AI14" s="1337"/>
      <c r="AJ14" s="1337"/>
      <c r="AK14" s="1337"/>
      <c r="AL14" s="1337"/>
      <c r="AM14" s="1337"/>
      <c r="AN14" s="1337"/>
      <c r="AO14" s="1337"/>
      <c r="AP14" s="1337"/>
      <c r="AQ14" s="1337"/>
      <c r="AR14" s="1337"/>
      <c r="AS14" s="1337"/>
      <c r="AT14" s="1337"/>
    </row>
    <row r="15" spans="1:46" s="1343" customFormat="1" x14ac:dyDescent="0.25">
      <c r="A15" s="1339"/>
      <c r="B15" s="1340" t="s">
        <v>640</v>
      </c>
      <c r="C15" s="1341">
        <f>1/((1+Pressupostos!$C$35)^(C$6-$C$6))</f>
        <v>1</v>
      </c>
      <c r="D15" s="1341">
        <f>1/((1+Pressupostos!$C$35)^(D$6-$C$6))</f>
        <v>0.93457943925233644</v>
      </c>
      <c r="E15" s="1341">
        <f>1/((1+Pressupostos!$C$35)^(E$6-$C$6))</f>
        <v>0.87343872827321156</v>
      </c>
      <c r="F15" s="1341">
        <f>1/((1+Pressupostos!$C$35)^(F$6-$C$6))</f>
        <v>0.81629787689085187</v>
      </c>
      <c r="G15" s="1341">
        <f>1/((1+Pressupostos!$C$35)^(G$6-$C$6))</f>
        <v>0.7628952120475252</v>
      </c>
      <c r="H15" s="1341">
        <f>1/((1+Pressupostos!$C$35)^(H$6-$C$6))</f>
        <v>0.71298617948366838</v>
      </c>
      <c r="I15" s="1341">
        <f>1/((1+Pressupostos!$C$35)^(I$6-$C$6))</f>
        <v>0.66634222381651254</v>
      </c>
      <c r="J15" s="1341">
        <f>1/((1+Pressupostos!$C$35)^(J$6-$C$6))</f>
        <v>0.62274974188459109</v>
      </c>
      <c r="K15" s="1341">
        <f>1/((1+Pressupostos!$C$35)^(K$6-$C$6))</f>
        <v>0.5820091045650384</v>
      </c>
      <c r="L15" s="1361">
        <f>1/((1+Pressupostos!$C$35)^(L$6-$C$6))</f>
        <v>0.54393374258414806</v>
      </c>
      <c r="M15" s="1339"/>
      <c r="N15" s="1339"/>
      <c r="O15" s="1342"/>
      <c r="P15" s="1342"/>
      <c r="Q15" s="1342"/>
      <c r="R15" s="1342"/>
      <c r="S15" s="1342"/>
      <c r="T15" s="1342"/>
      <c r="U15" s="1342"/>
      <c r="V15" s="1342"/>
      <c r="W15" s="1342"/>
      <c r="X15" s="1342"/>
      <c r="Y15" s="1342"/>
      <c r="Z15" s="1342"/>
      <c r="AA15" s="1342"/>
      <c r="AB15" s="1342"/>
      <c r="AC15" s="1342"/>
      <c r="AD15" s="1342"/>
      <c r="AE15" s="1342"/>
      <c r="AF15" s="1342"/>
      <c r="AG15" s="1342"/>
      <c r="AH15" s="1342"/>
      <c r="AI15" s="1342"/>
      <c r="AJ15" s="1342"/>
      <c r="AK15" s="1342"/>
      <c r="AL15" s="1342"/>
      <c r="AM15" s="1342"/>
      <c r="AN15" s="1342"/>
      <c r="AO15" s="1342"/>
      <c r="AP15" s="1342"/>
      <c r="AQ15" s="1342"/>
      <c r="AR15" s="1342"/>
      <c r="AS15" s="1342"/>
      <c r="AT15" s="1342"/>
    </row>
    <row r="16" spans="1:46" x14ac:dyDescent="0.25">
      <c r="B16" s="1344" t="s">
        <v>566</v>
      </c>
      <c r="C16" s="1345">
        <f t="shared" ref="C16:L16" si="3">C14*C15</f>
        <v>-214257.47934582594</v>
      </c>
      <c r="D16" s="1345">
        <f t="shared" si="3"/>
        <v>-4475.5893711968911</v>
      </c>
      <c r="E16" s="1345">
        <f t="shared" si="3"/>
        <v>21753.302974678907</v>
      </c>
      <c r="F16" s="1345">
        <f t="shared" si="3"/>
        <v>29529.69327340923</v>
      </c>
      <c r="G16" s="1345">
        <f t="shared" si="3"/>
        <v>47194.081620240424</v>
      </c>
      <c r="H16" s="1345">
        <f t="shared" si="3"/>
        <v>42588.035262893609</v>
      </c>
      <c r="I16" s="1345">
        <f t="shared" si="3"/>
        <v>39672.486005031511</v>
      </c>
      <c r="J16" s="1345">
        <f t="shared" si="3"/>
        <v>37923.55290711391</v>
      </c>
      <c r="K16" s="1345">
        <f t="shared" si="3"/>
        <v>42901.147956919252</v>
      </c>
      <c r="L16" s="1362">
        <f t="shared" si="3"/>
        <v>703805.82903944142</v>
      </c>
    </row>
    <row r="17" spans="2:12" x14ac:dyDescent="0.25">
      <c r="B17" s="1346" t="s">
        <v>641</v>
      </c>
      <c r="C17" s="1347">
        <f>D14+NPV(Pressupostos!$C$35,C14:F14)</f>
        <v>-161284.27545796073</v>
      </c>
      <c r="D17" s="2"/>
      <c r="E17" s="2"/>
      <c r="F17" s="2"/>
      <c r="G17" s="2"/>
      <c r="H17" s="2"/>
      <c r="I17" s="2"/>
      <c r="J17" s="2"/>
      <c r="K17" s="2"/>
      <c r="L17" s="1363"/>
    </row>
    <row r="18" spans="2:12" ht="12.75" thickBot="1" x14ac:dyDescent="0.3">
      <c r="B18" s="1364" t="s">
        <v>1194</v>
      </c>
      <c r="C18" s="1365">
        <f>IFERROR(IRR(C14:F14),"-")</f>
        <v>-0.38570334540029383</v>
      </c>
      <c r="D18" s="1348"/>
      <c r="E18" s="1348"/>
      <c r="F18" s="1348"/>
      <c r="G18" s="1348"/>
      <c r="H18" s="1348"/>
      <c r="I18" s="1348"/>
      <c r="J18" s="1348"/>
      <c r="K18" s="1348"/>
      <c r="L18" s="1366"/>
    </row>
    <row r="19" spans="2:12" ht="12.75" thickTop="1" x14ac:dyDescent="0.25"/>
    <row r="29" spans="2:12" x14ac:dyDescent="0.25">
      <c r="C29" s="1349"/>
    </row>
    <row r="30" spans="2:12" x14ac:dyDescent="0.25">
      <c r="C30" s="1349"/>
    </row>
    <row r="31" spans="2:12" x14ac:dyDescent="0.25">
      <c r="C31" s="1349"/>
    </row>
    <row r="32" spans="2:12" x14ac:dyDescent="0.25">
      <c r="C32" s="1349"/>
    </row>
  </sheetData>
  <dataValidations count="1">
    <dataValidation type="list" allowBlank="1" showInputMessage="1" showErrorMessage="1" sqref="C4">
      <formula1>"Sim,Não"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27">
    <tabColor rgb="FFC00000"/>
  </sheetPr>
  <dimension ref="A1:BB109"/>
  <sheetViews>
    <sheetView workbookViewId="0">
      <selection activeCell="S23" sqref="S23"/>
    </sheetView>
  </sheetViews>
  <sheetFormatPr defaultColWidth="9.140625" defaultRowHeight="12" outlineLevelCol="1" x14ac:dyDescent="0.25"/>
  <cols>
    <col min="1" max="1" width="1.5703125" style="831" customWidth="1"/>
    <col min="2" max="2" width="29.85546875" style="650" bestFit="1" customWidth="1"/>
    <col min="3" max="3" width="10.140625" style="650" bestFit="1" customWidth="1" outlineLevel="1"/>
    <col min="4" max="4" width="9.42578125" style="650" bestFit="1" customWidth="1" outlineLevel="1"/>
    <col min="5" max="5" width="10.140625" style="650" bestFit="1" customWidth="1" outlineLevel="1"/>
    <col min="6" max="15" width="10.140625" style="650" bestFit="1" customWidth="1"/>
    <col min="16" max="16" width="9.140625" style="1313" customWidth="1"/>
    <col min="17" max="54" width="9.140625" style="1313"/>
    <col min="55" max="16384" width="9.140625" style="831"/>
  </cols>
  <sheetData>
    <row r="1" spans="2:54" ht="12.75" thickBot="1" x14ac:dyDescent="0.3"/>
    <row r="2" spans="2:54" x14ac:dyDescent="0.25">
      <c r="B2" s="1977" t="s">
        <v>567</v>
      </c>
      <c r="C2" s="1978"/>
      <c r="D2" s="1978"/>
      <c r="E2" s="1978"/>
      <c r="F2" s="1978"/>
      <c r="G2" s="1978"/>
      <c r="H2" s="1978"/>
      <c r="I2" s="1978"/>
      <c r="J2" s="1978"/>
      <c r="K2" s="1978"/>
      <c r="L2" s="1978"/>
      <c r="M2" s="1978"/>
      <c r="N2" s="1978"/>
      <c r="O2" s="1979"/>
    </row>
    <row r="3" spans="2:54" x14ac:dyDescent="0.25">
      <c r="B3" s="1480"/>
      <c r="C3" s="1434">
        <f t="shared" ref="C3:D3" si="0">D3-1</f>
        <v>2017</v>
      </c>
      <c r="D3" s="1434">
        <f t="shared" si="0"/>
        <v>2018</v>
      </c>
      <c r="E3" s="1434">
        <f>F3-1</f>
        <v>2019</v>
      </c>
      <c r="F3" s="1434">
        <f>Pressupostos!C11</f>
        <v>2020</v>
      </c>
      <c r="G3" s="1434">
        <f>F3+1</f>
        <v>2021</v>
      </c>
      <c r="H3" s="1434">
        <f t="shared" ref="H3:K3" si="1">G3+1</f>
        <v>2022</v>
      </c>
      <c r="I3" s="1434">
        <f t="shared" si="1"/>
        <v>2023</v>
      </c>
      <c r="J3" s="1434">
        <f t="shared" si="1"/>
        <v>2024</v>
      </c>
      <c r="K3" s="1434">
        <f t="shared" si="1"/>
        <v>2025</v>
      </c>
      <c r="L3" s="1434">
        <f t="shared" ref="L3" si="2">K3+1</f>
        <v>2026</v>
      </c>
      <c r="M3" s="1434">
        <f t="shared" ref="M3" si="3">L3+1</f>
        <v>2027</v>
      </c>
      <c r="N3" s="1434">
        <f t="shared" ref="N3" si="4">M3+1</f>
        <v>2028</v>
      </c>
      <c r="O3" s="1435">
        <f t="shared" ref="O3" si="5">N3+1</f>
        <v>2029</v>
      </c>
    </row>
    <row r="4" spans="2:54" x14ac:dyDescent="0.25">
      <c r="B4" s="1426" t="s">
        <v>631</v>
      </c>
      <c r="C4" s="1372">
        <f>DR_Form!B79</f>
        <v>0</v>
      </c>
      <c r="D4" s="1372">
        <f>DR_Form!C79</f>
        <v>0</v>
      </c>
      <c r="E4" s="1372">
        <f>DR_Form!D79</f>
        <v>3479532.14</v>
      </c>
      <c r="F4" s="1372">
        <f>DR_Form!E79</f>
        <v>3690043.83</v>
      </c>
      <c r="G4" s="1372">
        <f>DR_Form!F79</f>
        <v>3913291.49</v>
      </c>
      <c r="H4" s="1372">
        <f>DR_Form!G79</f>
        <v>4150045.62</v>
      </c>
      <c r="I4" s="1372">
        <f>DR_Form!H79</f>
        <v>4401123.38</v>
      </c>
      <c r="J4" s="1372">
        <f>DR_Form!I79</f>
        <v>4489585.96</v>
      </c>
      <c r="K4" s="1372">
        <f>DR_Form!J79</f>
        <v>4579826.6399999997</v>
      </c>
      <c r="L4" s="1372">
        <f>DR_Form!K79</f>
        <v>4671881.1500000004</v>
      </c>
      <c r="M4" s="1372">
        <f>DR_Form!L79</f>
        <v>4765785.97</v>
      </c>
      <c r="N4" s="1372" t="s">
        <v>1196</v>
      </c>
      <c r="O4" s="1372" t="s">
        <v>1196</v>
      </c>
    </row>
    <row r="5" spans="2:54" x14ac:dyDescent="0.25">
      <c r="B5" s="1427" t="s">
        <v>568</v>
      </c>
      <c r="C5" s="1374">
        <f>DR_Form!B110</f>
        <v>0</v>
      </c>
      <c r="D5" s="1374">
        <f>DR_Form!C110</f>
        <v>0</v>
      </c>
      <c r="E5" s="1374">
        <f>DR_Form!D110</f>
        <v>31854.57</v>
      </c>
      <c r="F5" s="1374">
        <f>DR_Form!E110</f>
        <v>24747.67</v>
      </c>
      <c r="G5" s="1374">
        <f>DR_Form!F110</f>
        <v>49427.95</v>
      </c>
      <c r="H5" s="1374">
        <f>DR_Form!G110</f>
        <v>44335.58</v>
      </c>
      <c r="I5" s="1374">
        <f>DR_Form!H110</f>
        <v>55797.01</v>
      </c>
      <c r="J5" s="1374">
        <f>DR_Form!I110</f>
        <v>57403.62</v>
      </c>
      <c r="K5" s="1374">
        <f>DR_Form!J110</f>
        <v>64251.75</v>
      </c>
      <c r="L5" s="1374">
        <f>DR_Form!K110</f>
        <v>65875.259999999995</v>
      </c>
      <c r="M5" s="1374">
        <f>DR_Form!L110</f>
        <v>67531.839999999997</v>
      </c>
      <c r="N5" s="1374" t="s">
        <v>1196</v>
      </c>
      <c r="O5" s="1428" t="s">
        <v>1196</v>
      </c>
    </row>
    <row r="6" spans="2:54" x14ac:dyDescent="0.25">
      <c r="B6" s="1427" t="s">
        <v>569</v>
      </c>
      <c r="C6" s="1374"/>
      <c r="D6" s="1374"/>
      <c r="E6" s="1374"/>
      <c r="F6" s="1374"/>
      <c r="G6" s="1374"/>
      <c r="H6" s="1374"/>
      <c r="I6" s="1374"/>
      <c r="J6" s="1374"/>
      <c r="K6" s="1374"/>
      <c r="L6" s="1374"/>
      <c r="M6" s="1374"/>
      <c r="N6" s="1374"/>
      <c r="O6" s="1428"/>
    </row>
    <row r="7" spans="2:54" s="1376" customFormat="1" x14ac:dyDescent="0.25">
      <c r="B7" s="1427" t="s">
        <v>570</v>
      </c>
      <c r="C7" s="1374">
        <f>DR_Form!B114</f>
        <v>0</v>
      </c>
      <c r="D7" s="1374">
        <f>DR_Form!C114</f>
        <v>0</v>
      </c>
      <c r="E7" s="1374">
        <f>DR_Form!D114</f>
        <v>47101.820000000022</v>
      </c>
      <c r="F7" s="1374">
        <f>DR_Form!E114</f>
        <v>33210.189999999842</v>
      </c>
      <c r="G7" s="1374">
        <f>DR_Form!F114</f>
        <v>67890.470000000409</v>
      </c>
      <c r="H7" s="1374">
        <f>DR_Form!G114</f>
        <v>62798.099999999977</v>
      </c>
      <c r="I7" s="1374">
        <f>DR_Form!H114</f>
        <v>74259.52999999962</v>
      </c>
      <c r="J7" s="1374">
        <f>DR_Form!I114</f>
        <v>75866.140000000174</v>
      </c>
      <c r="K7" s="1374">
        <f>DR_Form!J114</f>
        <v>72714.269999999902</v>
      </c>
      <c r="L7" s="1374">
        <f>DR_Form!K114</f>
        <v>74337.780000000566</v>
      </c>
      <c r="M7" s="1374">
        <f>DR_Form!L114</f>
        <v>75994.359999999899</v>
      </c>
      <c r="N7" s="1374"/>
      <c r="O7" s="1428"/>
      <c r="P7" s="1375"/>
      <c r="Q7" s="1375"/>
      <c r="R7" s="1375"/>
      <c r="S7" s="1375"/>
      <c r="T7" s="1375"/>
      <c r="U7" s="1375"/>
      <c r="V7" s="1375"/>
      <c r="W7" s="1375"/>
      <c r="X7" s="1375"/>
      <c r="Y7" s="1375"/>
      <c r="Z7" s="1375"/>
      <c r="AA7" s="1375"/>
      <c r="AB7" s="1375"/>
      <c r="AC7" s="1375"/>
      <c r="AD7" s="1375"/>
      <c r="AE7" s="1375"/>
      <c r="AF7" s="1375"/>
      <c r="AG7" s="1375"/>
      <c r="AH7" s="1375"/>
      <c r="AI7" s="1375"/>
      <c r="AJ7" s="1375"/>
      <c r="AK7" s="1375"/>
      <c r="AL7" s="1375"/>
      <c r="AM7" s="1375"/>
      <c r="AN7" s="1375"/>
      <c r="AO7" s="1375"/>
      <c r="AP7" s="1375"/>
      <c r="AQ7" s="1375"/>
      <c r="AR7" s="1375"/>
      <c r="AS7" s="1375"/>
      <c r="AT7" s="1375"/>
      <c r="AU7" s="1375"/>
      <c r="AV7" s="1375"/>
      <c r="AW7" s="1375"/>
      <c r="AX7" s="1375"/>
      <c r="AY7" s="1375"/>
      <c r="AZ7" s="1375"/>
      <c r="BA7" s="1375"/>
      <c r="BB7" s="1375"/>
    </row>
    <row r="8" spans="2:54" x14ac:dyDescent="0.25">
      <c r="B8" s="1427" t="s">
        <v>98</v>
      </c>
      <c r="C8" s="1374">
        <f>Balanço_Form!B186</f>
        <v>0</v>
      </c>
      <c r="D8" s="1374">
        <f>Balanço_Form!C186</f>
        <v>0</v>
      </c>
      <c r="E8" s="1374">
        <f>Balanço_Form!D186</f>
        <v>601267.32999999996</v>
      </c>
      <c r="F8" s="1374">
        <f>Balanço_Form!E186</f>
        <v>640459.66999999993</v>
      </c>
      <c r="G8" s="1374">
        <f>Balanço_Form!F186</f>
        <v>755283.84</v>
      </c>
      <c r="H8" s="1374">
        <f>Balanço_Form!G186</f>
        <v>823622.82</v>
      </c>
      <c r="I8" s="1374">
        <f>Balanço_Form!H186</f>
        <v>879419.83000000007</v>
      </c>
      <c r="J8" s="1374">
        <f>Balanço_Form!I186</f>
        <v>936823.46000000008</v>
      </c>
      <c r="K8" s="1374">
        <f>Balanço_Form!J186</f>
        <v>1001075.21</v>
      </c>
      <c r="L8" s="1374">
        <f>Balanço_Form!K186</f>
        <v>1066950.47</v>
      </c>
      <c r="M8" s="1374">
        <f>Balanço_Form!L186</f>
        <v>1134482.3</v>
      </c>
      <c r="N8" s="1374" t="s">
        <v>1196</v>
      </c>
      <c r="O8" s="1428" t="s">
        <v>1196</v>
      </c>
    </row>
    <row r="9" spans="2:54" x14ac:dyDescent="0.25">
      <c r="B9" s="1427" t="s">
        <v>632</v>
      </c>
      <c r="C9" s="1374">
        <f>SUM(Balanço_Form!B146:B170)</f>
        <v>0</v>
      </c>
      <c r="D9" s="1374">
        <f>SUM(Balanço_Form!C146:C170)</f>
        <v>0</v>
      </c>
      <c r="E9" s="1374">
        <f>SUM(Balanço_Form!D146:D170)</f>
        <v>3027737.8600000003</v>
      </c>
      <c r="F9" s="1374">
        <f>SUM(Balanço_Form!E146:E170)</f>
        <v>3141485.06</v>
      </c>
      <c r="G9" s="1374">
        <f ca="1">SUM(Balanço_Form!F146:F170)</f>
        <v>3453250.07</v>
      </c>
      <c r="H9" s="1374">
        <f ca="1">SUM(Balanço_Form!G146:G170)</f>
        <v>3706813.2700000005</v>
      </c>
      <c r="I9" s="1374">
        <f ca="1">SUM(Balanço_Form!H146:H170)</f>
        <v>3948128.1600000006</v>
      </c>
      <c r="J9" s="1374">
        <f ca="1">SUM(Balanço_Form!I146:I170)</f>
        <v>4119675.5999999996</v>
      </c>
      <c r="K9" s="1374">
        <f ca="1">SUM(Balanço_Form!J146:J170)</f>
        <v>4298295.5599999996</v>
      </c>
      <c r="L9" s="1374">
        <f ca="1">SUM(Balanço_Form!K146:K170)</f>
        <v>4477886.1900000004</v>
      </c>
      <c r="M9" s="1374">
        <f ca="1">SUM(Balanço_Form!L146:L170)</f>
        <v>4661581.629999999</v>
      </c>
      <c r="N9" s="1374" t="s">
        <v>1196</v>
      </c>
      <c r="O9" s="1428" t="s">
        <v>1196</v>
      </c>
    </row>
    <row r="10" spans="2:54" x14ac:dyDescent="0.25">
      <c r="B10" s="1427" t="s">
        <v>571</v>
      </c>
      <c r="C10" s="1374">
        <f>Balanço_Form!B186+(SUM(Balanço_Form!B189:B193))</f>
        <v>0</v>
      </c>
      <c r="D10" s="1374">
        <f>Balanço_Form!C186+(SUM(Balanço_Form!C189:C193))</f>
        <v>0</v>
      </c>
      <c r="E10" s="1374">
        <f>Balanço_Form!D186+(SUM(Balanço_Form!D189:D193))</f>
        <v>601267.32999999996</v>
      </c>
      <c r="F10" s="1374">
        <f>Balanço_Form!E186+(SUM(Balanço_Form!E189:E193))</f>
        <v>640459.66999999993</v>
      </c>
      <c r="G10" s="1374">
        <f ca="1">Balanço_Form!F186+(SUM(Balanço_Form!F189:F193))</f>
        <v>755283.84</v>
      </c>
      <c r="H10" s="1374">
        <f ca="1">Balanço_Form!G186+(SUM(Balanço_Form!G189:G193))</f>
        <v>823622.82</v>
      </c>
      <c r="I10" s="1374">
        <f ca="1">Balanço_Form!H186+(SUM(Balanço_Form!H189:H193))</f>
        <v>879419.83000000007</v>
      </c>
      <c r="J10" s="1374">
        <f ca="1">Balanço_Form!I186+(SUM(Balanço_Form!I189:I193))</f>
        <v>936823.46000000008</v>
      </c>
      <c r="K10" s="1374">
        <f ca="1">Balanço_Form!J186+(SUM(Balanço_Form!J189:J193))</f>
        <v>1001075.21</v>
      </c>
      <c r="L10" s="1374">
        <f ca="1">Balanço_Form!K186+(SUM(Balanço_Form!K189:K193))</f>
        <v>1066950.47</v>
      </c>
      <c r="M10" s="1374">
        <f ca="1">Balanço_Form!L186+(SUM(Balanço_Form!L189:L193))</f>
        <v>1134482.3</v>
      </c>
      <c r="N10" s="1374"/>
      <c r="O10" s="1428"/>
    </row>
    <row r="11" spans="2:54" x14ac:dyDescent="0.25">
      <c r="B11" s="1427" t="s">
        <v>572</v>
      </c>
      <c r="C11" s="1374" t="s">
        <v>1196</v>
      </c>
      <c r="D11" s="1374" t="s">
        <v>1196</v>
      </c>
      <c r="E11" s="1744">
        <f>RH!D8</f>
        <v>0</v>
      </c>
      <c r="F11" s="1744">
        <f>E11+RH!J13</f>
        <v>0</v>
      </c>
      <c r="G11" s="1744">
        <f>F11+RH!J14</f>
        <v>2</v>
      </c>
      <c r="H11" s="1744">
        <f>G11+RH!J15</f>
        <v>2</v>
      </c>
      <c r="I11" s="1744">
        <f>H11+RH!J16</f>
        <v>2</v>
      </c>
      <c r="J11" s="1744">
        <f>I11+RH!J17</f>
        <v>2</v>
      </c>
      <c r="K11" s="1744">
        <f>J11+RH!J18</f>
        <v>2</v>
      </c>
      <c r="L11" s="1744">
        <f>K11</f>
        <v>2</v>
      </c>
      <c r="M11" s="1744">
        <f>L11</f>
        <v>2</v>
      </c>
      <c r="N11" s="1744"/>
      <c r="O11" s="1745"/>
    </row>
    <row r="12" spans="2:54" ht="12.75" thickBot="1" x14ac:dyDescent="0.3">
      <c r="B12" s="1429" t="s">
        <v>573</v>
      </c>
      <c r="C12" s="1432" t="str">
        <f>IFERROR(C4/C11,"-")</f>
        <v>-</v>
      </c>
      <c r="D12" s="1432" t="str">
        <f>IFERROR(D4/D11,"-")</f>
        <v>-</v>
      </c>
      <c r="E12" s="1432" t="e">
        <f t="shared" ref="E12:M12" si="6">E4/E11</f>
        <v>#DIV/0!</v>
      </c>
      <c r="F12" s="1432" t="e">
        <f t="shared" si="6"/>
        <v>#DIV/0!</v>
      </c>
      <c r="G12" s="1432">
        <f t="shared" si="6"/>
        <v>1956645.7450000001</v>
      </c>
      <c r="H12" s="1432">
        <f t="shared" si="6"/>
        <v>2075022.81</v>
      </c>
      <c r="I12" s="1432">
        <f t="shared" si="6"/>
        <v>2200561.69</v>
      </c>
      <c r="J12" s="1432">
        <f t="shared" si="6"/>
        <v>2244792.98</v>
      </c>
      <c r="K12" s="1432">
        <f t="shared" si="6"/>
        <v>2289913.3199999998</v>
      </c>
      <c r="L12" s="1432">
        <f t="shared" si="6"/>
        <v>2335940.5750000002</v>
      </c>
      <c r="M12" s="1432">
        <f t="shared" si="6"/>
        <v>2382892.9849999999</v>
      </c>
      <c r="N12" s="1432"/>
      <c r="O12" s="1433"/>
    </row>
    <row r="13" spans="2:54" ht="12.75" thickBot="1" x14ac:dyDescent="0.3">
      <c r="C13" s="1377"/>
      <c r="D13" s="1377"/>
      <c r="E13" s="1377"/>
      <c r="F13" s="1377"/>
      <c r="G13" s="1377"/>
      <c r="H13" s="1377"/>
      <c r="I13" s="1377"/>
      <c r="J13" s="1377"/>
      <c r="K13" s="1377"/>
      <c r="L13" s="1377"/>
      <c r="M13" s="1377"/>
      <c r="N13" s="1377"/>
      <c r="O13" s="1377"/>
    </row>
    <row r="14" spans="2:54" x14ac:dyDescent="0.25">
      <c r="B14" s="1977" t="s">
        <v>574</v>
      </c>
      <c r="C14" s="1978"/>
      <c r="D14" s="1978"/>
      <c r="E14" s="1978"/>
      <c r="F14" s="1978"/>
      <c r="G14" s="1978"/>
      <c r="H14" s="1978"/>
      <c r="I14" s="1978"/>
      <c r="J14" s="1978"/>
      <c r="K14" s="1978"/>
      <c r="L14" s="1978"/>
      <c r="M14" s="1978"/>
      <c r="N14" s="1978"/>
      <c r="O14" s="1979"/>
    </row>
    <row r="15" spans="2:54" x14ac:dyDescent="0.25">
      <c r="B15" s="1490"/>
      <c r="C15" s="1434">
        <f t="shared" ref="C15:K15" si="7">C3</f>
        <v>2017</v>
      </c>
      <c r="D15" s="1434">
        <f t="shared" si="7"/>
        <v>2018</v>
      </c>
      <c r="E15" s="1434">
        <f t="shared" si="7"/>
        <v>2019</v>
      </c>
      <c r="F15" s="1434">
        <f t="shared" si="7"/>
        <v>2020</v>
      </c>
      <c r="G15" s="1434">
        <f t="shared" si="7"/>
        <v>2021</v>
      </c>
      <c r="H15" s="1434">
        <f t="shared" si="7"/>
        <v>2022</v>
      </c>
      <c r="I15" s="1434">
        <f t="shared" si="7"/>
        <v>2023</v>
      </c>
      <c r="J15" s="1434">
        <f t="shared" si="7"/>
        <v>2024</v>
      </c>
      <c r="K15" s="1434">
        <f t="shared" si="7"/>
        <v>2025</v>
      </c>
      <c r="L15" s="1434">
        <f t="shared" ref="L15:O15" si="8">L3</f>
        <v>2026</v>
      </c>
      <c r="M15" s="1434">
        <f t="shared" si="8"/>
        <v>2027</v>
      </c>
      <c r="N15" s="1434">
        <f t="shared" si="8"/>
        <v>2028</v>
      </c>
      <c r="O15" s="1435">
        <f t="shared" si="8"/>
        <v>2029</v>
      </c>
    </row>
    <row r="16" spans="2:54" x14ac:dyDescent="0.25">
      <c r="B16" s="1426" t="s">
        <v>575</v>
      </c>
      <c r="C16" s="1436" t="str">
        <f>IFERROR((DR_Form!B79+DR_Form!B84)/(DR_Form!B79),"-")</f>
        <v>-</v>
      </c>
      <c r="D16" s="1436" t="str">
        <f>IFERROR((DR_Form!C79+DR_Form!C84)/(DR_Form!C79),"-")</f>
        <v>-</v>
      </c>
      <c r="E16" s="1436">
        <f>IFERROR((DR_Form!D79+DR_Form!D84)/(DR_Form!D79),"-")</f>
        <v>1.7991278821755616</v>
      </c>
      <c r="F16" s="1436">
        <f>IFERROR((DR_Form!E79+DR_Form!E84)/(DR_Form!E79),"-")</f>
        <v>1.7850000009349483</v>
      </c>
      <c r="G16" s="1436">
        <f>IFERROR((DR_Form!F79+DR_Form!F84)/(DR_Form!F79),"-")</f>
        <v>1.7850000000894388</v>
      </c>
      <c r="H16" s="1436">
        <f>IFERROR((DR_Form!G79+DR_Form!G84)/(DR_Form!G79),"-")</f>
        <v>1.7799999991325397</v>
      </c>
      <c r="I16" s="1436">
        <f>IFERROR((DR_Form!H79+DR_Form!H84)/(DR_Form!H79),"-")</f>
        <v>1.780000000817973</v>
      </c>
      <c r="J16" s="1436">
        <f>IFERROR((DR_Form!I79+DR_Form!I84)/(DR_Form!I79),"-")</f>
        <v>1.7800000002672851</v>
      </c>
      <c r="K16" s="1436">
        <f>IFERROR((DR_Form!J79+DR_Form!J84)/(DR_Form!J79),"-")</f>
        <v>1.7800000001746792</v>
      </c>
      <c r="L16" s="1436">
        <f>IFERROR((DR_Form!K79+DR_Form!K84)/(DR_Form!K79),"-")</f>
        <v>1.7800000006421395</v>
      </c>
      <c r="M16" s="1436">
        <f>IFERROR((DR_Form!L79+DR_Form!L84)/(DR_Form!L79),"-")</f>
        <v>1.7799999986151287</v>
      </c>
      <c r="N16" s="1436" t="str">
        <f>IFERROR((DR_Form!M79+DR_Form!M84)/(DR_Form!M79),"-")</f>
        <v>-</v>
      </c>
      <c r="O16" s="1436" t="str">
        <f>IFERROR((DR_Form!N79+DR_Form!N84)/(DR_Form!N79),"-")</f>
        <v>-</v>
      </c>
    </row>
    <row r="17" spans="2:54" s="1376" customFormat="1" x14ac:dyDescent="0.25">
      <c r="B17" s="1427" t="s">
        <v>576</v>
      </c>
      <c r="C17" s="1437" t="e">
        <f>C7/C4</f>
        <v>#DIV/0!</v>
      </c>
      <c r="D17" s="1437" t="e">
        <f t="shared" ref="D17:M17" si="9">D7/D4</f>
        <v>#DIV/0!</v>
      </c>
      <c r="E17" s="1437">
        <f t="shared" si="9"/>
        <v>1.3536825672200867E-2</v>
      </c>
      <c r="F17" s="1437">
        <f t="shared" si="9"/>
        <v>8.9999445887340157E-3</v>
      </c>
      <c r="G17" s="1437">
        <f t="shared" si="9"/>
        <v>1.7348687204489437E-2</v>
      </c>
      <c r="H17" s="1437">
        <f t="shared" si="9"/>
        <v>1.513190594757847E-2</v>
      </c>
      <c r="I17" s="1437">
        <f t="shared" si="9"/>
        <v>1.6872858038349203E-2</v>
      </c>
      <c r="J17" s="1437">
        <f t="shared" si="9"/>
        <v>1.6898248675029304E-2</v>
      </c>
      <c r="K17" s="1437">
        <f t="shared" si="9"/>
        <v>1.5877079137650484E-2</v>
      </c>
      <c r="L17" s="1437">
        <f t="shared" si="9"/>
        <v>1.5911744672700109E-2</v>
      </c>
      <c r="M17" s="1437">
        <f t="shared" si="9"/>
        <v>1.5945818901304941E-2</v>
      </c>
      <c r="N17" s="1437"/>
      <c r="O17" s="1438"/>
      <c r="P17" s="1375"/>
      <c r="Q17" s="1375"/>
      <c r="R17" s="1375"/>
      <c r="S17" s="1375"/>
      <c r="T17" s="1375"/>
      <c r="U17" s="1375"/>
      <c r="V17" s="1375"/>
      <c r="W17" s="1375"/>
      <c r="X17" s="1375"/>
      <c r="Y17" s="1375"/>
      <c r="Z17" s="1375"/>
      <c r="AA17" s="1375"/>
      <c r="AB17" s="1375"/>
      <c r="AC17" s="1375"/>
      <c r="AD17" s="1375"/>
      <c r="AE17" s="1375"/>
      <c r="AF17" s="1375"/>
      <c r="AG17" s="1375"/>
      <c r="AH17" s="1375"/>
      <c r="AI17" s="1375"/>
      <c r="AJ17" s="1375"/>
      <c r="AK17" s="1375"/>
      <c r="AL17" s="1375"/>
      <c r="AM17" s="1375"/>
      <c r="AN17" s="1375"/>
      <c r="AO17" s="1375"/>
      <c r="AP17" s="1375"/>
      <c r="AQ17" s="1375"/>
      <c r="AR17" s="1375"/>
      <c r="AS17" s="1375"/>
      <c r="AT17" s="1375"/>
      <c r="AU17" s="1375"/>
      <c r="AV17" s="1375"/>
      <c r="AW17" s="1375"/>
      <c r="AX17" s="1375"/>
      <c r="AY17" s="1375"/>
      <c r="AZ17" s="1375"/>
      <c r="BA17" s="1375"/>
      <c r="BB17" s="1375"/>
    </row>
    <row r="18" spans="2:54" s="1376" customFormat="1" x14ac:dyDescent="0.25">
      <c r="B18" s="1427" t="s">
        <v>577</v>
      </c>
      <c r="C18" s="1437" t="e">
        <f>DR_Form!B107/Balanço_Form!B186</f>
        <v>#DIV/0!</v>
      </c>
      <c r="D18" s="1437" t="e">
        <f>DR_Form!C107/Balanço_Form!C186</f>
        <v>#DIV/0!</v>
      </c>
      <c r="E18" s="1437">
        <f>DR_Form!D107/Balanço_Form!D186</f>
        <v>5.2979046774418996E-2</v>
      </c>
      <c r="F18" s="1437">
        <f>DR_Form!E107/Balanço_Form!E186</f>
        <v>3.86404814529537E-2</v>
      </c>
      <c r="G18" s="1437">
        <f>DR_Form!F107/Balanço_Form!F186</f>
        <v>6.5442880387855784E-2</v>
      </c>
      <c r="H18" s="1437">
        <f>DR_Form!G107/Balanço_Form!G186</f>
        <v>5.3829955804284277E-2</v>
      </c>
      <c r="I18" s="1437">
        <f>DR_Form!H107/Balanço_Form!H186</f>
        <v>6.3447523124421271E-2</v>
      </c>
      <c r="J18" s="1437">
        <f>DR_Form!I107/Balanço_Form!I186</f>
        <v>6.127474647144316E-2</v>
      </c>
      <c r="K18" s="1437">
        <f>DR_Form!J107/Balanço_Form!J186</f>
        <v>6.4182740076042744E-2</v>
      </c>
      <c r="L18" s="1437">
        <f>DR_Form!K107/Balanço_Form!K186</f>
        <v>6.1741628924912105E-2</v>
      </c>
      <c r="M18" s="1437">
        <f>DR_Form!L107/Balanço_Form!L186</f>
        <v>5.9526569960588978E-2</v>
      </c>
      <c r="N18" s="1437"/>
      <c r="O18" s="1438"/>
      <c r="P18" s="1375"/>
      <c r="Q18" s="1375"/>
      <c r="R18" s="1375"/>
      <c r="S18" s="1375"/>
      <c r="T18" s="1375"/>
      <c r="U18" s="1375"/>
      <c r="V18" s="1375"/>
      <c r="W18" s="1375"/>
      <c r="X18" s="1375"/>
      <c r="Y18" s="1375"/>
      <c r="Z18" s="1375"/>
      <c r="AA18" s="1375"/>
      <c r="AB18" s="1375"/>
      <c r="AC18" s="1375"/>
      <c r="AD18" s="1375"/>
      <c r="AE18" s="1375"/>
      <c r="AF18" s="1375"/>
      <c r="AG18" s="1375"/>
      <c r="AH18" s="1375"/>
      <c r="AI18" s="1375"/>
      <c r="AJ18" s="1375"/>
      <c r="AK18" s="1375"/>
      <c r="AL18" s="1375"/>
      <c r="AM18" s="1375"/>
      <c r="AN18" s="1375"/>
      <c r="AO18" s="1375"/>
      <c r="AP18" s="1375"/>
      <c r="AQ18" s="1375"/>
      <c r="AR18" s="1375"/>
      <c r="AS18" s="1375"/>
      <c r="AT18" s="1375"/>
      <c r="AU18" s="1375"/>
      <c r="AV18" s="1375"/>
      <c r="AW18" s="1375"/>
      <c r="AX18" s="1375"/>
      <c r="AY18" s="1375"/>
      <c r="AZ18" s="1375"/>
      <c r="BA18" s="1375"/>
      <c r="BB18" s="1375"/>
    </row>
    <row r="19" spans="2:54" s="1376" customFormat="1" x14ac:dyDescent="0.25">
      <c r="B19" s="1427" t="s">
        <v>1198</v>
      </c>
      <c r="C19" s="1437" t="e">
        <f>C7/C9</f>
        <v>#DIV/0!</v>
      </c>
      <c r="D19" s="1437" t="e">
        <f t="shared" ref="D19:M19" si="10">D7/D9</f>
        <v>#DIV/0!</v>
      </c>
      <c r="E19" s="1437">
        <f t="shared" si="10"/>
        <v>1.555676950183528E-2</v>
      </c>
      <c r="F19" s="1437">
        <f t="shared" si="10"/>
        <v>1.0571493852655737E-2</v>
      </c>
      <c r="G19" s="1437">
        <f t="shared" ca="1" si="10"/>
        <v>1.9659876529011525E-2</v>
      </c>
      <c r="H19" s="1437">
        <f t="shared" ca="1" si="10"/>
        <v>1.6941263404940808E-2</v>
      </c>
      <c r="I19" s="1437">
        <f t="shared" ca="1" si="10"/>
        <v>1.8808794190713306E-2</v>
      </c>
      <c r="J19" s="1437">
        <f t="shared" ca="1" si="10"/>
        <v>1.8415561652475789E-2</v>
      </c>
      <c r="K19" s="1437">
        <f t="shared" ca="1" si="10"/>
        <v>1.6917000933272235E-2</v>
      </c>
      <c r="L19" s="1437">
        <f t="shared" ca="1" si="10"/>
        <v>1.6601087398337957E-2</v>
      </c>
      <c r="M19" s="1437">
        <f t="shared" ca="1" si="10"/>
        <v>1.6302269493884185E-2</v>
      </c>
      <c r="N19" s="1437"/>
      <c r="O19" s="1438"/>
      <c r="P19" s="1375"/>
      <c r="Q19" s="1375"/>
      <c r="R19" s="1375"/>
      <c r="S19" s="1375"/>
      <c r="T19" s="1375"/>
      <c r="U19" s="1375"/>
      <c r="V19" s="1375"/>
      <c r="W19" s="1375"/>
      <c r="X19" s="1375"/>
      <c r="Y19" s="1375"/>
      <c r="Z19" s="1375"/>
      <c r="AA19" s="1375"/>
      <c r="AB19" s="1375"/>
      <c r="AC19" s="1375"/>
      <c r="AD19" s="1375"/>
      <c r="AE19" s="1375"/>
      <c r="AF19" s="1375"/>
      <c r="AG19" s="1375"/>
      <c r="AH19" s="1375"/>
      <c r="AI19" s="1375"/>
      <c r="AJ19" s="1375"/>
      <c r="AK19" s="1375"/>
      <c r="AL19" s="1375"/>
      <c r="AM19" s="1375"/>
      <c r="AN19" s="1375"/>
      <c r="AO19" s="1375"/>
      <c r="AP19" s="1375"/>
      <c r="AQ19" s="1375"/>
      <c r="AR19" s="1375"/>
      <c r="AS19" s="1375"/>
      <c r="AT19" s="1375"/>
      <c r="AU19" s="1375"/>
      <c r="AV19" s="1375"/>
      <c r="AW19" s="1375"/>
      <c r="AX19" s="1375"/>
      <c r="AY19" s="1375"/>
      <c r="AZ19" s="1375"/>
      <c r="BA19" s="1375"/>
      <c r="BB19" s="1375"/>
    </row>
    <row r="20" spans="2:54" x14ac:dyDescent="0.25">
      <c r="B20" s="1427" t="s">
        <v>578</v>
      </c>
      <c r="C20" s="1437" t="e">
        <f>DR_Form!B107/Balanço_Form!B207</f>
        <v>#DIV/0!</v>
      </c>
      <c r="D20" s="1437" t="e">
        <f>DR_Form!C107/Balanço_Form!C207</f>
        <v>#DIV/0!</v>
      </c>
      <c r="E20" s="1437">
        <f>DR_Form!D107/Balanço_Form!D207</f>
        <v>1.981705738088848E-2</v>
      </c>
      <c r="F20" s="1437">
        <f>DR_Form!E107/Balanço_Form!E207</f>
        <v>1.490756832000208E-2</v>
      </c>
      <c r="G20" s="1437">
        <f ca="1">DR_Form!F107/Balanço_Form!F207</f>
        <v>2.7058225667593288E-2</v>
      </c>
      <c r="H20" s="1437">
        <f ca="1">DR_Form!G107/Balanço_Form!G207</f>
        <v>2.2803133059604325E-2</v>
      </c>
      <c r="I20" s="1437">
        <f ca="1">DR_Form!H107/Balanço_Form!H207</f>
        <v>2.7142557759551336E-2</v>
      </c>
      <c r="J20" s="1437">
        <f ca="1">DR_Form!I107/Balanço_Form!I207</f>
        <v>2.6921688083183976E-2</v>
      </c>
      <c r="K20" s="1437">
        <f ca="1">DR_Form!J107/Balanço_Form!J207</f>
        <v>2.8977169800647462E-2</v>
      </c>
      <c r="L20" s="1437">
        <f ca="1">DR_Form!K107/Balanço_Form!K207</f>
        <v>2.8605508523339918E-2</v>
      </c>
      <c r="M20" s="1437">
        <f ca="1">DR_Form!L107/Balanço_Form!L207</f>
        <v>2.8250046450461815E-2</v>
      </c>
      <c r="N20" s="1437"/>
      <c r="O20" s="1438"/>
    </row>
    <row r="21" spans="2:54" x14ac:dyDescent="0.25">
      <c r="B21" s="1427" t="s">
        <v>579</v>
      </c>
      <c r="C21" s="1437" t="e">
        <f>DR_Form!B107/DR_Form!B79</f>
        <v>#DIV/0!</v>
      </c>
      <c r="D21" s="1437" t="e">
        <f>DR_Form!C107/DR_Form!C79</f>
        <v>#DIV/0!</v>
      </c>
      <c r="E21" s="1437">
        <f>DR_Form!D107/DR_Form!D79</f>
        <v>9.154842869191035E-3</v>
      </c>
      <c r="F21" s="1437">
        <f>DR_Form!E107/DR_Form!E79</f>
        <v>6.7066059754633985E-3</v>
      </c>
      <c r="G21" s="1437">
        <f>DR_Form!F107/DR_Form!F79</f>
        <v>1.2630786673139036E-2</v>
      </c>
      <c r="H21" s="1437">
        <f>DR_Form!G107/DR_Form!G79</f>
        <v>1.0683154851680879E-2</v>
      </c>
      <c r="I21" s="1437">
        <f>DR_Form!H107/DR_Form!H79</f>
        <v>1.2677901795154769E-2</v>
      </c>
      <c r="J21" s="1437">
        <f>DR_Form!I107/DR_Form!I79</f>
        <v>1.2785949642447692E-2</v>
      </c>
      <c r="K21" s="1437">
        <f>DR_Form!J107/DR_Form!J79</f>
        <v>1.4029297405894802E-2</v>
      </c>
      <c r="L21" s="1437">
        <f>DR_Form!K107/DR_Form!K79</f>
        <v>1.4100371538775244E-2</v>
      </c>
      <c r="M21" s="1437">
        <f>DR_Form!L107/DR_Form!L79</f>
        <v>1.4170136977427019E-2</v>
      </c>
      <c r="N21" s="1437"/>
      <c r="O21" s="1438"/>
    </row>
    <row r="22" spans="2:54" s="1376" customFormat="1" x14ac:dyDescent="0.25">
      <c r="B22" s="1427" t="s">
        <v>1199</v>
      </c>
      <c r="C22" s="1437" t="e">
        <f>C4/C9</f>
        <v>#DIV/0!</v>
      </c>
      <c r="D22" s="1437" t="e">
        <f t="shared" ref="D22:M22" si="11">D4/D9</f>
        <v>#DIV/0!</v>
      </c>
      <c r="E22" s="1437">
        <f t="shared" si="11"/>
        <v>1.1492184267233756</v>
      </c>
      <c r="F22" s="1437">
        <f t="shared" si="11"/>
        <v>1.1746176599674805</v>
      </c>
      <c r="G22" s="1437">
        <f t="shared" ca="1" si="11"/>
        <v>1.1332198394771915</v>
      </c>
      <c r="H22" s="1437">
        <f t="shared" ca="1" si="11"/>
        <v>1.1195723436049962</v>
      </c>
      <c r="I22" s="1437">
        <f t="shared" ca="1" si="11"/>
        <v>1.1147367060141227</v>
      </c>
      <c r="J22" s="1437">
        <f t="shared" ca="1" si="11"/>
        <v>1.0897911379235783</v>
      </c>
      <c r="K22" s="1437">
        <f t="shared" ca="1" si="11"/>
        <v>1.0654983064961685</v>
      </c>
      <c r="L22" s="1437">
        <f t="shared" ca="1" si="11"/>
        <v>1.043322887578793</v>
      </c>
      <c r="M22" s="1437">
        <f t="shared" ca="1" si="11"/>
        <v>1.0223538593273547</v>
      </c>
      <c r="N22" s="1374"/>
      <c r="O22" s="1428"/>
      <c r="P22" s="1375"/>
      <c r="Q22" s="1375"/>
      <c r="R22" s="1375"/>
      <c r="S22" s="1375"/>
      <c r="T22" s="1375"/>
      <c r="U22" s="1375"/>
      <c r="V22" s="1375"/>
      <c r="W22" s="1375"/>
      <c r="X22" s="1375"/>
      <c r="Y22" s="1375"/>
      <c r="Z22" s="1375"/>
      <c r="AA22" s="1375"/>
      <c r="AB22" s="1375"/>
      <c r="AC22" s="1375"/>
      <c r="AD22" s="1375"/>
      <c r="AE22" s="1375"/>
      <c r="AF22" s="1375"/>
      <c r="AG22" s="1375"/>
      <c r="AH22" s="1375"/>
      <c r="AI22" s="1375"/>
      <c r="AJ22" s="1375"/>
      <c r="AK22" s="1375"/>
      <c r="AL22" s="1375"/>
      <c r="AM22" s="1375"/>
      <c r="AN22" s="1375"/>
      <c r="AO22" s="1375"/>
      <c r="AP22" s="1375"/>
      <c r="AQ22" s="1375"/>
      <c r="AR22" s="1375"/>
      <c r="AS22" s="1375"/>
      <c r="AT22" s="1375"/>
      <c r="AU22" s="1375"/>
      <c r="AV22" s="1375"/>
      <c r="AW22" s="1375"/>
      <c r="AX22" s="1375"/>
      <c r="AY22" s="1375"/>
      <c r="AZ22" s="1375"/>
      <c r="BA22" s="1375"/>
      <c r="BB22" s="1375"/>
    </row>
    <row r="23" spans="2:54" x14ac:dyDescent="0.25">
      <c r="B23" s="1427" t="s">
        <v>1200</v>
      </c>
      <c r="C23" s="1374" t="e">
        <f>C4/Balanço_Form!B145</f>
        <v>#DIV/0!</v>
      </c>
      <c r="D23" s="1374" t="e">
        <f>D4/Balanço_Form!C145</f>
        <v>#DIV/0!</v>
      </c>
      <c r="E23" s="1374">
        <f>E4/Balanço_Form!D145</f>
        <v>18.594602714578503</v>
      </c>
      <c r="F23" s="1374">
        <f>F4/Balanço_Form!E145</f>
        <v>20.653608013728608</v>
      </c>
      <c r="G23" s="1374">
        <f>G4/Balanço_Form!F145</f>
        <v>19.546825595712946</v>
      </c>
      <c r="H23" s="1374">
        <f>H4/Balanço_Form!G145</f>
        <v>22.835277309384619</v>
      </c>
      <c r="I23" s="1374">
        <f>I4/Balanço_Form!H145</f>
        <v>26.95514485855897</v>
      </c>
      <c r="J23" s="1374">
        <f>J4/Balanço_Form!I145</f>
        <v>31.002580287860297</v>
      </c>
      <c r="K23" s="1374">
        <f>K4/Balanço_Form!J145</f>
        <v>33.588562089633811</v>
      </c>
      <c r="L23" s="1374">
        <f>L4/Balanço_Form!K145</f>
        <v>36.530964728972364</v>
      </c>
      <c r="M23" s="1374">
        <f>M4/Balanço_Form!L145</f>
        <v>39.905855882145325</v>
      </c>
      <c r="N23" s="1374"/>
      <c r="O23" s="1428"/>
    </row>
    <row r="24" spans="2:54" x14ac:dyDescent="0.25">
      <c r="B24" s="1427" t="s">
        <v>1201</v>
      </c>
      <c r="C24" s="1374" t="e">
        <f>C4/Balanço_Form!B157</f>
        <v>#DIV/0!</v>
      </c>
      <c r="D24" s="1374" t="e">
        <f>D4/Balanço_Form!C157</f>
        <v>#DIV/0!</v>
      </c>
      <c r="E24" s="1374">
        <f>E4/Balanço_Form!D157</f>
        <v>2.4498468734874077</v>
      </c>
      <c r="F24" s="1374">
        <f>F4/Balanço_Form!E157</f>
        <v>2.4908983755708065</v>
      </c>
      <c r="G24" s="1374">
        <f ca="1">G4/Balanço_Form!F157</f>
        <v>2.4059221053281337</v>
      </c>
      <c r="H24" s="1374">
        <f ca="1">H4/Balanço_Form!G157</f>
        <v>2.3545857686338199</v>
      </c>
      <c r="I24" s="1374">
        <f ca="1">I4/Balanço_Form!H157</f>
        <v>2.3256512987241131</v>
      </c>
      <c r="J24" s="1374">
        <f ca="1">J4/Balanço_Form!I157</f>
        <v>2.2589894296464053</v>
      </c>
      <c r="K24" s="1374">
        <f ca="1">K4/Balanço_Form!J157</f>
        <v>2.2008108622719402</v>
      </c>
      <c r="L24" s="1374">
        <f ca="1">L4/Balanço_Form!K157</f>
        <v>2.1479923505435039</v>
      </c>
      <c r="M24" s="1374">
        <f ca="1">M4/Balanço_Form!L157</f>
        <v>2.0984686897250708</v>
      </c>
      <c r="N24" s="1374"/>
      <c r="O24" s="1428"/>
    </row>
    <row r="25" spans="2:54" x14ac:dyDescent="0.25">
      <c r="B25" s="1427" t="s">
        <v>133</v>
      </c>
      <c r="C25" s="1374" t="e">
        <f>Balanço!C88</f>
        <v>#DIV/0!</v>
      </c>
      <c r="D25" s="1374" t="e">
        <f>Balanço!D88</f>
        <v>#DIV/0!</v>
      </c>
      <c r="E25" s="1374">
        <f>Balanço!E88</f>
        <v>78.433107159056163</v>
      </c>
      <c r="F25" s="1374">
        <f>Pressupostos!$C$42</f>
        <v>90</v>
      </c>
      <c r="G25" s="1374">
        <f>Pressupostos!$C$42</f>
        <v>90</v>
      </c>
      <c r="H25" s="1374">
        <f>Pressupostos!$C$42</f>
        <v>90</v>
      </c>
      <c r="I25" s="1374">
        <f>Pressupostos!$C$42</f>
        <v>90</v>
      </c>
      <c r="J25" s="1374">
        <f>Pressupostos!$C$42</f>
        <v>90</v>
      </c>
      <c r="K25" s="1374">
        <f>Pressupostos!$C$42</f>
        <v>90</v>
      </c>
      <c r="L25" s="1374">
        <f>Pressupostos!$C$42</f>
        <v>90</v>
      </c>
      <c r="M25" s="1374">
        <f>Pressupostos!$C$42</f>
        <v>90</v>
      </c>
      <c r="N25" s="1374"/>
      <c r="O25" s="1428"/>
    </row>
    <row r="26" spans="2:54" x14ac:dyDescent="0.25">
      <c r="B26" s="1427" t="s">
        <v>134</v>
      </c>
      <c r="C26" s="1374" t="e">
        <f>Balanço!C89</f>
        <v>#DIV/0!</v>
      </c>
      <c r="D26" s="1374" t="e">
        <f>Balanço!D89</f>
        <v>#DIV/0!</v>
      </c>
      <c r="E26" s="1374">
        <f>Balanço!E89</f>
        <v>78.686924731208251</v>
      </c>
      <c r="F26" s="1374">
        <f>Pressupostos!$C$43</f>
        <v>60</v>
      </c>
      <c r="G26" s="1374">
        <f>Pressupostos!$C$43</f>
        <v>60</v>
      </c>
      <c r="H26" s="1374">
        <f>Pressupostos!$C$43</f>
        <v>60</v>
      </c>
      <c r="I26" s="1374">
        <f>Pressupostos!$C$43</f>
        <v>60</v>
      </c>
      <c r="J26" s="1374">
        <f>Pressupostos!$C$43</f>
        <v>60</v>
      </c>
      <c r="K26" s="1374">
        <f>Pressupostos!$C$43</f>
        <v>60</v>
      </c>
      <c r="L26" s="1374">
        <f>Pressupostos!$C$43</f>
        <v>60</v>
      </c>
      <c r="M26" s="1374">
        <f>Pressupostos!$C$43</f>
        <v>60</v>
      </c>
      <c r="N26" s="1374"/>
      <c r="O26" s="1428"/>
    </row>
    <row r="27" spans="2:54" ht="12.75" thickBot="1" x14ac:dyDescent="0.3">
      <c r="B27" s="1429" t="s">
        <v>580</v>
      </c>
      <c r="C27" s="1432" t="str">
        <f>Balanço!C90</f>
        <v>0</v>
      </c>
      <c r="D27" s="1432" t="str">
        <f>Balanço!D90</f>
        <v>0</v>
      </c>
      <c r="E27" s="1432" t="str">
        <f>Balanço!E90</f>
        <v>0</v>
      </c>
      <c r="F27" s="1432">
        <f>Pressupostos!C44</f>
        <v>30</v>
      </c>
      <c r="G27" s="1432">
        <f>Pressupostos!D44</f>
        <v>0</v>
      </c>
      <c r="H27" s="1432">
        <f>Pressupostos!E44</f>
        <v>0</v>
      </c>
      <c r="I27" s="1432">
        <f>Pressupostos!F44</f>
        <v>0</v>
      </c>
      <c r="J27" s="1432">
        <f>Pressupostos!G44</f>
        <v>0</v>
      </c>
      <c r="K27" s="1432">
        <f>Pressupostos!H44</f>
        <v>0</v>
      </c>
      <c r="L27" s="1432">
        <f>Pressupostos!I44</f>
        <v>0</v>
      </c>
      <c r="M27" s="1432">
        <f>Pressupostos!J44</f>
        <v>0</v>
      </c>
      <c r="N27" s="1432"/>
      <c r="O27" s="1433"/>
    </row>
    <row r="28" spans="2:54" ht="12.75" thickBot="1" x14ac:dyDescent="0.3"/>
    <row r="29" spans="2:54" x14ac:dyDescent="0.25">
      <c r="B29" s="1977" t="s">
        <v>581</v>
      </c>
      <c r="C29" s="1978"/>
      <c r="D29" s="1978"/>
      <c r="E29" s="1978"/>
      <c r="F29" s="1978"/>
      <c r="G29" s="1978"/>
      <c r="H29" s="1978"/>
      <c r="I29" s="1978"/>
      <c r="J29" s="1978"/>
      <c r="K29" s="1978"/>
      <c r="L29" s="1978"/>
      <c r="M29" s="1978"/>
      <c r="N29" s="1978"/>
      <c r="O29" s="1979"/>
    </row>
    <row r="30" spans="2:54" x14ac:dyDescent="0.25">
      <c r="B30" s="1487"/>
      <c r="C30" s="1463">
        <f t="shared" ref="C30:O30" si="12">C15</f>
        <v>2017</v>
      </c>
      <c r="D30" s="1463">
        <f t="shared" si="12"/>
        <v>2018</v>
      </c>
      <c r="E30" s="1463">
        <f t="shared" si="12"/>
        <v>2019</v>
      </c>
      <c r="F30" s="1463">
        <f t="shared" si="12"/>
        <v>2020</v>
      </c>
      <c r="G30" s="1463">
        <f t="shared" si="12"/>
        <v>2021</v>
      </c>
      <c r="H30" s="1463">
        <f t="shared" si="12"/>
        <v>2022</v>
      </c>
      <c r="I30" s="1463">
        <f t="shared" si="12"/>
        <v>2023</v>
      </c>
      <c r="J30" s="1463">
        <f t="shared" si="12"/>
        <v>2024</v>
      </c>
      <c r="K30" s="1463">
        <f t="shared" si="12"/>
        <v>2025</v>
      </c>
      <c r="L30" s="1463">
        <f t="shared" si="12"/>
        <v>2026</v>
      </c>
      <c r="M30" s="1463">
        <f t="shared" si="12"/>
        <v>2027</v>
      </c>
      <c r="N30" s="1463">
        <f t="shared" si="12"/>
        <v>2028</v>
      </c>
      <c r="O30" s="1464">
        <f t="shared" si="12"/>
        <v>2029</v>
      </c>
    </row>
    <row r="31" spans="2:54" s="1376" customFormat="1" x14ac:dyDescent="0.25">
      <c r="B31" s="1488" t="s">
        <v>127</v>
      </c>
      <c r="C31" s="1748" t="e">
        <f>Balanço_Form!B186/Balanço_Form!B171</f>
        <v>#DIV/0!</v>
      </c>
      <c r="D31" s="1748" t="e">
        <f>Balanço_Form!C186/Balanço_Form!C171</f>
        <v>#DIV/0!</v>
      </c>
      <c r="E31" s="1748">
        <f>Balanço_Form!D186/Balanço_Form!D171</f>
        <v>0.37405462324129951</v>
      </c>
      <c r="F31" s="1748">
        <f>Balanço_Form!E186/Balanço_Form!E171</f>
        <v>0.38580182646410932</v>
      </c>
      <c r="G31" s="1748">
        <f ca="1">Balanço_Form!F186/Balanço_Form!F171</f>
        <v>0.41346324469872314</v>
      </c>
      <c r="H31" s="1748">
        <f ca="1">Balanço_Form!G186/Balanço_Form!G171</f>
        <v>0.42361418877088219</v>
      </c>
      <c r="I31" s="1748">
        <f ca="1">Balanço_Form!H186/Balanço_Form!H171</f>
        <v>0.42779538779353909</v>
      </c>
      <c r="J31" s="1748">
        <f ca="1">Balanço_Form!I186/Balanço_Form!I171</f>
        <v>0.43936025252639305</v>
      </c>
      <c r="K31" s="1748">
        <f ca="1">Balanço_Form!J186/Balanço_Form!J171</f>
        <v>0.4514791634996535</v>
      </c>
      <c r="L31" s="1748">
        <f ca="1">Balanço_Form!K186/Balanço_Form!K171</f>
        <v>0.46330990972280434</v>
      </c>
      <c r="M31" s="1748">
        <f ca="1">Balanço_Form!L186/Balanço_Form!L171</f>
        <v>0.47457877161686701</v>
      </c>
      <c r="N31" s="1439"/>
      <c r="O31" s="1468"/>
      <c r="P31" s="1375"/>
      <c r="Q31" s="1375"/>
      <c r="R31" s="1375"/>
      <c r="S31" s="1375"/>
      <c r="T31" s="1375"/>
      <c r="U31" s="1375"/>
      <c r="V31" s="1375"/>
      <c r="W31" s="1375"/>
      <c r="X31" s="1375"/>
      <c r="Y31" s="1375"/>
      <c r="Z31" s="1375"/>
      <c r="AA31" s="1375"/>
      <c r="AB31" s="1375"/>
      <c r="AC31" s="1375"/>
      <c r="AD31" s="1375"/>
      <c r="AE31" s="1375"/>
      <c r="AF31" s="1375"/>
      <c r="AG31" s="1375"/>
      <c r="AH31" s="1375"/>
      <c r="AI31" s="1375"/>
      <c r="AJ31" s="1375"/>
      <c r="AK31" s="1375"/>
      <c r="AL31" s="1375"/>
      <c r="AM31" s="1375"/>
      <c r="AN31" s="1375"/>
      <c r="AO31" s="1375"/>
      <c r="AP31" s="1375"/>
      <c r="AQ31" s="1375"/>
      <c r="AR31" s="1375"/>
      <c r="AS31" s="1375"/>
      <c r="AT31" s="1375"/>
      <c r="AU31" s="1375"/>
      <c r="AV31" s="1375"/>
      <c r="AW31" s="1375"/>
      <c r="AX31" s="1375"/>
      <c r="AY31" s="1375"/>
      <c r="AZ31" s="1375"/>
      <c r="BA31" s="1375"/>
      <c r="BB31" s="1375"/>
    </row>
    <row r="32" spans="2:54" x14ac:dyDescent="0.25">
      <c r="B32" s="1427" t="s">
        <v>582</v>
      </c>
      <c r="C32" s="1437" t="e">
        <f>Balanço_Form!B206/Balanço_Form!B207</f>
        <v>#DIV/0!</v>
      </c>
      <c r="D32" s="1437" t="e">
        <f>Balanço_Form!C206/Balanço_Form!C207</f>
        <v>#DIV/0!</v>
      </c>
      <c r="E32" s="1437">
        <f>Balanço_Form!D206/Balanço_Form!D207</f>
        <v>0.62594537675870043</v>
      </c>
      <c r="F32" s="1437">
        <f>Balanço_Form!E206/Balanço_Form!E207</f>
        <v>0.61419817353589068</v>
      </c>
      <c r="G32" s="1437">
        <f ca="1">Balanço_Form!F206/Balanço_Form!F207</f>
        <v>0.58653675530127691</v>
      </c>
      <c r="H32" s="1437">
        <f ca="1">Balanço_Form!G206/Balanço_Form!G207</f>
        <v>0.57638581122911769</v>
      </c>
      <c r="I32" s="1437">
        <f ca="1">Balanço_Form!H206/Balanço_Form!H207</f>
        <v>0.57220461220646091</v>
      </c>
      <c r="J32" s="1437">
        <f ca="1">Balanço_Form!I206/Balanço_Form!I207</f>
        <v>0.5606397474736069</v>
      </c>
      <c r="K32" s="1437">
        <f ca="1">Balanço_Form!J206/Balanço_Form!J207</f>
        <v>0.54852083650034655</v>
      </c>
      <c r="L32" s="1437">
        <f ca="1">Balanço_Form!K206/Balanço_Form!K207</f>
        <v>0.53669009027719561</v>
      </c>
      <c r="M32" s="1437">
        <f ca="1">Balanço_Form!L206/Balanço_Form!L207</f>
        <v>0.5254212283831331</v>
      </c>
      <c r="N32" s="1440"/>
      <c r="O32" s="1489"/>
    </row>
    <row r="33" spans="2:54" x14ac:dyDescent="0.25">
      <c r="B33" s="1427" t="s">
        <v>1202</v>
      </c>
      <c r="C33" s="1749" t="e">
        <f>(Balanço_Form!B186+Balanço_Form!B188)/Balanço_Form!B145</f>
        <v>#DIV/0!</v>
      </c>
      <c r="D33" s="1749" t="e">
        <f>(Balanço_Form!C186+Balanço_Form!C188)/Balanço_Form!C145</f>
        <v>#DIV/0!</v>
      </c>
      <c r="E33" s="1749">
        <f>(Balanço_Form!D186+Balanço_Form!D188)/Balanço_Form!D145</f>
        <v>3.2131696667142635</v>
      </c>
      <c r="F33" s="1749">
        <f>(Balanço_Form!E186+Balanço_Form!E188)/Balanço_Form!E145</f>
        <v>3.5847278737559001</v>
      </c>
      <c r="G33" s="1749">
        <f ca="1">(Balanço_Form!F186+Balanço_Form!F188)/Balanço_Form!F145</f>
        <v>3.7726301588999087</v>
      </c>
      <c r="H33" s="1749">
        <f ca="1">(Balanço_Form!G186+Balanço_Form!G188)/Balanço_Form!G145</f>
        <v>4.5319153607370151</v>
      </c>
      <c r="I33" s="1749">
        <f ca="1">(Balanço_Form!H186+Balanço_Form!H188)/Balanço_Form!H145</f>
        <v>5.3860996074005323</v>
      </c>
      <c r="J33" s="1749">
        <f ca="1">(Balanço_Form!I186+Balanço_Form!I188)/Balanço_Form!I145</f>
        <v>6.469181076600008</v>
      </c>
      <c r="K33" s="1749">
        <f ca="1">(Balanço_Form!J186+Balanço_Form!J188)/Balanço_Form!J145</f>
        <v>7.3419104019793648</v>
      </c>
      <c r="L33" s="1749">
        <f ca="1">(Balanço_Form!K186+Balanço_Form!K188)/Balanço_Form!K145</f>
        <v>8.342834232230091</v>
      </c>
      <c r="M33" s="1749">
        <f ca="1">(Balanço_Form!L186+Balanço_Form!L188)/Balanço_Form!L145</f>
        <v>9.4994797184827746</v>
      </c>
      <c r="N33" s="1440"/>
      <c r="O33" s="1489"/>
    </row>
    <row r="34" spans="2:54" x14ac:dyDescent="0.25">
      <c r="B34" s="1427" t="s">
        <v>583</v>
      </c>
      <c r="C34" s="1750" t="e">
        <f>Balanço_Form!B186/Balanço_Form!B206</f>
        <v>#DIV/0!</v>
      </c>
      <c r="D34" s="1750" t="e">
        <f>Balanço_Form!C186/Balanço_Form!C206</f>
        <v>#DIV/0!</v>
      </c>
      <c r="E34" s="1750">
        <f>Balanço_Form!D186/Balanço_Form!D206</f>
        <v>0.59758349071646877</v>
      </c>
      <c r="F34" s="1750">
        <f>Balanço_Form!E186/Balanço_Form!E206</f>
        <v>0.62813899989815747</v>
      </c>
      <c r="G34" s="1750">
        <f ca="1">Balanço_Form!F186/Balanço_Form!F206</f>
        <v>0.7049229923985687</v>
      </c>
      <c r="H34" s="1750">
        <f ca="1">Balanço_Form!G186/Balanço_Form!G206</f>
        <v>0.734949022890663</v>
      </c>
      <c r="I34" s="1750">
        <f ca="1">Balanço_Form!H186/Balanço_Form!H206</f>
        <v>0.74762659836650092</v>
      </c>
      <c r="J34" s="1750">
        <f ca="1">Balanço_Form!I186/Balanço_Form!I206</f>
        <v>0.78367660249967674</v>
      </c>
      <c r="K34" s="1750">
        <f ca="1">Balanço_Form!J186/Balanço_Form!J206</f>
        <v>0.82308480089865887</v>
      </c>
      <c r="L34" s="1750">
        <f ca="1">Balanço_Form!K186/Balanço_Form!K206</f>
        <v>0.86327271197332711</v>
      </c>
      <c r="M34" s="1750">
        <f ca="1">Balanço_Form!L186/Balanço_Form!L206</f>
        <v>0.90323486372501094</v>
      </c>
      <c r="N34" s="1441"/>
      <c r="O34" s="1472"/>
    </row>
    <row r="35" spans="2:54" s="1376" customFormat="1" x14ac:dyDescent="0.25">
      <c r="B35" s="1427" t="s">
        <v>584</v>
      </c>
      <c r="C35" s="1749" t="e">
        <f>DR_Form!B104/Balanço_Form!B206</f>
        <v>#DIV/0!</v>
      </c>
      <c r="D35" s="1749" t="e">
        <f>DR_Form!C104/Balanço_Form!C206</f>
        <v>#DIV/0!</v>
      </c>
      <c r="E35" s="1749">
        <f>DR_Form!D104/Balanço_Form!D206</f>
        <v>1.0465484890463642E-3</v>
      </c>
      <c r="F35" s="1749">
        <f>DR_Form!E104/Balanço_Form!E206</f>
        <v>1.1447718047494339E-2</v>
      </c>
      <c r="G35" s="1749">
        <f ca="1">DR_Form!F104/Balanço_Form!F206</f>
        <v>1.0879743397687471E-2</v>
      </c>
      <c r="H35" s="1749">
        <f ca="1">DR_Form!G104/Balanço_Form!G206</f>
        <v>1.0347538536438473E-2</v>
      </c>
      <c r="I35" s="1749">
        <f ca="1">DR_Form!H104/Balanço_Form!H206</f>
        <v>9.8063036168124836E-3</v>
      </c>
      <c r="J35" s="1749">
        <f ca="1">DR_Form!I104/Balanço_Form!I206</f>
        <v>9.5982671343256224E-3</v>
      </c>
      <c r="K35" s="1749">
        <f ca="1">DR_Form!J104/Balanço_Form!J206</f>
        <v>9.3962829750604462E-3</v>
      </c>
      <c r="L35" s="1749">
        <f ca="1">DR_Form!K104/Balanço_Form!K206</f>
        <v>9.2465977729038317E-3</v>
      </c>
      <c r="M35" s="1749">
        <f ca="1">DR_Form!L104/Balanço_Form!L206</f>
        <v>9.0987384307104711E-3</v>
      </c>
      <c r="N35" s="1440"/>
      <c r="O35" s="1489"/>
      <c r="P35" s="1375"/>
      <c r="Q35" s="1375"/>
      <c r="R35" s="1375"/>
      <c r="S35" s="1375"/>
      <c r="T35" s="1375"/>
      <c r="U35" s="1375"/>
      <c r="V35" s="1375"/>
      <c r="W35" s="1375"/>
      <c r="X35" s="1375"/>
      <c r="Y35" s="1375"/>
      <c r="Z35" s="1375"/>
      <c r="AA35" s="1375"/>
      <c r="AB35" s="1375"/>
      <c r="AC35" s="1375"/>
      <c r="AD35" s="1375"/>
      <c r="AE35" s="1375"/>
      <c r="AF35" s="1375"/>
      <c r="AG35" s="1375"/>
      <c r="AH35" s="1375"/>
      <c r="AI35" s="1375"/>
      <c r="AJ35" s="1375"/>
      <c r="AK35" s="1375"/>
      <c r="AL35" s="1375"/>
      <c r="AM35" s="1375"/>
      <c r="AN35" s="1375"/>
      <c r="AO35" s="1375"/>
      <c r="AP35" s="1375"/>
      <c r="AQ35" s="1375"/>
      <c r="AR35" s="1375"/>
      <c r="AS35" s="1375"/>
      <c r="AT35" s="1375"/>
      <c r="AU35" s="1375"/>
      <c r="AV35" s="1375"/>
      <c r="AW35" s="1375"/>
      <c r="AX35" s="1375"/>
      <c r="AY35" s="1375"/>
      <c r="AZ35" s="1375"/>
      <c r="BA35" s="1375"/>
      <c r="BB35" s="1375"/>
    </row>
    <row r="36" spans="2:54" x14ac:dyDescent="0.25">
      <c r="B36" s="1427" t="s">
        <v>585</v>
      </c>
      <c r="C36" s="1749" t="e">
        <f>Balanço_Form!B170/Balanço_Form!B194</f>
        <v>#DIV/0!</v>
      </c>
      <c r="D36" s="1749" t="e">
        <f>Balanço_Form!C170/Balanço_Form!C194</f>
        <v>#DIV/0!</v>
      </c>
      <c r="E36" s="1749">
        <f>Balanço_Form!D170/Balanço_Form!D194</f>
        <v>0.2144832153499821</v>
      </c>
      <c r="F36" s="1749">
        <f>Balanço_Form!E170/Balanço_Form!E194</f>
        <v>2.3097394764547103E-2</v>
      </c>
      <c r="G36" s="1749">
        <f ca="1">Balanço_Form!F170/Balanço_Form!F194</f>
        <v>7.9716381750072576E-2</v>
      </c>
      <c r="H36" s="1749">
        <f ca="1">Balanço_Form!G170/Balanço_Form!G194</f>
        <v>0.12034405048078263</v>
      </c>
      <c r="I36" s="1749">
        <f ca="1">Balanço_Form!H170/Balanço_Form!H194</f>
        <v>0.14556555886216979</v>
      </c>
      <c r="J36" s="1749">
        <f ca="1">Balanço_Form!I170/Balanço_Form!I194</f>
        <v>0.19514367068291147</v>
      </c>
      <c r="K36" s="1749">
        <f ca="1">Balanço_Form!J170/Balanço_Form!J194</f>
        <v>0.24107372809077518</v>
      </c>
      <c r="L36" s="1749">
        <f ca="1">Balanço_Form!K170/Balanço_Form!K194</f>
        <v>0.28556614244215978</v>
      </c>
      <c r="M36" s="1749">
        <f ca="1">Balanço_Form!L170/Balanço_Form!L194</f>
        <v>0.32964497785857738</v>
      </c>
      <c r="N36" s="1440"/>
      <c r="O36" s="1489"/>
    </row>
    <row r="37" spans="2:54" s="1376" customFormat="1" x14ac:dyDescent="0.25">
      <c r="B37" s="1483" t="s">
        <v>586</v>
      </c>
      <c r="C37" s="1749" t="e">
        <f>(Balanço_Form!B157-Balanço_Form!B158)/Balanço_Form!B194</f>
        <v>#DIV/0!</v>
      </c>
      <c r="D37" s="1749" t="e">
        <f>(Balanço_Form!C157-Balanço_Form!C158)/Balanço_Form!C194</f>
        <v>#DIV/0!</v>
      </c>
      <c r="E37" s="1749">
        <f>(Balanço_Form!D157-Balanço_Form!D158)/Balanço_Form!D194</f>
        <v>1.0700785863497317</v>
      </c>
      <c r="F37" s="1749">
        <f>(Balanço_Form!E157-Balanço_Form!E158)/Balanço_Form!E194</f>
        <v>1.216165900965557</v>
      </c>
      <c r="G37" s="1749">
        <f ca="1">(Balanço_Form!F157-Balanço_Form!F158)/Balanço_Form!F194</f>
        <v>1.2791458551036514</v>
      </c>
      <c r="H37" s="1749">
        <f ca="1">(Balanço_Form!G157-Balanço_Form!G158)/Balanço_Form!G194</f>
        <v>1.3320666640973313</v>
      </c>
      <c r="I37" s="1749">
        <f ca="1">(Balanço_Form!H157-Balanço_Form!H158)/Balanço_Form!H194</f>
        <v>1.3656189004855777</v>
      </c>
      <c r="J37" s="1749">
        <f ca="1">(Balanço_Form!I157-Balanço_Form!I158)/Balanço_Form!I194</f>
        <v>1.418419179673263</v>
      </c>
      <c r="K37" s="1749">
        <f ca="1">(Balanço_Form!J157-Balanço_Form!J158)/Balanço_Form!J194</f>
        <v>1.4662171848576009</v>
      </c>
      <c r="L37" s="1749">
        <f ca="1">(Balanço_Form!K157-Balanço_Form!K158)/Balanço_Form!K194</f>
        <v>1.5140958386422283</v>
      </c>
      <c r="M37" s="1749">
        <f ca="1">(Balanço_Form!L157-Balanço_Form!L158)/Balanço_Form!L194</f>
        <v>1.5615194862367707</v>
      </c>
      <c r="N37" s="1440"/>
      <c r="O37" s="1489"/>
      <c r="P37" s="1375"/>
      <c r="Q37" s="1375"/>
      <c r="R37" s="1375"/>
      <c r="S37" s="1375"/>
      <c r="T37" s="1375"/>
      <c r="U37" s="1375"/>
      <c r="V37" s="1375"/>
      <c r="W37" s="1375"/>
      <c r="X37" s="1375"/>
      <c r="Y37" s="1375"/>
      <c r="Z37" s="1375"/>
      <c r="AA37" s="1375"/>
      <c r="AB37" s="1375"/>
      <c r="AC37" s="1375"/>
      <c r="AD37" s="1375"/>
      <c r="AE37" s="1375"/>
      <c r="AF37" s="1375"/>
      <c r="AG37" s="1375"/>
      <c r="AH37" s="1375"/>
      <c r="AI37" s="1375"/>
      <c r="AJ37" s="1375"/>
      <c r="AK37" s="1375"/>
      <c r="AL37" s="1375"/>
      <c r="AM37" s="1375"/>
      <c r="AN37" s="1375"/>
      <c r="AO37" s="1375"/>
      <c r="AP37" s="1375"/>
      <c r="AQ37" s="1375"/>
      <c r="AR37" s="1375"/>
      <c r="AS37" s="1375"/>
      <c r="AT37" s="1375"/>
      <c r="AU37" s="1375"/>
      <c r="AV37" s="1375"/>
      <c r="AW37" s="1375"/>
      <c r="AX37" s="1375"/>
      <c r="AY37" s="1375"/>
      <c r="AZ37" s="1375"/>
      <c r="BA37" s="1375"/>
      <c r="BB37" s="1375"/>
    </row>
    <row r="38" spans="2:54" s="1376" customFormat="1" x14ac:dyDescent="0.25">
      <c r="B38" s="1427" t="s">
        <v>587</v>
      </c>
      <c r="C38" s="1749" t="e">
        <f>Balanço_Form!B157/Balanço_Form!B194</f>
        <v>#DIV/0!</v>
      </c>
      <c r="D38" s="1749" t="e">
        <f>Balanço_Form!C157/Balanço_Form!C194</f>
        <v>#DIV/0!</v>
      </c>
      <c r="E38" s="1749">
        <f>Balanço_Form!D157/Balanço_Form!D194</f>
        <v>1.4116040521244357</v>
      </c>
      <c r="F38" s="1749">
        <f>Balanço_Form!E157/Balanço_Form!E194</f>
        <v>1.4529125888512224</v>
      </c>
      <c r="G38" s="1749">
        <f ca="1">Balanço_Form!F157/Balanço_Form!F194</f>
        <v>1.5180711244158023</v>
      </c>
      <c r="H38" s="1749">
        <f ca="1">Balanço_Form!G157/Balanço_Form!G194</f>
        <v>1.5727771894848557</v>
      </c>
      <c r="I38" s="1749">
        <f ca="1">Balanço_Form!H157/Balanço_Form!H194</f>
        <v>1.6088199195335924</v>
      </c>
      <c r="J38" s="1749">
        <f ca="1">Balanço_Form!I157/Balanço_Form!I194</f>
        <v>1.6625366014361185</v>
      </c>
      <c r="K38" s="1749">
        <f ca="1">Balanço_Form!J157/Balanço_Form!J194</f>
        <v>1.7109770856265198</v>
      </c>
      <c r="L38" s="1749">
        <f ca="1">Balanço_Form!K157/Balanço_Form!K194</f>
        <v>1.7597979589165871</v>
      </c>
      <c r="M38" s="1749">
        <f ca="1">Balanço_Form!L157/Balanço_Form!L194</f>
        <v>1.8081523023119239</v>
      </c>
      <c r="N38" s="1440"/>
      <c r="O38" s="1489"/>
      <c r="P38" s="1375"/>
      <c r="Q38" s="1375"/>
      <c r="R38" s="1375"/>
      <c r="S38" s="1375"/>
      <c r="T38" s="1375"/>
      <c r="U38" s="1375"/>
      <c r="V38" s="1375"/>
      <c r="W38" s="1375"/>
      <c r="X38" s="1375"/>
      <c r="Y38" s="1375"/>
      <c r="Z38" s="1375"/>
      <c r="AA38" s="1375"/>
      <c r="AB38" s="1375"/>
      <c r="AC38" s="1375"/>
      <c r="AD38" s="1375"/>
      <c r="AE38" s="1375"/>
      <c r="AF38" s="1375"/>
      <c r="AG38" s="1375"/>
      <c r="AH38" s="1375"/>
      <c r="AI38" s="1375"/>
      <c r="AJ38" s="1375"/>
      <c r="AK38" s="1375"/>
      <c r="AL38" s="1375"/>
      <c r="AM38" s="1375"/>
      <c r="AN38" s="1375"/>
      <c r="AO38" s="1375"/>
      <c r="AP38" s="1375"/>
      <c r="AQ38" s="1375"/>
      <c r="AR38" s="1375"/>
      <c r="AS38" s="1375"/>
      <c r="AT38" s="1375"/>
      <c r="AU38" s="1375"/>
      <c r="AV38" s="1375"/>
      <c r="AW38" s="1375"/>
      <c r="AX38" s="1375"/>
      <c r="AY38" s="1375"/>
      <c r="AZ38" s="1375"/>
      <c r="BA38" s="1375"/>
      <c r="BB38" s="1375"/>
    </row>
    <row r="39" spans="2:54" ht="12.75" thickBot="1" x14ac:dyDescent="0.3">
      <c r="B39" s="1429" t="s">
        <v>588</v>
      </c>
      <c r="C39" s="1751" t="e">
        <f>C6/C4</f>
        <v>#DIV/0!</v>
      </c>
      <c r="D39" s="1751" t="e">
        <f t="shared" ref="D39:M39" si="13">D6/D4</f>
        <v>#DIV/0!</v>
      </c>
      <c r="E39" s="1751">
        <f t="shared" si="13"/>
        <v>0</v>
      </c>
      <c r="F39" s="1751">
        <f t="shared" si="13"/>
        <v>0</v>
      </c>
      <c r="G39" s="1751">
        <f t="shared" si="13"/>
        <v>0</v>
      </c>
      <c r="H39" s="1751">
        <f t="shared" si="13"/>
        <v>0</v>
      </c>
      <c r="I39" s="1751">
        <f t="shared" si="13"/>
        <v>0</v>
      </c>
      <c r="J39" s="1751">
        <f t="shared" si="13"/>
        <v>0</v>
      </c>
      <c r="K39" s="1751">
        <f t="shared" si="13"/>
        <v>0</v>
      </c>
      <c r="L39" s="1751">
        <f t="shared" si="13"/>
        <v>0</v>
      </c>
      <c r="M39" s="1751">
        <f t="shared" si="13"/>
        <v>0</v>
      </c>
      <c r="N39" s="1746"/>
      <c r="O39" s="1747"/>
    </row>
    <row r="40" spans="2:54" ht="12.75" thickBot="1" x14ac:dyDescent="0.3">
      <c r="B40" s="1334"/>
    </row>
    <row r="41" spans="2:54" x14ac:dyDescent="0.25">
      <c r="B41" s="1977" t="s">
        <v>589</v>
      </c>
      <c r="C41" s="1978"/>
      <c r="D41" s="1978"/>
      <c r="E41" s="1978"/>
      <c r="F41" s="1978"/>
      <c r="G41" s="1978"/>
      <c r="H41" s="1978"/>
      <c r="I41" s="1978"/>
      <c r="J41" s="1978"/>
      <c r="K41" s="1978"/>
      <c r="L41" s="1978"/>
      <c r="M41" s="1978"/>
      <c r="N41" s="1978"/>
      <c r="O41" s="1979"/>
    </row>
    <row r="42" spans="2:54" x14ac:dyDescent="0.25">
      <c r="B42" s="1481"/>
      <c r="C42" s="1463">
        <f t="shared" ref="C42:O42" si="14">C30</f>
        <v>2017</v>
      </c>
      <c r="D42" s="1463">
        <f t="shared" si="14"/>
        <v>2018</v>
      </c>
      <c r="E42" s="1463">
        <f t="shared" si="14"/>
        <v>2019</v>
      </c>
      <c r="F42" s="1463">
        <f t="shared" si="14"/>
        <v>2020</v>
      </c>
      <c r="G42" s="1463">
        <f t="shared" si="14"/>
        <v>2021</v>
      </c>
      <c r="H42" s="1463">
        <f t="shared" si="14"/>
        <v>2022</v>
      </c>
      <c r="I42" s="1463">
        <f t="shared" si="14"/>
        <v>2023</v>
      </c>
      <c r="J42" s="1463">
        <f t="shared" si="14"/>
        <v>2024</v>
      </c>
      <c r="K42" s="1463">
        <f t="shared" si="14"/>
        <v>2025</v>
      </c>
      <c r="L42" s="1463">
        <f t="shared" si="14"/>
        <v>2026</v>
      </c>
      <c r="M42" s="1463">
        <f t="shared" si="14"/>
        <v>2027</v>
      </c>
      <c r="N42" s="1463">
        <f t="shared" si="14"/>
        <v>2028</v>
      </c>
      <c r="O42" s="1464">
        <f t="shared" si="14"/>
        <v>2029</v>
      </c>
    </row>
    <row r="43" spans="2:54" x14ac:dyDescent="0.25">
      <c r="B43" s="1426" t="s">
        <v>1187</v>
      </c>
      <c r="C43" s="1442"/>
      <c r="D43" s="1442"/>
      <c r="E43" s="1442"/>
      <c r="F43" s="1442"/>
      <c r="G43" s="1442"/>
      <c r="H43" s="1442"/>
      <c r="I43" s="1442"/>
      <c r="J43" s="1442"/>
      <c r="K43" s="1442"/>
      <c r="L43" s="1442"/>
      <c r="M43" s="1442"/>
      <c r="N43" s="1442"/>
      <c r="O43" s="1482"/>
    </row>
    <row r="44" spans="2:54" x14ac:dyDescent="0.25">
      <c r="B44" s="1483" t="s">
        <v>590</v>
      </c>
      <c r="C44" s="1443"/>
      <c r="D44" s="1443"/>
      <c r="E44" s="1443"/>
      <c r="F44" s="1443"/>
      <c r="G44" s="1443"/>
      <c r="H44" s="1443"/>
      <c r="I44" s="1443"/>
      <c r="J44" s="1443"/>
      <c r="K44" s="1443"/>
      <c r="L44" s="1443"/>
      <c r="M44" s="1443"/>
      <c r="N44" s="1443"/>
      <c r="O44" s="1475"/>
    </row>
    <row r="45" spans="2:54" x14ac:dyDescent="0.25">
      <c r="B45" s="1427" t="s">
        <v>591</v>
      </c>
      <c r="C45" s="1443"/>
      <c r="D45" s="1443"/>
      <c r="E45" s="1443"/>
      <c r="F45" s="1443"/>
      <c r="G45" s="1443"/>
      <c r="H45" s="1443"/>
      <c r="I45" s="1443"/>
      <c r="J45" s="1443"/>
      <c r="K45" s="1443"/>
      <c r="L45" s="1443"/>
      <c r="M45" s="1443"/>
      <c r="N45" s="1443"/>
      <c r="O45" s="1475"/>
    </row>
    <row r="46" spans="2:54" x14ac:dyDescent="0.25">
      <c r="B46" s="1427" t="s">
        <v>592</v>
      </c>
      <c r="C46" s="1444">
        <f>C4-DR_Form!B84-DR_Form!B85</f>
        <v>0</v>
      </c>
      <c r="D46" s="1444">
        <f>D4-DR_Form!C84-DR_Form!C85</f>
        <v>0</v>
      </c>
      <c r="E46" s="1444">
        <f>E4-DR_Form!D84-DR_Form!D85</f>
        <v>192158.13000000024</v>
      </c>
      <c r="F46" s="1444">
        <f>F4-DR_Form!E84-DR_Form!E85</f>
        <v>260883.47999999998</v>
      </c>
      <c r="G46" s="1444">
        <f>G4-DR_Form!F84-DR_Form!F85</f>
        <v>294723.32000000041</v>
      </c>
      <c r="H46" s="1444">
        <f>H4-DR_Form!G84-DR_Form!G85</f>
        <v>337953.88</v>
      </c>
      <c r="I46" s="1444">
        <f>I4-DR_Form!H84-DR_Form!H85</f>
        <v>374095.47999999963</v>
      </c>
      <c r="J46" s="1444">
        <f>J4-DR_Form!I84-DR_Form!I85</f>
        <v>381614.81000000017</v>
      </c>
      <c r="K46" s="1444">
        <f>K4-DR_Form!J84-DR_Form!J85</f>
        <v>389285.25999999989</v>
      </c>
      <c r="L46" s="1444">
        <f>L4-DR_Form!K84-DR_Form!K85</f>
        <v>397109.8900000006</v>
      </c>
      <c r="M46" s="1444">
        <f>M4-DR_Form!L84-DR_Form!L85</f>
        <v>405091.80999999994</v>
      </c>
      <c r="N46" s="1444"/>
      <c r="O46" s="1474"/>
    </row>
    <row r="47" spans="2:54" x14ac:dyDescent="0.25">
      <c r="B47" s="1427" t="s">
        <v>593</v>
      </c>
      <c r="C47" s="1444"/>
      <c r="D47" s="1444"/>
      <c r="E47" s="1444"/>
      <c r="F47" s="1444"/>
      <c r="G47" s="1444"/>
      <c r="H47" s="1444"/>
      <c r="I47" s="1444"/>
      <c r="J47" s="1444"/>
      <c r="K47" s="1444"/>
      <c r="L47" s="1444"/>
      <c r="M47" s="1444"/>
      <c r="N47" s="1444"/>
      <c r="O47" s="1474"/>
    </row>
    <row r="48" spans="2:54" x14ac:dyDescent="0.25">
      <c r="B48" s="1427" t="s">
        <v>594</v>
      </c>
      <c r="C48" s="1444"/>
      <c r="D48" s="1444"/>
      <c r="E48" s="1444"/>
      <c r="F48" s="1444"/>
      <c r="G48" s="1444"/>
      <c r="H48" s="1444"/>
      <c r="I48" s="1444"/>
      <c r="J48" s="1444"/>
      <c r="K48" s="1444"/>
      <c r="L48" s="1444"/>
      <c r="M48" s="1444"/>
      <c r="N48" s="1444"/>
      <c r="O48" s="1474"/>
    </row>
    <row r="49" spans="2:15" x14ac:dyDescent="0.25">
      <c r="B49" s="1427" t="s">
        <v>596</v>
      </c>
      <c r="C49" s="1445"/>
      <c r="D49" s="1445"/>
      <c r="E49" s="1445"/>
      <c r="F49" s="1445"/>
      <c r="G49" s="1445"/>
      <c r="H49" s="1445"/>
      <c r="I49" s="1445"/>
      <c r="J49" s="1445"/>
      <c r="K49" s="1445"/>
      <c r="L49" s="1445"/>
      <c r="M49" s="1445"/>
      <c r="N49" s="1445"/>
      <c r="O49" s="1471"/>
    </row>
    <row r="50" spans="2:15" x14ac:dyDescent="0.25">
      <c r="B50" s="1427" t="s">
        <v>597</v>
      </c>
      <c r="C50" s="1444"/>
      <c r="D50" s="1444"/>
      <c r="E50" s="1444"/>
      <c r="F50" s="1444"/>
      <c r="G50" s="1444"/>
      <c r="H50" s="1444"/>
      <c r="I50" s="1444"/>
      <c r="J50" s="1444"/>
      <c r="K50" s="1444"/>
      <c r="L50" s="1444"/>
      <c r="M50" s="1444"/>
      <c r="N50" s="1444"/>
      <c r="O50" s="1474"/>
    </row>
    <row r="51" spans="2:15" x14ac:dyDescent="0.25">
      <c r="B51" s="1427" t="s">
        <v>598</v>
      </c>
      <c r="C51" s="1445"/>
      <c r="D51" s="1445"/>
      <c r="E51" s="1445"/>
      <c r="F51" s="1445"/>
      <c r="G51" s="1445"/>
      <c r="H51" s="1445"/>
      <c r="I51" s="1445"/>
      <c r="J51" s="1445"/>
      <c r="K51" s="1445"/>
      <c r="L51" s="1445"/>
      <c r="M51" s="1445"/>
      <c r="N51" s="1445"/>
      <c r="O51" s="1471"/>
    </row>
    <row r="52" spans="2:15" x14ac:dyDescent="0.25">
      <c r="B52" s="1427" t="s">
        <v>599</v>
      </c>
      <c r="C52" s="1445"/>
      <c r="D52" s="1445"/>
      <c r="E52" s="1445"/>
      <c r="F52" s="1445"/>
      <c r="G52" s="1445"/>
      <c r="H52" s="1445"/>
      <c r="I52" s="1445"/>
      <c r="J52" s="1445"/>
      <c r="K52" s="1445"/>
      <c r="L52" s="1445"/>
      <c r="M52" s="1445"/>
      <c r="N52" s="1445"/>
      <c r="O52" s="1471"/>
    </row>
    <row r="53" spans="2:15" ht="12.75" thickBot="1" x14ac:dyDescent="0.3">
      <c r="B53" s="1429" t="s">
        <v>600</v>
      </c>
      <c r="C53" s="1484"/>
      <c r="D53" s="1484"/>
      <c r="E53" s="1484"/>
      <c r="F53" s="1485"/>
      <c r="G53" s="1485"/>
      <c r="H53" s="1485"/>
      <c r="I53" s="1485"/>
      <c r="J53" s="1484"/>
      <c r="K53" s="1484"/>
      <c r="L53" s="1484"/>
      <c r="M53" s="1484"/>
      <c r="N53" s="1484"/>
      <c r="O53" s="1486"/>
    </row>
    <row r="54" spans="2:15" ht="12.75" thickBot="1" x14ac:dyDescent="0.3">
      <c r="B54" s="1371"/>
      <c r="C54" s="653"/>
      <c r="D54" s="653"/>
      <c r="E54" s="653"/>
      <c r="J54" s="653"/>
      <c r="K54" s="653"/>
      <c r="L54" s="653"/>
      <c r="M54" s="653"/>
      <c r="N54" s="653"/>
      <c r="O54" s="653"/>
    </row>
    <row r="55" spans="2:15" x14ac:dyDescent="0.25">
      <c r="B55" s="1977" t="s">
        <v>601</v>
      </c>
      <c r="C55" s="1978"/>
      <c r="D55" s="1978"/>
      <c r="E55" s="1978"/>
      <c r="F55" s="1978"/>
      <c r="G55" s="1978"/>
      <c r="H55" s="1978"/>
      <c r="I55" s="1978"/>
      <c r="J55" s="1978"/>
      <c r="K55" s="1978"/>
      <c r="L55" s="1978"/>
      <c r="M55" s="1978"/>
      <c r="N55" s="1978"/>
      <c r="O55" s="1979"/>
    </row>
    <row r="56" spans="2:15" x14ac:dyDescent="0.25">
      <c r="B56" s="1480"/>
      <c r="C56" s="1463">
        <f t="shared" ref="C56:O56" si="15">C42</f>
        <v>2017</v>
      </c>
      <c r="D56" s="1463">
        <f t="shared" si="15"/>
        <v>2018</v>
      </c>
      <c r="E56" s="1463">
        <f t="shared" si="15"/>
        <v>2019</v>
      </c>
      <c r="F56" s="1463">
        <f t="shared" si="15"/>
        <v>2020</v>
      </c>
      <c r="G56" s="1463">
        <f t="shared" si="15"/>
        <v>2021</v>
      </c>
      <c r="H56" s="1463">
        <f t="shared" si="15"/>
        <v>2022</v>
      </c>
      <c r="I56" s="1463">
        <f t="shared" si="15"/>
        <v>2023</v>
      </c>
      <c r="J56" s="1463">
        <f t="shared" si="15"/>
        <v>2024</v>
      </c>
      <c r="K56" s="1463">
        <f t="shared" si="15"/>
        <v>2025</v>
      </c>
      <c r="L56" s="1463">
        <f t="shared" si="15"/>
        <v>2026</v>
      </c>
      <c r="M56" s="1463">
        <f t="shared" si="15"/>
        <v>2027</v>
      </c>
      <c r="N56" s="1463">
        <f t="shared" si="15"/>
        <v>2028</v>
      </c>
      <c r="O56" s="1464">
        <f t="shared" si="15"/>
        <v>2029</v>
      </c>
    </row>
    <row r="57" spans="2:15" x14ac:dyDescent="0.25">
      <c r="B57" s="1426" t="s">
        <v>602</v>
      </c>
      <c r="C57" s="1447"/>
      <c r="D57" s="1447"/>
      <c r="E57" s="1447"/>
      <c r="F57" s="1447"/>
      <c r="G57" s="1447"/>
      <c r="H57" s="1447"/>
      <c r="I57" s="1447"/>
      <c r="J57" s="1447"/>
      <c r="K57" s="1447"/>
      <c r="L57" s="1447"/>
      <c r="M57" s="1447"/>
      <c r="N57" s="1447"/>
      <c r="O57" s="1479"/>
    </row>
    <row r="58" spans="2:15" x14ac:dyDescent="0.25">
      <c r="B58" s="1427" t="s">
        <v>1203</v>
      </c>
      <c r="C58" s="1373"/>
      <c r="D58" s="1373"/>
      <c r="E58" s="1373"/>
      <c r="F58" s="1373"/>
      <c r="G58" s="1373"/>
      <c r="H58" s="1373"/>
      <c r="I58" s="1373"/>
      <c r="J58" s="1373"/>
      <c r="K58" s="1373"/>
      <c r="L58" s="1373"/>
      <c r="M58" s="1373"/>
      <c r="N58" s="1373"/>
      <c r="O58" s="1470"/>
    </row>
    <row r="59" spans="2:15" x14ac:dyDescent="0.25">
      <c r="B59" s="1469" t="s">
        <v>98</v>
      </c>
      <c r="C59" s="1373"/>
      <c r="D59" s="1373"/>
      <c r="E59" s="1373"/>
      <c r="F59" s="1373"/>
      <c r="G59" s="1373"/>
      <c r="H59" s="1373"/>
      <c r="I59" s="1373"/>
      <c r="J59" s="1373"/>
      <c r="K59" s="1373"/>
      <c r="L59" s="1373"/>
      <c r="M59" s="1373"/>
      <c r="N59" s="1373"/>
      <c r="O59" s="1470"/>
    </row>
    <row r="60" spans="2:15" x14ac:dyDescent="0.25">
      <c r="B60" s="1469" t="s">
        <v>603</v>
      </c>
      <c r="C60" s="1373"/>
      <c r="D60" s="1373"/>
      <c r="E60" s="1373"/>
      <c r="F60" s="1373"/>
      <c r="G60" s="1373"/>
      <c r="H60" s="1373"/>
      <c r="I60" s="1373"/>
      <c r="J60" s="1373"/>
      <c r="K60" s="1373"/>
      <c r="L60" s="1373"/>
      <c r="M60" s="1373"/>
      <c r="N60" s="1373"/>
      <c r="O60" s="1470"/>
    </row>
    <row r="61" spans="2:15" ht="12.75" thickBot="1" x14ac:dyDescent="0.3">
      <c r="B61" s="1476" t="s">
        <v>604</v>
      </c>
      <c r="C61" s="1430"/>
      <c r="D61" s="1430"/>
      <c r="E61" s="1430"/>
      <c r="F61" s="1430"/>
      <c r="G61" s="1430"/>
      <c r="H61" s="1430"/>
      <c r="I61" s="1430"/>
      <c r="J61" s="1430"/>
      <c r="K61" s="1430"/>
      <c r="L61" s="1430"/>
      <c r="M61" s="1430"/>
      <c r="N61" s="1430"/>
      <c r="O61" s="1431"/>
    </row>
    <row r="62" spans="2:15" ht="12.75" thickBot="1" x14ac:dyDescent="0.3">
      <c r="B62" s="1334"/>
      <c r="C62" s="648"/>
      <c r="D62" s="648"/>
      <c r="E62" s="648"/>
      <c r="F62" s="648"/>
      <c r="G62" s="648"/>
      <c r="H62" s="648"/>
      <c r="I62" s="648"/>
      <c r="J62" s="648"/>
      <c r="K62" s="648"/>
      <c r="L62" s="648"/>
      <c r="M62" s="648"/>
      <c r="N62" s="648"/>
      <c r="O62" s="648"/>
    </row>
    <row r="63" spans="2:15" x14ac:dyDescent="0.25">
      <c r="B63" s="1977" t="s">
        <v>605</v>
      </c>
      <c r="C63" s="1978"/>
      <c r="D63" s="1978"/>
      <c r="E63" s="1978"/>
      <c r="F63" s="1978"/>
      <c r="G63" s="1978"/>
      <c r="H63" s="1978"/>
      <c r="I63" s="1978"/>
      <c r="J63" s="1978"/>
      <c r="K63" s="1978"/>
      <c r="L63" s="1978"/>
      <c r="M63" s="1978"/>
      <c r="N63" s="1978"/>
      <c r="O63" s="1979"/>
    </row>
    <row r="64" spans="2:15" x14ac:dyDescent="0.25">
      <c r="B64" s="1466"/>
      <c r="C64" s="1463">
        <f t="shared" ref="C64:O64" si="16">C56</f>
        <v>2017</v>
      </c>
      <c r="D64" s="1463">
        <f t="shared" si="16"/>
        <v>2018</v>
      </c>
      <c r="E64" s="1463">
        <f t="shared" si="16"/>
        <v>2019</v>
      </c>
      <c r="F64" s="1463">
        <f t="shared" si="16"/>
        <v>2020</v>
      </c>
      <c r="G64" s="1463">
        <f t="shared" si="16"/>
        <v>2021</v>
      </c>
      <c r="H64" s="1463">
        <f t="shared" si="16"/>
        <v>2022</v>
      </c>
      <c r="I64" s="1463">
        <f t="shared" si="16"/>
        <v>2023</v>
      </c>
      <c r="J64" s="1463">
        <f t="shared" si="16"/>
        <v>2024</v>
      </c>
      <c r="K64" s="1463">
        <f t="shared" si="16"/>
        <v>2025</v>
      </c>
      <c r="L64" s="1463">
        <f t="shared" si="16"/>
        <v>2026</v>
      </c>
      <c r="M64" s="1463">
        <f t="shared" si="16"/>
        <v>2027</v>
      </c>
      <c r="N64" s="1463">
        <f t="shared" si="16"/>
        <v>2028</v>
      </c>
      <c r="O64" s="1463">
        <f t="shared" si="16"/>
        <v>2029</v>
      </c>
    </row>
    <row r="65" spans="2:15" x14ac:dyDescent="0.25">
      <c r="B65" s="1467" t="s">
        <v>284</v>
      </c>
      <c r="C65" s="1447">
        <f>C4</f>
        <v>0</v>
      </c>
      <c r="D65" s="1447">
        <f t="shared" ref="D65:O65" si="17">D4</f>
        <v>0</v>
      </c>
      <c r="E65" s="1447">
        <f t="shared" si="17"/>
        <v>3479532.14</v>
      </c>
      <c r="F65" s="1447">
        <f t="shared" si="17"/>
        <v>3690043.83</v>
      </c>
      <c r="G65" s="1447">
        <f t="shared" si="17"/>
        <v>3913291.49</v>
      </c>
      <c r="H65" s="1447">
        <f t="shared" si="17"/>
        <v>4150045.62</v>
      </c>
      <c r="I65" s="1447">
        <f t="shared" si="17"/>
        <v>4401123.38</v>
      </c>
      <c r="J65" s="1447">
        <f t="shared" si="17"/>
        <v>4489585.96</v>
      </c>
      <c r="K65" s="1447">
        <f t="shared" si="17"/>
        <v>4579826.6399999997</v>
      </c>
      <c r="L65" s="1447">
        <f t="shared" si="17"/>
        <v>4671881.1500000004</v>
      </c>
      <c r="M65" s="1447">
        <f t="shared" si="17"/>
        <v>4765785.97</v>
      </c>
      <c r="N65" s="1447" t="str">
        <f t="shared" si="17"/>
        <v>-</v>
      </c>
      <c r="O65" s="1447" t="str">
        <f t="shared" si="17"/>
        <v>-</v>
      </c>
    </row>
    <row r="66" spans="2:15" x14ac:dyDescent="0.25">
      <c r="B66" s="1469" t="s">
        <v>593</v>
      </c>
      <c r="C66" s="1373"/>
      <c r="D66" s="1373"/>
      <c r="E66" s="1373"/>
      <c r="F66" s="1373"/>
      <c r="G66" s="1373"/>
      <c r="H66" s="1373"/>
      <c r="I66" s="1373"/>
      <c r="J66" s="1373"/>
      <c r="K66" s="1373"/>
      <c r="L66" s="1373"/>
      <c r="M66" s="1373"/>
      <c r="N66" s="1373"/>
      <c r="O66" s="1470"/>
    </row>
    <row r="67" spans="2:15" x14ac:dyDescent="0.25">
      <c r="B67" s="1469" t="s">
        <v>606</v>
      </c>
      <c r="C67" s="1373"/>
      <c r="D67" s="1373"/>
      <c r="E67" s="1373"/>
      <c r="F67" s="1373"/>
      <c r="G67" s="1373"/>
      <c r="H67" s="1373"/>
      <c r="I67" s="1373"/>
      <c r="J67" s="1373"/>
      <c r="K67" s="1373"/>
      <c r="L67" s="1373"/>
      <c r="M67" s="1373"/>
      <c r="N67" s="1373"/>
      <c r="O67" s="1470"/>
    </row>
    <row r="68" spans="2:15" ht="12.75" thickBot="1" x14ac:dyDescent="0.3">
      <c r="B68" s="1476" t="s">
        <v>568</v>
      </c>
      <c r="C68" s="1430"/>
      <c r="D68" s="1430"/>
      <c r="E68" s="1430"/>
      <c r="F68" s="1430"/>
      <c r="G68" s="1430"/>
      <c r="H68" s="1430"/>
      <c r="I68" s="1430"/>
      <c r="J68" s="1430"/>
      <c r="K68" s="1430"/>
      <c r="L68" s="1430"/>
      <c r="M68" s="1430"/>
      <c r="N68" s="1430"/>
      <c r="O68" s="1431"/>
    </row>
    <row r="69" spans="2:15" ht="12.75" thickBot="1" x14ac:dyDescent="0.3">
      <c r="B69" s="1334"/>
      <c r="C69" s="648"/>
      <c r="D69" s="648"/>
      <c r="E69" s="648"/>
      <c r="F69" s="648"/>
      <c r="G69" s="648"/>
      <c r="H69" s="648"/>
      <c r="I69" s="648"/>
      <c r="J69" s="648"/>
      <c r="K69" s="648"/>
      <c r="L69" s="648"/>
      <c r="M69" s="648"/>
      <c r="N69" s="648"/>
      <c r="O69" s="648"/>
    </row>
    <row r="70" spans="2:15" x14ac:dyDescent="0.25">
      <c r="B70" s="1977" t="s">
        <v>607</v>
      </c>
      <c r="C70" s="1978"/>
      <c r="D70" s="1978"/>
      <c r="E70" s="1978"/>
      <c r="F70" s="1978"/>
      <c r="G70" s="1978"/>
      <c r="H70" s="1978"/>
      <c r="I70" s="1978"/>
      <c r="J70" s="1978"/>
      <c r="K70" s="1978"/>
      <c r="L70" s="1978"/>
      <c r="M70" s="1978"/>
      <c r="N70" s="1978"/>
      <c r="O70" s="1979"/>
    </row>
    <row r="71" spans="2:15" x14ac:dyDescent="0.25">
      <c r="B71" s="1466"/>
      <c r="C71" s="1463">
        <f t="shared" ref="C71:O71" si="18">C64</f>
        <v>2017</v>
      </c>
      <c r="D71" s="1463">
        <f t="shared" si="18"/>
        <v>2018</v>
      </c>
      <c r="E71" s="1463">
        <f t="shared" si="18"/>
        <v>2019</v>
      </c>
      <c r="F71" s="1463">
        <f t="shared" si="18"/>
        <v>2020</v>
      </c>
      <c r="G71" s="1463">
        <f t="shared" si="18"/>
        <v>2021</v>
      </c>
      <c r="H71" s="1463">
        <f t="shared" si="18"/>
        <v>2022</v>
      </c>
      <c r="I71" s="1463">
        <f t="shared" si="18"/>
        <v>2023</v>
      </c>
      <c r="J71" s="1463">
        <f t="shared" si="18"/>
        <v>2024</v>
      </c>
      <c r="K71" s="1463">
        <f t="shared" si="18"/>
        <v>2025</v>
      </c>
      <c r="L71" s="1463">
        <f t="shared" si="18"/>
        <v>2026</v>
      </c>
      <c r="M71" s="1463">
        <f t="shared" si="18"/>
        <v>2027</v>
      </c>
      <c r="N71" s="1463">
        <f t="shared" si="18"/>
        <v>2028</v>
      </c>
      <c r="O71" s="1463">
        <f t="shared" si="18"/>
        <v>2029</v>
      </c>
    </row>
    <row r="72" spans="2:15" x14ac:dyDescent="0.25">
      <c r="B72" s="1467" t="s">
        <v>608</v>
      </c>
      <c r="C72" s="1449"/>
      <c r="D72" s="1439"/>
      <c r="E72" s="1439"/>
      <c r="F72" s="1439"/>
      <c r="G72" s="1439"/>
      <c r="H72" s="1439"/>
      <c r="I72" s="1439"/>
      <c r="J72" s="1439"/>
      <c r="K72" s="1439"/>
      <c r="L72" s="1439"/>
      <c r="M72" s="1439"/>
      <c r="N72" s="1439"/>
      <c r="O72" s="1468"/>
    </row>
    <row r="73" spans="2:15" x14ac:dyDescent="0.25">
      <c r="B73" s="1469" t="s">
        <v>609</v>
      </c>
      <c r="C73" s="1373"/>
      <c r="D73" s="1373"/>
      <c r="E73" s="1373"/>
      <c r="F73" s="1373"/>
      <c r="G73" s="1373"/>
      <c r="H73" s="1373"/>
      <c r="I73" s="1373"/>
      <c r="J73" s="1373"/>
      <c r="K73" s="1373"/>
      <c r="L73" s="1373"/>
      <c r="M73" s="1373"/>
      <c r="N73" s="1373"/>
      <c r="O73" s="1470"/>
    </row>
    <row r="74" spans="2:15" x14ac:dyDescent="0.25">
      <c r="B74" s="1469" t="s">
        <v>610</v>
      </c>
      <c r="C74" s="1373"/>
      <c r="D74" s="1373"/>
      <c r="E74" s="1373"/>
      <c r="F74" s="1373"/>
      <c r="G74" s="1373"/>
      <c r="H74" s="1373"/>
      <c r="I74" s="1373"/>
      <c r="J74" s="1373"/>
      <c r="K74" s="1373"/>
      <c r="L74" s="1373"/>
      <c r="M74" s="1373"/>
      <c r="N74" s="1373"/>
      <c r="O74" s="1470"/>
    </row>
    <row r="75" spans="2:15" x14ac:dyDescent="0.25">
      <c r="B75" s="1469" t="s">
        <v>611</v>
      </c>
      <c r="C75" s="1445"/>
      <c r="D75" s="1445"/>
      <c r="E75" s="1445"/>
      <c r="F75" s="1445"/>
      <c r="G75" s="1445"/>
      <c r="H75" s="1445"/>
      <c r="I75" s="1445"/>
      <c r="J75" s="1445"/>
      <c r="K75" s="1445"/>
      <c r="L75" s="1445"/>
      <c r="M75" s="1445"/>
      <c r="N75" s="1445"/>
      <c r="O75" s="1471"/>
    </row>
    <row r="76" spans="2:15" x14ac:dyDescent="0.25">
      <c r="B76" s="1469" t="s">
        <v>612</v>
      </c>
      <c r="C76" s="1373"/>
      <c r="D76" s="1373"/>
      <c r="E76" s="1373"/>
      <c r="F76" s="1373"/>
      <c r="G76" s="1373"/>
      <c r="H76" s="1373"/>
      <c r="I76" s="1373"/>
      <c r="J76" s="1373"/>
      <c r="K76" s="1373"/>
      <c r="L76" s="1373"/>
      <c r="M76" s="1373"/>
      <c r="N76" s="1373"/>
      <c r="O76" s="1470"/>
    </row>
    <row r="77" spans="2:15" x14ac:dyDescent="0.25">
      <c r="B77" s="1469" t="s">
        <v>583</v>
      </c>
      <c r="C77" s="1441"/>
      <c r="D77" s="1441"/>
      <c r="E77" s="1441"/>
      <c r="F77" s="1441"/>
      <c r="G77" s="1441"/>
      <c r="H77" s="1441"/>
      <c r="I77" s="1441"/>
      <c r="J77" s="1441"/>
      <c r="K77" s="1441"/>
      <c r="L77" s="1441"/>
      <c r="M77" s="1441"/>
      <c r="N77" s="1441"/>
      <c r="O77" s="1472"/>
    </row>
    <row r="78" spans="2:15" x14ac:dyDescent="0.25">
      <c r="B78" s="1469" t="s">
        <v>587</v>
      </c>
      <c r="C78" s="1450"/>
      <c r="D78" s="1450"/>
      <c r="E78" s="1450"/>
      <c r="F78" s="1450"/>
      <c r="G78" s="1450"/>
      <c r="H78" s="1450"/>
      <c r="I78" s="1450"/>
      <c r="J78" s="1450"/>
      <c r="K78" s="1450"/>
      <c r="L78" s="1450"/>
      <c r="M78" s="1450"/>
      <c r="N78" s="1450"/>
      <c r="O78" s="1473"/>
    </row>
    <row r="79" spans="2:15" x14ac:dyDescent="0.25">
      <c r="B79" s="1469" t="s">
        <v>586</v>
      </c>
      <c r="C79" s="1450"/>
      <c r="D79" s="1450"/>
      <c r="E79" s="1450"/>
      <c r="F79" s="1450"/>
      <c r="G79" s="1450"/>
      <c r="H79" s="1450"/>
      <c r="I79" s="1450"/>
      <c r="J79" s="1450"/>
      <c r="K79" s="1450"/>
      <c r="L79" s="1450"/>
      <c r="M79" s="1450"/>
      <c r="N79" s="1450"/>
      <c r="O79" s="1473"/>
    </row>
    <row r="80" spans="2:15" x14ac:dyDescent="0.25">
      <c r="B80" s="1469" t="s">
        <v>613</v>
      </c>
      <c r="C80" s="1373"/>
      <c r="D80" s="1373"/>
      <c r="E80" s="1373"/>
      <c r="F80" s="1373"/>
      <c r="G80" s="1373"/>
      <c r="H80" s="1373"/>
      <c r="I80" s="1373"/>
      <c r="J80" s="1373"/>
      <c r="K80" s="1373"/>
      <c r="L80" s="1373"/>
      <c r="M80" s="1373"/>
      <c r="N80" s="1373"/>
      <c r="O80" s="1470"/>
    </row>
    <row r="81" spans="1:54" x14ac:dyDescent="0.25">
      <c r="B81" s="1469" t="s">
        <v>65</v>
      </c>
      <c r="C81" s="1373"/>
      <c r="D81" s="1373"/>
      <c r="E81" s="1373"/>
      <c r="F81" s="1373"/>
      <c r="G81" s="1373"/>
      <c r="H81" s="1373"/>
      <c r="I81" s="1373"/>
      <c r="J81" s="1373"/>
      <c r="K81" s="1373"/>
      <c r="L81" s="1373"/>
      <c r="M81" s="1373"/>
      <c r="N81" s="1373"/>
      <c r="O81" s="1470"/>
    </row>
    <row r="82" spans="1:54" x14ac:dyDescent="0.25">
      <c r="B82" s="1469" t="s">
        <v>614</v>
      </c>
      <c r="C82" s="1444"/>
      <c r="D82" s="1444"/>
      <c r="E82" s="1444"/>
      <c r="F82" s="1444"/>
      <c r="G82" s="1444"/>
      <c r="H82" s="1444"/>
      <c r="I82" s="1444"/>
      <c r="J82" s="1444"/>
      <c r="K82" s="1444"/>
      <c r="L82" s="1444"/>
      <c r="M82" s="1444"/>
      <c r="N82" s="1444"/>
      <c r="O82" s="1474"/>
    </row>
    <row r="83" spans="1:54" x14ac:dyDescent="0.25">
      <c r="B83" s="1469" t="s">
        <v>615</v>
      </c>
      <c r="C83" s="1373"/>
      <c r="D83" s="1373"/>
      <c r="E83" s="1373"/>
      <c r="F83" s="1373"/>
      <c r="G83" s="1373"/>
      <c r="H83" s="1373"/>
      <c r="I83" s="1373"/>
      <c r="J83" s="1373"/>
      <c r="K83" s="1373"/>
      <c r="L83" s="1373"/>
      <c r="M83" s="1373"/>
      <c r="N83" s="1373"/>
      <c r="O83" s="1470"/>
    </row>
    <row r="84" spans="1:54" x14ac:dyDescent="0.25">
      <c r="B84" s="1469" t="s">
        <v>616</v>
      </c>
      <c r="C84" s="1445"/>
      <c r="D84" s="1445"/>
      <c r="E84" s="1445"/>
      <c r="F84" s="1445"/>
      <c r="G84" s="1445"/>
      <c r="H84" s="1445"/>
      <c r="I84" s="1445"/>
      <c r="J84" s="1445"/>
      <c r="K84" s="1445"/>
      <c r="L84" s="1445"/>
      <c r="M84" s="1445"/>
      <c r="N84" s="1445"/>
      <c r="O84" s="1471"/>
    </row>
    <row r="85" spans="1:54" x14ac:dyDescent="0.25">
      <c r="B85" s="1469" t="s">
        <v>617</v>
      </c>
      <c r="C85" s="1443"/>
      <c r="D85" s="1443"/>
      <c r="E85" s="1443"/>
      <c r="F85" s="1443"/>
      <c r="G85" s="1443"/>
      <c r="H85" s="1443"/>
      <c r="I85" s="1443"/>
      <c r="J85" s="1443"/>
      <c r="K85" s="1443"/>
      <c r="L85" s="1443"/>
      <c r="M85" s="1443"/>
      <c r="N85" s="1443"/>
      <c r="O85" s="1475"/>
    </row>
    <row r="86" spans="1:54" ht="12.75" thickBot="1" x14ac:dyDescent="0.3">
      <c r="B86" s="1476" t="s">
        <v>618</v>
      </c>
      <c r="C86" s="1477"/>
      <c r="D86" s="1477"/>
      <c r="E86" s="1477"/>
      <c r="F86" s="1477"/>
      <c r="G86" s="1477"/>
      <c r="H86" s="1477"/>
      <c r="I86" s="1477"/>
      <c r="J86" s="1477"/>
      <c r="K86" s="1477"/>
      <c r="L86" s="1477"/>
      <c r="M86" s="1477"/>
      <c r="N86" s="1477"/>
      <c r="O86" s="1478"/>
    </row>
    <row r="87" spans="1:54" x14ac:dyDescent="0.25">
      <c r="B87" s="1334"/>
      <c r="C87" s="1378"/>
      <c r="D87" s="1378"/>
      <c r="E87" s="1378"/>
      <c r="F87" s="1378"/>
      <c r="G87" s="1378"/>
      <c r="H87" s="1378"/>
      <c r="I87" s="1378"/>
      <c r="J87" s="1378"/>
      <c r="K87" s="1378"/>
      <c r="L87" s="1378"/>
      <c r="M87" s="1378"/>
      <c r="N87" s="1378"/>
      <c r="O87" s="1378"/>
    </row>
    <row r="88" spans="1:54" x14ac:dyDescent="0.25">
      <c r="B88" s="1980" t="s">
        <v>619</v>
      </c>
      <c r="C88" s="1981"/>
      <c r="D88" s="1981"/>
      <c r="E88" s="1981"/>
      <c r="F88" s="1981"/>
      <c r="G88" s="1981"/>
      <c r="H88" s="1981"/>
      <c r="I88" s="1981"/>
      <c r="J88" s="1981"/>
      <c r="K88" s="1981"/>
      <c r="L88" s="1981"/>
      <c r="M88" s="1981"/>
      <c r="N88" s="1981"/>
      <c r="O88" s="1982"/>
    </row>
    <row r="89" spans="1:54" x14ac:dyDescent="0.25">
      <c r="B89" s="1465"/>
      <c r="C89" s="1463">
        <f t="shared" ref="C89:O89" si="19">C71</f>
        <v>2017</v>
      </c>
      <c r="D89" s="1463">
        <f t="shared" si="19"/>
        <v>2018</v>
      </c>
      <c r="E89" s="1463">
        <f t="shared" si="19"/>
        <v>2019</v>
      </c>
      <c r="F89" s="1463">
        <f t="shared" si="19"/>
        <v>2020</v>
      </c>
      <c r="G89" s="1463">
        <f t="shared" si="19"/>
        <v>2021</v>
      </c>
      <c r="H89" s="1463">
        <f t="shared" si="19"/>
        <v>2022</v>
      </c>
      <c r="I89" s="1463">
        <f t="shared" si="19"/>
        <v>2023</v>
      </c>
      <c r="J89" s="1463">
        <f t="shared" si="19"/>
        <v>2024</v>
      </c>
      <c r="K89" s="1463">
        <f t="shared" si="19"/>
        <v>2025</v>
      </c>
      <c r="L89" s="1463">
        <f t="shared" si="19"/>
        <v>2026</v>
      </c>
      <c r="M89" s="1463">
        <f t="shared" si="19"/>
        <v>2027</v>
      </c>
      <c r="N89" s="1463">
        <f t="shared" si="19"/>
        <v>2028</v>
      </c>
      <c r="O89" s="1463">
        <f t="shared" si="19"/>
        <v>2029</v>
      </c>
    </row>
    <row r="90" spans="1:54" x14ac:dyDescent="0.25">
      <c r="B90" s="1451" t="s">
        <v>127</v>
      </c>
      <c r="C90" s="1452"/>
      <c r="D90" s="1452"/>
      <c r="E90" s="1452"/>
      <c r="F90" s="1452"/>
      <c r="G90" s="1452"/>
      <c r="H90" s="1452"/>
      <c r="I90" s="1452"/>
      <c r="J90" s="1452"/>
      <c r="K90" s="1452"/>
      <c r="L90" s="1452"/>
      <c r="M90" s="1452"/>
      <c r="N90" s="1452"/>
      <c r="O90" s="1452"/>
    </row>
    <row r="91" spans="1:54" s="1380" customFormat="1" x14ac:dyDescent="0.25">
      <c r="A91" s="1495"/>
      <c r="B91" s="1496" t="s">
        <v>593</v>
      </c>
      <c r="C91" s="1497"/>
      <c r="D91" s="1497"/>
      <c r="E91" s="1497"/>
      <c r="F91" s="1497"/>
      <c r="G91" s="1497"/>
      <c r="H91" s="1497"/>
      <c r="I91" s="1497"/>
      <c r="J91" s="1497"/>
      <c r="K91" s="1497"/>
      <c r="L91" s="1497"/>
      <c r="M91" s="1497"/>
      <c r="N91" s="1497"/>
      <c r="O91" s="1497"/>
      <c r="P91" s="1495"/>
      <c r="Q91" s="1313"/>
      <c r="R91" s="1313"/>
      <c r="S91" s="1313"/>
      <c r="T91" s="1313"/>
      <c r="U91" s="1313"/>
      <c r="V91" s="1313"/>
      <c r="W91" s="1313"/>
      <c r="X91" s="1313"/>
      <c r="Y91" s="1313"/>
      <c r="Z91" s="1313"/>
      <c r="AA91" s="1313"/>
      <c r="AB91" s="1313"/>
      <c r="AC91" s="1313"/>
      <c r="AD91" s="1313"/>
      <c r="AE91" s="1313"/>
      <c r="AF91" s="1313"/>
      <c r="AG91" s="1313"/>
      <c r="AH91" s="1313"/>
      <c r="AI91" s="1313"/>
      <c r="AJ91" s="1313"/>
      <c r="AK91" s="1313"/>
      <c r="AL91" s="1313"/>
      <c r="AM91" s="1313"/>
      <c r="AN91" s="1313"/>
      <c r="AO91" s="1313"/>
      <c r="AP91" s="1313"/>
      <c r="AQ91" s="1313"/>
      <c r="AR91" s="1313"/>
      <c r="AS91" s="1313"/>
      <c r="AT91" s="1313"/>
      <c r="AU91" s="1313"/>
      <c r="AV91" s="1313"/>
      <c r="AW91" s="1313"/>
      <c r="AX91" s="1313"/>
      <c r="AY91" s="1313"/>
      <c r="AZ91" s="1313"/>
      <c r="BA91" s="1313"/>
      <c r="BB91" s="1313"/>
    </row>
    <row r="92" spans="1:54" s="1380" customFormat="1" x14ac:dyDescent="0.25">
      <c r="A92" s="1495"/>
      <c r="B92" s="1498" t="s">
        <v>620</v>
      </c>
      <c r="C92" s="1499"/>
      <c r="D92" s="1499"/>
      <c r="E92" s="1499"/>
      <c r="F92" s="1499"/>
      <c r="G92" s="1499"/>
      <c r="H92" s="1499"/>
      <c r="I92" s="1499"/>
      <c r="J92" s="1499"/>
      <c r="K92" s="1499"/>
      <c r="L92" s="1499"/>
      <c r="M92" s="1499"/>
      <c r="N92" s="1499"/>
      <c r="O92" s="1499"/>
      <c r="P92" s="1495"/>
      <c r="Q92" s="1313"/>
      <c r="R92" s="1313"/>
      <c r="S92" s="1313"/>
      <c r="T92" s="1313"/>
      <c r="U92" s="1313"/>
      <c r="V92" s="1313"/>
      <c r="W92" s="1313"/>
      <c r="X92" s="1313"/>
      <c r="Y92" s="1313"/>
      <c r="Z92" s="1313"/>
      <c r="AA92" s="1313"/>
      <c r="AB92" s="1313"/>
      <c r="AC92" s="1313"/>
      <c r="AD92" s="1313"/>
      <c r="AE92" s="1313"/>
      <c r="AF92" s="1313"/>
      <c r="AG92" s="1313"/>
      <c r="AH92" s="1313"/>
      <c r="AI92" s="1313"/>
      <c r="AJ92" s="1313"/>
      <c r="AK92" s="1313"/>
      <c r="AL92" s="1313"/>
      <c r="AM92" s="1313"/>
      <c r="AN92" s="1313"/>
      <c r="AO92" s="1313"/>
      <c r="AP92" s="1313"/>
      <c r="AQ92" s="1313"/>
      <c r="AR92" s="1313"/>
      <c r="AS92" s="1313"/>
      <c r="AT92" s="1313"/>
      <c r="AU92" s="1313"/>
      <c r="AV92" s="1313"/>
      <c r="AW92" s="1313"/>
      <c r="AX92" s="1313"/>
      <c r="AY92" s="1313"/>
      <c r="AZ92" s="1313"/>
      <c r="BA92" s="1313"/>
      <c r="BB92" s="1313"/>
    </row>
    <row r="93" spans="1:54" x14ac:dyDescent="0.25">
      <c r="A93" s="1495"/>
      <c r="B93" s="1500"/>
      <c r="C93" s="1501"/>
      <c r="D93" s="1501"/>
      <c r="E93" s="1501"/>
      <c r="F93" s="1501"/>
      <c r="G93" s="1501"/>
      <c r="H93" s="1501"/>
      <c r="I93" s="1501"/>
      <c r="J93" s="1501"/>
      <c r="K93" s="1501"/>
      <c r="L93" s="1501"/>
      <c r="M93" s="1501"/>
      <c r="N93" s="1501"/>
      <c r="O93" s="1501"/>
      <c r="P93" s="1495"/>
    </row>
    <row r="94" spans="1:54" x14ac:dyDescent="0.25">
      <c r="B94" s="1980" t="s">
        <v>621</v>
      </c>
      <c r="C94" s="1981"/>
      <c r="D94" s="1981"/>
      <c r="E94" s="1981"/>
      <c r="F94" s="1981"/>
      <c r="G94" s="1981"/>
      <c r="H94" s="1981"/>
      <c r="I94" s="1981"/>
      <c r="J94" s="1981"/>
      <c r="K94" s="1981"/>
      <c r="L94" s="1981"/>
      <c r="M94" s="1981"/>
      <c r="N94" s="1981"/>
      <c r="O94" s="1982"/>
    </row>
    <row r="95" spans="1:54" x14ac:dyDescent="0.25">
      <c r="B95" s="1465"/>
      <c r="C95" s="1463">
        <f t="shared" ref="C95:O95" si="20">C89</f>
        <v>2017</v>
      </c>
      <c r="D95" s="1463">
        <f t="shared" si="20"/>
        <v>2018</v>
      </c>
      <c r="E95" s="1463">
        <f t="shared" si="20"/>
        <v>2019</v>
      </c>
      <c r="F95" s="1463">
        <f t="shared" si="20"/>
        <v>2020</v>
      </c>
      <c r="G95" s="1463">
        <f t="shared" si="20"/>
        <v>2021</v>
      </c>
      <c r="H95" s="1463">
        <f t="shared" si="20"/>
        <v>2022</v>
      </c>
      <c r="I95" s="1463">
        <f t="shared" si="20"/>
        <v>2023</v>
      </c>
      <c r="J95" s="1463">
        <f t="shared" si="20"/>
        <v>2024</v>
      </c>
      <c r="K95" s="1463">
        <f t="shared" si="20"/>
        <v>2025</v>
      </c>
      <c r="L95" s="1463">
        <f t="shared" si="20"/>
        <v>2026</v>
      </c>
      <c r="M95" s="1463">
        <f t="shared" si="20"/>
        <v>2027</v>
      </c>
      <c r="N95" s="1463">
        <f t="shared" si="20"/>
        <v>2028</v>
      </c>
      <c r="O95" s="1463">
        <f t="shared" si="20"/>
        <v>2029</v>
      </c>
    </row>
    <row r="96" spans="1:54" x14ac:dyDescent="0.25">
      <c r="B96" s="1448" t="s">
        <v>622</v>
      </c>
      <c r="C96" s="1455"/>
      <c r="D96" s="1455"/>
      <c r="E96" s="1455"/>
      <c r="F96" s="1455"/>
      <c r="G96" s="1455"/>
      <c r="H96" s="1455"/>
      <c r="I96" s="1455"/>
      <c r="J96" s="1455"/>
      <c r="K96" s="1455"/>
      <c r="L96" s="1455"/>
      <c r="M96" s="1455"/>
      <c r="N96" s="1455"/>
      <c r="O96" s="1455"/>
    </row>
    <row r="97" spans="2:15" x14ac:dyDescent="0.25">
      <c r="B97" s="1446" t="s">
        <v>623</v>
      </c>
      <c r="C97" s="1456"/>
      <c r="D97" s="1456"/>
      <c r="E97" s="1456"/>
      <c r="F97" s="1456"/>
      <c r="G97" s="1456"/>
      <c r="H97" s="1456"/>
      <c r="I97" s="1456"/>
      <c r="J97" s="1456"/>
      <c r="K97" s="1456"/>
      <c r="L97" s="1456"/>
      <c r="M97" s="1456"/>
      <c r="N97" s="1456"/>
      <c r="O97" s="1456"/>
    </row>
    <row r="98" spans="2:15" x14ac:dyDescent="0.25">
      <c r="B98" s="1334"/>
      <c r="C98" s="1379"/>
      <c r="D98" s="1379"/>
      <c r="E98" s="1379"/>
      <c r="F98" s="1379"/>
      <c r="G98" s="1379"/>
      <c r="H98" s="1379"/>
      <c r="I98" s="1379"/>
      <c r="J98" s="1379"/>
      <c r="K98" s="1379"/>
      <c r="L98" s="1379"/>
      <c r="M98" s="1379"/>
      <c r="N98" s="1379"/>
      <c r="O98" s="1379"/>
    </row>
    <row r="99" spans="2:15" x14ac:dyDescent="0.25">
      <c r="B99" s="1980" t="s">
        <v>624</v>
      </c>
      <c r="C99" s="1981"/>
      <c r="D99" s="1981"/>
      <c r="E99" s="1981"/>
      <c r="F99" s="1981"/>
      <c r="G99" s="1981"/>
      <c r="H99" s="1981"/>
      <c r="I99" s="1981"/>
      <c r="J99" s="1981"/>
      <c r="K99" s="1981"/>
      <c r="L99" s="1981"/>
      <c r="M99" s="1981"/>
      <c r="N99" s="1981"/>
      <c r="O99" s="1982"/>
    </row>
    <row r="100" spans="2:15" x14ac:dyDescent="0.25">
      <c r="B100" s="1465"/>
      <c r="C100" s="1463">
        <f t="shared" ref="C100:O100" si="21">C95</f>
        <v>2017</v>
      </c>
      <c r="D100" s="1463">
        <f t="shared" si="21"/>
        <v>2018</v>
      </c>
      <c r="E100" s="1463">
        <f t="shared" si="21"/>
        <v>2019</v>
      </c>
      <c r="F100" s="1463">
        <f t="shared" si="21"/>
        <v>2020</v>
      </c>
      <c r="G100" s="1463">
        <f t="shared" si="21"/>
        <v>2021</v>
      </c>
      <c r="H100" s="1463">
        <f t="shared" si="21"/>
        <v>2022</v>
      </c>
      <c r="I100" s="1463">
        <f t="shared" si="21"/>
        <v>2023</v>
      </c>
      <c r="J100" s="1463">
        <f t="shared" si="21"/>
        <v>2024</v>
      </c>
      <c r="K100" s="1463">
        <f t="shared" si="21"/>
        <v>2025</v>
      </c>
      <c r="L100" s="1463">
        <f t="shared" si="21"/>
        <v>2026</v>
      </c>
      <c r="M100" s="1463">
        <f t="shared" si="21"/>
        <v>2027</v>
      </c>
      <c r="N100" s="1463">
        <f t="shared" si="21"/>
        <v>2028</v>
      </c>
      <c r="O100" s="1463">
        <f t="shared" si="21"/>
        <v>2029</v>
      </c>
    </row>
    <row r="101" spans="2:15" x14ac:dyDescent="0.25">
      <c r="B101" s="1448" t="s">
        <v>595</v>
      </c>
      <c r="C101" s="1447"/>
      <c r="D101" s="1447"/>
      <c r="E101" s="1447"/>
      <c r="F101" s="1447"/>
      <c r="G101" s="1447"/>
      <c r="H101" s="1447"/>
      <c r="I101" s="1447"/>
      <c r="J101" s="1447"/>
      <c r="K101" s="1447"/>
      <c r="L101" s="1447"/>
      <c r="M101" s="1447"/>
      <c r="N101" s="1447"/>
      <c r="O101" s="1447"/>
    </row>
    <row r="102" spans="2:15" x14ac:dyDescent="0.25">
      <c r="B102" s="1453" t="s">
        <v>625</v>
      </c>
      <c r="C102" s="1457"/>
      <c r="D102" s="1457"/>
      <c r="E102" s="1457"/>
      <c r="F102" s="1457"/>
      <c r="G102" s="1457"/>
      <c r="H102" s="1457"/>
      <c r="I102" s="1457"/>
      <c r="J102" s="1457"/>
      <c r="K102" s="1457"/>
      <c r="L102" s="1445"/>
      <c r="M102" s="1445"/>
      <c r="N102" s="1445"/>
      <c r="O102" s="1445"/>
    </row>
    <row r="103" spans="2:15" x14ac:dyDescent="0.25">
      <c r="B103" s="1453" t="s">
        <v>626</v>
      </c>
      <c r="C103" s="1458">
        <f>DR_Form!B99</f>
        <v>0</v>
      </c>
      <c r="D103" s="1458">
        <f>DR_Form!C99</f>
        <v>0</v>
      </c>
      <c r="E103" s="1458">
        <f>DR_Form!D99</f>
        <v>58598.690000000024</v>
      </c>
      <c r="F103" s="1458">
        <f>DR_Form!E99</f>
        <v>52067.249999999854</v>
      </c>
      <c r="G103" s="1458">
        <f>DR_Form!F99</f>
        <v>93897.530000000406</v>
      </c>
      <c r="H103" s="1458">
        <f>DR_Form!G99</f>
        <v>87265.729999999981</v>
      </c>
      <c r="I103" s="1458">
        <f>DR_Form!H99</f>
        <v>101993.64999999962</v>
      </c>
      <c r="J103" s="1458">
        <f>DR_Form!I99</f>
        <v>104005.69000000018</v>
      </c>
      <c r="K103" s="1458">
        <f>DR_Form!J99</f>
        <v>102796.2099999999</v>
      </c>
      <c r="L103" s="1458">
        <f>DR_Form!K99</f>
        <v>104891.06000000058</v>
      </c>
      <c r="M103" s="1458">
        <f>DR_Form!L99</f>
        <v>107028.59999999992</v>
      </c>
      <c r="N103" s="1458"/>
      <c r="O103" s="1458"/>
    </row>
    <row r="104" spans="2:15" x14ac:dyDescent="0.25">
      <c r="B104" s="1453" t="s">
        <v>627</v>
      </c>
      <c r="C104" s="1457"/>
      <c r="D104" s="1457"/>
      <c r="E104" s="1457"/>
      <c r="F104" s="1457"/>
      <c r="G104" s="1457"/>
      <c r="H104" s="1457"/>
      <c r="I104" s="1457"/>
      <c r="J104" s="1457"/>
      <c r="K104" s="1491"/>
      <c r="L104" s="1491"/>
      <c r="M104" s="1491"/>
      <c r="N104" s="1491"/>
      <c r="O104" s="1491"/>
    </row>
    <row r="105" spans="2:15" x14ac:dyDescent="0.25">
      <c r="B105" s="1453" t="s">
        <v>628</v>
      </c>
      <c r="C105" s="1457"/>
      <c r="D105" s="1457"/>
      <c r="E105" s="1457"/>
      <c r="F105" s="1457"/>
      <c r="G105" s="1457"/>
      <c r="H105" s="1457"/>
      <c r="I105" s="1457"/>
      <c r="J105" s="1457"/>
      <c r="K105" s="1491"/>
      <c r="L105" s="1491"/>
      <c r="M105" s="1491"/>
      <c r="N105" s="1491"/>
      <c r="O105" s="1491"/>
    </row>
    <row r="106" spans="2:15" x14ac:dyDescent="0.25">
      <c r="B106" s="1459" t="s">
        <v>127</v>
      </c>
      <c r="C106" s="1460"/>
      <c r="D106" s="1460"/>
      <c r="E106" s="1460"/>
      <c r="F106" s="1460"/>
      <c r="G106" s="1460"/>
      <c r="H106" s="1460"/>
      <c r="I106" s="1460"/>
      <c r="J106" s="1460"/>
      <c r="K106" s="1492"/>
      <c r="L106" s="1492"/>
      <c r="M106" s="1492"/>
      <c r="N106" s="1492"/>
      <c r="O106" s="1492"/>
    </row>
    <row r="107" spans="2:15" x14ac:dyDescent="0.25">
      <c r="B107" s="1453" t="s">
        <v>629</v>
      </c>
      <c r="C107" s="1461"/>
      <c r="D107" s="1461"/>
      <c r="E107" s="1461"/>
      <c r="F107" s="1461"/>
      <c r="G107" s="1461"/>
      <c r="H107" s="1461"/>
      <c r="I107" s="1461"/>
      <c r="J107" s="1461"/>
      <c r="K107" s="1493"/>
      <c r="L107" s="1493"/>
      <c r="M107" s="1493"/>
      <c r="N107" s="1493"/>
      <c r="O107" s="1493"/>
    </row>
    <row r="108" spans="2:15" x14ac:dyDescent="0.25">
      <c r="B108" s="1454" t="s">
        <v>630</v>
      </c>
      <c r="C108" s="1462"/>
      <c r="D108" s="1462"/>
      <c r="E108" s="1462"/>
      <c r="F108" s="1462"/>
      <c r="G108" s="1462"/>
      <c r="H108" s="1462"/>
      <c r="I108" s="1462"/>
      <c r="J108" s="1462"/>
      <c r="K108" s="1494"/>
      <c r="L108" s="1494"/>
      <c r="M108" s="1494"/>
      <c r="N108" s="1494"/>
      <c r="O108" s="1494"/>
    </row>
    <row r="109" spans="2:15" x14ac:dyDescent="0.25">
      <c r="B109" s="1313"/>
      <c r="C109" s="1313"/>
      <c r="D109" s="1313"/>
      <c r="E109" s="1313"/>
      <c r="F109" s="1313"/>
      <c r="G109" s="1313"/>
      <c r="H109" s="1313"/>
      <c r="I109" s="1313"/>
      <c r="J109" s="1313"/>
      <c r="K109" s="1313"/>
    </row>
  </sheetData>
  <mergeCells count="10">
    <mergeCell ref="B70:O70"/>
    <mergeCell ref="B88:O88"/>
    <mergeCell ref="B94:O94"/>
    <mergeCell ref="B99:O99"/>
    <mergeCell ref="B2:O2"/>
    <mergeCell ref="B14:O14"/>
    <mergeCell ref="B29:O29"/>
    <mergeCell ref="B41:O41"/>
    <mergeCell ref="B55:O55"/>
    <mergeCell ref="B63:O6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M46"/>
  <sheetViews>
    <sheetView workbookViewId="0">
      <selection activeCell="C4" sqref="C4"/>
    </sheetView>
  </sheetViews>
  <sheetFormatPr defaultRowHeight="15" x14ac:dyDescent="0.25"/>
  <cols>
    <col min="1" max="1" width="43.140625" customWidth="1"/>
    <col min="2" max="2" width="12.85546875" customWidth="1"/>
    <col min="3" max="3" width="13.7109375" customWidth="1"/>
    <col min="4" max="4" width="12.85546875" customWidth="1"/>
    <col min="5" max="5" width="13" customWidth="1"/>
    <col min="6" max="6" width="11.7109375" customWidth="1"/>
    <col min="7" max="7" width="14.7109375" customWidth="1"/>
    <col min="8" max="8" width="7.7109375" style="1787" customWidth="1"/>
    <col min="9" max="9" width="11.140625" style="1827" customWidth="1"/>
    <col min="10" max="39" width="9.140625" style="1787"/>
  </cols>
  <sheetData>
    <row r="1" spans="1:9" ht="24.75" customHeight="1" x14ac:dyDescent="0.25">
      <c r="A1" s="1983" t="s">
        <v>1443</v>
      </c>
      <c r="B1" s="1983"/>
      <c r="C1" s="1983"/>
      <c r="D1" s="1983"/>
      <c r="E1" s="1983"/>
      <c r="F1" s="1983"/>
      <c r="G1" s="1983"/>
    </row>
    <row r="2" spans="1:9" ht="15.75" thickBot="1" x14ac:dyDescent="0.3">
      <c r="A2" s="1788" t="s">
        <v>1123</v>
      </c>
      <c r="B2" s="1788">
        <f>Pressupostos!C11</f>
        <v>2020</v>
      </c>
      <c r="C2" s="1788">
        <f>B2+1</f>
        <v>2021</v>
      </c>
      <c r="D2" s="1788">
        <f t="shared" ref="D2:F2" si="0">C2+1</f>
        <v>2022</v>
      </c>
      <c r="E2" s="1788">
        <f t="shared" si="0"/>
        <v>2023</v>
      </c>
      <c r="F2" s="1788">
        <f t="shared" si="0"/>
        <v>2024</v>
      </c>
      <c r="G2" s="1788">
        <f>F2+1</f>
        <v>2025</v>
      </c>
    </row>
    <row r="3" spans="1:9" ht="15.75" thickTop="1" x14ac:dyDescent="0.25">
      <c r="A3" s="1789" t="s">
        <v>1105</v>
      </c>
      <c r="B3" s="1790"/>
      <c r="C3" s="1790"/>
      <c r="D3" s="1790"/>
      <c r="E3" s="1790"/>
      <c r="F3" s="1790"/>
      <c r="G3" s="1791"/>
    </row>
    <row r="4" spans="1:9" x14ac:dyDescent="0.25">
      <c r="A4" s="1792" t="s">
        <v>1106</v>
      </c>
      <c r="B4" s="1712">
        <f>IF(Faturas!G325=0,"",Faturas!G325)</f>
        <v>2062.5250000000001</v>
      </c>
      <c r="C4" s="1712">
        <f>IF(Faturas!G326=0,"",Faturas!G326)</f>
        <v>5834</v>
      </c>
      <c r="D4" s="1712">
        <f>IF(Faturas!G327=0,"",Faturas!G327)</f>
        <v>1480</v>
      </c>
      <c r="E4" s="1712" t="str">
        <f>IF(Faturas!G328=0,"",Faturas!G328)</f>
        <v/>
      </c>
      <c r="F4" s="1712"/>
      <c r="G4" s="1793"/>
      <c r="I4" s="1827">
        <f t="shared" ref="I4:I15" si="1">SUM(B4:G4)</f>
        <v>9376.5249999999996</v>
      </c>
    </row>
    <row r="5" spans="1:9" x14ac:dyDescent="0.25">
      <c r="A5" s="1792" t="s">
        <v>1107</v>
      </c>
      <c r="B5" s="1712">
        <f>IF(Faturas!H325=0,"",Faturas!H325)</f>
        <v>4125.05</v>
      </c>
      <c r="C5" s="1712">
        <f>IF(Faturas!H326=0,"",Faturas!H326)</f>
        <v>11668</v>
      </c>
      <c r="D5" s="1712">
        <f>IF(Faturas!H327=0,"",Faturas!H327)</f>
        <v>2960</v>
      </c>
      <c r="E5" s="1712" t="str">
        <f>IF(Faturas!H328=0,"",Faturas!H328)</f>
        <v/>
      </c>
      <c r="F5" s="1712"/>
      <c r="G5" s="1793"/>
      <c r="I5" s="1827">
        <f t="shared" si="1"/>
        <v>18753.05</v>
      </c>
    </row>
    <row r="6" spans="1:9" x14ac:dyDescent="0.25">
      <c r="A6" s="1792" t="s">
        <v>1108</v>
      </c>
      <c r="B6" s="1712" t="str">
        <f>IF(Faturas!F325=0,"",Faturas!F325)</f>
        <v/>
      </c>
      <c r="C6" s="1712" t="str">
        <f>IF(Faturas!F326=0,"",Faturas!F326)</f>
        <v/>
      </c>
      <c r="D6" s="1712">
        <f>IF(Faturas!F237=0,"",Faturas!F327)</f>
        <v>0</v>
      </c>
      <c r="E6" s="1712" t="str">
        <f>IF(Faturas!F328=0,"",Faturas!F328)</f>
        <v/>
      </c>
      <c r="F6" s="1712"/>
      <c r="G6" s="1793"/>
      <c r="I6" s="1827">
        <f t="shared" si="1"/>
        <v>0</v>
      </c>
    </row>
    <row r="7" spans="1:9" x14ac:dyDescent="0.25">
      <c r="A7" s="1792" t="s">
        <v>1109</v>
      </c>
      <c r="B7" s="1713"/>
      <c r="C7" s="1713"/>
      <c r="D7" s="1713"/>
      <c r="E7" s="1713"/>
      <c r="F7" s="1713"/>
      <c r="G7" s="1794"/>
      <c r="I7" s="1827">
        <f t="shared" si="1"/>
        <v>0</v>
      </c>
    </row>
    <row r="8" spans="1:9" x14ac:dyDescent="0.25">
      <c r="A8" s="1792" t="s">
        <v>1110</v>
      </c>
      <c r="B8" s="1712"/>
      <c r="C8" s="1712"/>
      <c r="D8" s="1712"/>
      <c r="E8" s="1712"/>
      <c r="F8" s="1712"/>
      <c r="G8" s="1793"/>
      <c r="I8" s="1827">
        <f t="shared" si="1"/>
        <v>0</v>
      </c>
    </row>
    <row r="9" spans="1:9" x14ac:dyDescent="0.25">
      <c r="A9" s="1792" t="s">
        <v>1111</v>
      </c>
      <c r="B9" s="1712"/>
      <c r="C9" s="1712"/>
      <c r="D9" s="1712"/>
      <c r="E9" s="1712"/>
      <c r="F9" s="1712"/>
      <c r="G9" s="1793"/>
      <c r="I9" s="1827">
        <f t="shared" si="1"/>
        <v>0</v>
      </c>
    </row>
    <row r="10" spans="1:9" x14ac:dyDescent="0.25">
      <c r="A10" s="1792" t="s">
        <v>1112</v>
      </c>
      <c r="B10" s="1713"/>
      <c r="C10" s="1713"/>
      <c r="D10" s="1713"/>
      <c r="E10" s="1713"/>
      <c r="F10" s="1713"/>
      <c r="G10" s="1794"/>
      <c r="I10" s="1827">
        <f t="shared" si="1"/>
        <v>0</v>
      </c>
    </row>
    <row r="11" spans="1:9" x14ac:dyDescent="0.25">
      <c r="A11" s="1792" t="s">
        <v>1113</v>
      </c>
      <c r="B11" s="1713"/>
      <c r="C11" s="1713"/>
      <c r="D11" s="1713"/>
      <c r="E11" s="1713"/>
      <c r="F11" s="1713"/>
      <c r="G11" s="1794"/>
      <c r="I11" s="1827">
        <f t="shared" si="1"/>
        <v>0</v>
      </c>
    </row>
    <row r="12" spans="1:9" x14ac:dyDescent="0.25">
      <c r="A12" s="1792" t="s">
        <v>1114</v>
      </c>
      <c r="B12" s="1712">
        <f>IF(Faturas!I325=0,"",Faturas!I325)</f>
        <v>5156.3124999999991</v>
      </c>
      <c r="C12" s="1712">
        <f>IF(Faturas!I326=0,"",Faturas!I326)</f>
        <v>14585</v>
      </c>
      <c r="D12" s="1712">
        <f>IF(Faturas!I327=0,"",Faturas!I327)</f>
        <v>3700</v>
      </c>
      <c r="E12" s="1712" t="str">
        <f>IF(Faturas!I328=0,"",Faturas!I328)</f>
        <v/>
      </c>
      <c r="F12" s="1712"/>
      <c r="G12" s="1793"/>
      <c r="I12" s="1827">
        <f t="shared" si="1"/>
        <v>23441.3125</v>
      </c>
    </row>
    <row r="13" spans="1:9" x14ac:dyDescent="0.25">
      <c r="A13" s="1792" t="s">
        <v>1115</v>
      </c>
      <c r="B13" s="1712"/>
      <c r="C13" s="1712"/>
      <c r="D13" s="1712"/>
      <c r="E13" s="1712"/>
      <c r="F13" s="1712"/>
      <c r="G13" s="1793"/>
      <c r="I13" s="1827">
        <f t="shared" si="1"/>
        <v>0</v>
      </c>
    </row>
    <row r="14" spans="1:9" x14ac:dyDescent="0.25">
      <c r="A14" s="1792" t="s">
        <v>1116</v>
      </c>
      <c r="B14" s="1712"/>
      <c r="C14" s="1712"/>
      <c r="D14" s="1712"/>
      <c r="E14" s="1712"/>
      <c r="F14" s="1712"/>
      <c r="G14" s="1793"/>
      <c r="I14" s="1827">
        <f t="shared" si="1"/>
        <v>0</v>
      </c>
    </row>
    <row r="15" spans="1:9" x14ac:dyDescent="0.25">
      <c r="A15" s="1792" t="s">
        <v>1117</v>
      </c>
      <c r="B15" s="1713"/>
      <c r="C15" s="1713"/>
      <c r="D15" s="1713"/>
      <c r="E15" s="1713"/>
      <c r="F15" s="1713"/>
      <c r="G15" s="1794"/>
      <c r="I15" s="1827">
        <f t="shared" si="1"/>
        <v>0</v>
      </c>
    </row>
    <row r="16" spans="1:9" x14ac:dyDescent="0.25">
      <c r="A16" s="1792" t="s">
        <v>1118</v>
      </c>
      <c r="B16" s="1712">
        <f>IF(Faturas!E325=0,"",Faturas!E325)</f>
        <v>9281.3625000000011</v>
      </c>
      <c r="C16" s="1712">
        <f>IF(Faturas!E326=0,"",Faturas!E326)</f>
        <v>26253</v>
      </c>
      <c r="D16" s="1712">
        <f>IF(Faturas!E327=0,"",Faturas!E327)</f>
        <v>6660</v>
      </c>
      <c r="E16" s="1712" t="str">
        <f>IF(Faturas!E328=0,"",Faturas!E328)</f>
        <v/>
      </c>
      <c r="F16" s="1712"/>
      <c r="G16" s="1793"/>
      <c r="I16" s="1827">
        <f>SUM(B16:G16)</f>
        <v>42194.362500000003</v>
      </c>
    </row>
    <row r="17" spans="1:9" x14ac:dyDescent="0.25">
      <c r="A17" s="1792" t="s">
        <v>1119</v>
      </c>
      <c r="B17" s="1712"/>
      <c r="C17" s="1712"/>
      <c r="D17" s="1712"/>
      <c r="E17" s="1712"/>
      <c r="F17" s="1712"/>
      <c r="G17" s="1793"/>
    </row>
    <row r="18" spans="1:9" x14ac:dyDescent="0.25">
      <c r="A18" s="1792" t="s">
        <v>1120</v>
      </c>
      <c r="B18" s="1711"/>
      <c r="C18" s="1711"/>
      <c r="D18" s="1711"/>
      <c r="E18" s="1711"/>
      <c r="F18" s="1711"/>
      <c r="G18" s="1795"/>
      <c r="I18" s="1827">
        <f>SUM(I4:I17)</f>
        <v>93765.25</v>
      </c>
    </row>
    <row r="19" spans="1:9" x14ac:dyDescent="0.25">
      <c r="A19" s="1792" t="s">
        <v>1121</v>
      </c>
      <c r="B19" s="1711"/>
      <c r="C19" s="1711"/>
      <c r="D19" s="1711"/>
      <c r="E19" s="1711"/>
      <c r="F19" s="1711"/>
      <c r="G19" s="1795"/>
      <c r="I19" s="1827">
        <f>Faturas!D329</f>
        <v>93765.25</v>
      </c>
    </row>
    <row r="20" spans="1:9" ht="15.75" thickBot="1" x14ac:dyDescent="0.3">
      <c r="A20" s="1796" t="s">
        <v>1122</v>
      </c>
      <c r="B20" s="1797"/>
      <c r="C20" s="1797"/>
      <c r="D20" s="1797"/>
      <c r="E20" s="1797"/>
      <c r="F20" s="1797"/>
      <c r="G20" s="1798"/>
    </row>
    <row r="21" spans="1:9" s="1787" customFormat="1" ht="15.75" thickTop="1" x14ac:dyDescent="0.25">
      <c r="I21" s="1827"/>
    </row>
    <row r="22" spans="1:9" s="1787" customFormat="1" x14ac:dyDescent="0.25">
      <c r="I22" s="1827"/>
    </row>
    <row r="23" spans="1:9" s="1787" customFormat="1" x14ac:dyDescent="0.25">
      <c r="A23" s="1983" t="s">
        <v>1444</v>
      </c>
      <c r="B23" s="1983"/>
      <c r="C23" s="1983"/>
      <c r="D23" s="1983"/>
      <c r="E23" s="1983"/>
      <c r="F23" s="1983"/>
      <c r="G23" s="1983"/>
      <c r="I23" s="1827"/>
    </row>
    <row r="24" spans="1:9" s="1787" customFormat="1" ht="15.75" thickBot="1" x14ac:dyDescent="0.3">
      <c r="A24" s="1788" t="s">
        <v>1123</v>
      </c>
      <c r="B24" s="1788">
        <f>Pressupostos!C33</f>
        <v>6.6500000000000004E-2</v>
      </c>
      <c r="C24" s="1788">
        <f>B24+1</f>
        <v>1.0665</v>
      </c>
      <c r="D24" s="1788">
        <f t="shared" ref="D24" si="2">C24+1</f>
        <v>2.0665</v>
      </c>
      <c r="E24" s="1788">
        <f t="shared" ref="E24" si="3">D24+1</f>
        <v>3.0665</v>
      </c>
      <c r="F24" s="1788">
        <f t="shared" ref="F24" si="4">E24+1</f>
        <v>4.0664999999999996</v>
      </c>
      <c r="G24" s="1788">
        <f>F24+1</f>
        <v>5.0664999999999996</v>
      </c>
      <c r="I24" s="1827"/>
    </row>
    <row r="25" spans="1:9" s="1787" customFormat="1" ht="15.75" thickTop="1" x14ac:dyDescent="0.25">
      <c r="A25" s="1789" t="s">
        <v>1105</v>
      </c>
      <c r="B25" s="1790"/>
      <c r="C25" s="1790"/>
      <c r="D25" s="1790"/>
      <c r="E25" s="1790"/>
      <c r="F25" s="1790"/>
      <c r="G25" s="1791"/>
      <c r="I25" s="1827"/>
    </row>
    <row r="26" spans="1:9" s="1787" customFormat="1" x14ac:dyDescent="0.25">
      <c r="A26" s="1792" t="s">
        <v>1106</v>
      </c>
      <c r="B26" s="1712"/>
      <c r="C26" s="1712"/>
      <c r="D26" s="1712"/>
      <c r="E26" s="1712"/>
      <c r="F26" s="1712"/>
      <c r="G26" s="1793"/>
      <c r="I26" s="1827"/>
    </row>
    <row r="27" spans="1:9" s="1787" customFormat="1" x14ac:dyDescent="0.25">
      <c r="A27" s="1792" t="s">
        <v>1107</v>
      </c>
      <c r="B27" s="1712"/>
      <c r="C27" s="1712"/>
      <c r="D27" s="1712"/>
      <c r="E27" s="1712"/>
      <c r="F27" s="1712"/>
      <c r="G27" s="1793"/>
      <c r="I27" s="1827"/>
    </row>
    <row r="28" spans="1:9" s="1787" customFormat="1" x14ac:dyDescent="0.25">
      <c r="A28" s="1792" t="s">
        <v>1108</v>
      </c>
      <c r="B28" s="1712"/>
      <c r="C28" s="1712"/>
      <c r="D28" s="1712"/>
      <c r="E28" s="1712"/>
      <c r="F28" s="1712"/>
      <c r="G28" s="1793"/>
      <c r="I28" s="1827"/>
    </row>
    <row r="29" spans="1:9" s="1787" customFormat="1" x14ac:dyDescent="0.25">
      <c r="A29" s="1792" t="s">
        <v>1109</v>
      </c>
      <c r="B29" s="1713"/>
      <c r="C29" s="1713"/>
      <c r="D29" s="1713"/>
      <c r="E29" s="1713"/>
      <c r="F29" s="1713"/>
      <c r="G29" s="1794"/>
      <c r="I29" s="1827"/>
    </row>
    <row r="30" spans="1:9" s="1787" customFormat="1" x14ac:dyDescent="0.25">
      <c r="A30" s="1792" t="s">
        <v>1110</v>
      </c>
      <c r="B30" s="1712"/>
      <c r="C30" s="1712"/>
      <c r="D30" s="1712"/>
      <c r="E30" s="1712"/>
      <c r="F30" s="1712"/>
      <c r="G30" s="1793"/>
      <c r="I30" s="1827"/>
    </row>
    <row r="31" spans="1:9" s="1787" customFormat="1" x14ac:dyDescent="0.25">
      <c r="A31" s="1792" t="s">
        <v>1111</v>
      </c>
      <c r="B31" s="1712"/>
      <c r="C31" s="1712"/>
      <c r="D31" s="1712"/>
      <c r="E31" s="1712"/>
      <c r="F31" s="1712"/>
      <c r="G31" s="1793"/>
      <c r="I31" s="1827"/>
    </row>
    <row r="32" spans="1:9" s="1787" customFormat="1" x14ac:dyDescent="0.25">
      <c r="A32" s="1792" t="s">
        <v>1112</v>
      </c>
      <c r="B32" s="1713"/>
      <c r="C32" s="1713"/>
      <c r="D32" s="1713"/>
      <c r="E32" s="1713"/>
      <c r="F32" s="1713"/>
      <c r="G32" s="1794"/>
      <c r="I32" s="1827"/>
    </row>
    <row r="33" spans="1:9" s="1787" customFormat="1" x14ac:dyDescent="0.25">
      <c r="A33" s="1792" t="s">
        <v>1113</v>
      </c>
      <c r="B33" s="1713"/>
      <c r="C33" s="1713"/>
      <c r="D33" s="1713"/>
      <c r="E33" s="1713"/>
      <c r="F33" s="1713"/>
      <c r="G33" s="1794"/>
      <c r="I33" s="1827"/>
    </row>
    <row r="34" spans="1:9" s="1787" customFormat="1" x14ac:dyDescent="0.25">
      <c r="A34" s="1792" t="s">
        <v>1114</v>
      </c>
      <c r="B34" s="1712"/>
      <c r="C34" s="1712"/>
      <c r="D34" s="1712"/>
      <c r="E34" s="1712"/>
      <c r="F34" s="1712"/>
      <c r="G34" s="1793"/>
      <c r="I34" s="1827"/>
    </row>
    <row r="35" spans="1:9" s="1787" customFormat="1" x14ac:dyDescent="0.25">
      <c r="A35" s="1792" t="s">
        <v>1115</v>
      </c>
      <c r="B35" s="1712"/>
      <c r="C35" s="1712"/>
      <c r="D35" s="1712"/>
      <c r="E35" s="1712"/>
      <c r="F35" s="1712"/>
      <c r="G35" s="1793"/>
      <c r="I35" s="1827"/>
    </row>
    <row r="36" spans="1:9" s="1787" customFormat="1" x14ac:dyDescent="0.25">
      <c r="A36" s="1792" t="s">
        <v>1116</v>
      </c>
      <c r="B36" s="1712"/>
      <c r="C36" s="1712"/>
      <c r="D36" s="1712"/>
      <c r="E36" s="1712"/>
      <c r="F36" s="1712"/>
      <c r="G36" s="1793"/>
      <c r="I36" s="1827"/>
    </row>
    <row r="37" spans="1:9" s="1787" customFormat="1" x14ac:dyDescent="0.25">
      <c r="A37" s="1792" t="s">
        <v>1117</v>
      </c>
      <c r="B37" s="1713"/>
      <c r="C37" s="1713"/>
      <c r="D37" s="1713"/>
      <c r="E37" s="1713"/>
      <c r="F37" s="1713"/>
      <c r="G37" s="1794"/>
      <c r="I37" s="1827"/>
    </row>
    <row r="38" spans="1:9" s="1787" customFormat="1" x14ac:dyDescent="0.25">
      <c r="A38" s="1792" t="s">
        <v>1118</v>
      </c>
      <c r="B38" s="1712"/>
      <c r="C38" s="1712"/>
      <c r="D38" s="1712"/>
      <c r="E38" s="1712"/>
      <c r="F38" s="1712"/>
      <c r="G38" s="1793"/>
      <c r="I38" s="1827"/>
    </row>
    <row r="39" spans="1:9" s="1787" customFormat="1" x14ac:dyDescent="0.25">
      <c r="A39" s="1792" t="s">
        <v>1119</v>
      </c>
      <c r="B39" s="1712"/>
      <c r="C39" s="1712"/>
      <c r="D39" s="1712"/>
      <c r="E39" s="1712"/>
      <c r="F39" s="1712"/>
      <c r="G39" s="1793"/>
      <c r="I39" s="1827"/>
    </row>
    <row r="40" spans="1:9" s="1787" customFormat="1" x14ac:dyDescent="0.25">
      <c r="A40" s="1792" t="s">
        <v>1120</v>
      </c>
      <c r="B40" s="1711"/>
      <c r="C40" s="1711"/>
      <c r="D40" s="1711"/>
      <c r="E40" s="1711"/>
      <c r="F40" s="1711"/>
      <c r="G40" s="1795"/>
      <c r="I40" s="1827"/>
    </row>
    <row r="41" spans="1:9" s="1787" customFormat="1" x14ac:dyDescent="0.25">
      <c r="A41" s="1792" t="s">
        <v>1121</v>
      </c>
      <c r="B41" s="1711"/>
      <c r="C41" s="1711"/>
      <c r="D41" s="1711"/>
      <c r="E41" s="1711"/>
      <c r="F41" s="1711"/>
      <c r="G41" s="1795"/>
      <c r="I41" s="1827"/>
    </row>
    <row r="42" spans="1:9" s="1787" customFormat="1" ht="15.75" thickBot="1" x14ac:dyDescent="0.3">
      <c r="A42" s="1796" t="s">
        <v>1122</v>
      </c>
      <c r="B42" s="1797"/>
      <c r="C42" s="1797"/>
      <c r="D42" s="1797"/>
      <c r="E42" s="1797"/>
      <c r="F42" s="1797"/>
      <c r="G42" s="1798"/>
      <c r="I42" s="1827"/>
    </row>
    <row r="43" spans="1:9" s="1787" customFormat="1" ht="15.75" thickTop="1" x14ac:dyDescent="0.25">
      <c r="I43" s="1827"/>
    </row>
    <row r="44" spans="1:9" s="1787" customFormat="1" x14ac:dyDescent="0.25">
      <c r="I44" s="1827"/>
    </row>
    <row r="45" spans="1:9" s="1787" customFormat="1" x14ac:dyDescent="0.25">
      <c r="I45" s="1827"/>
    </row>
    <row r="46" spans="1:9" s="1787" customFormat="1" x14ac:dyDescent="0.25">
      <c r="I46" s="1827"/>
    </row>
  </sheetData>
  <mergeCells count="2">
    <mergeCell ref="A1:G1"/>
    <mergeCell ref="A23:G2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23">
    <tabColor theme="1" tint="0.34998626667073579"/>
    <pageSetUpPr fitToPage="1"/>
  </sheetPr>
  <dimension ref="A2:CS41"/>
  <sheetViews>
    <sheetView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B2" sqref="B2:L30"/>
    </sheetView>
  </sheetViews>
  <sheetFormatPr defaultColWidth="9.140625" defaultRowHeight="11.25" x14ac:dyDescent="0.25"/>
  <cols>
    <col min="1" max="1" width="2.42578125" style="13" customWidth="1"/>
    <col min="2" max="2" width="58.42578125" style="13" customWidth="1"/>
    <col min="3" max="12" width="10.85546875" style="13" bestFit="1" customWidth="1"/>
    <col min="13" max="16384" width="9.140625" style="13"/>
  </cols>
  <sheetData>
    <row r="2" spans="1:97" x14ac:dyDescent="0.25">
      <c r="A2" s="75"/>
      <c r="B2" s="1984" t="s">
        <v>33</v>
      </c>
      <c r="C2" s="1985"/>
      <c r="D2" s="1985"/>
      <c r="E2" s="1985"/>
      <c r="F2" s="1985"/>
      <c r="G2" s="1985"/>
      <c r="H2" s="1985"/>
      <c r="I2" s="1985"/>
      <c r="J2" s="1985"/>
      <c r="K2" s="1985"/>
      <c r="L2" s="1985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</row>
    <row r="3" spans="1:97" x14ac:dyDescent="0.25">
      <c r="A3" s="75"/>
      <c r="B3" s="599" t="s">
        <v>34</v>
      </c>
      <c r="C3" s="1986"/>
      <c r="D3" s="1986"/>
      <c r="E3" s="1986"/>
      <c r="F3" s="1986"/>
      <c r="G3" s="1986"/>
      <c r="H3" s="1986"/>
      <c r="I3" s="251"/>
      <c r="J3" s="25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</row>
    <row r="4" spans="1:97" ht="21" customHeight="1" x14ac:dyDescent="0.25">
      <c r="A4" s="75"/>
      <c r="B4" s="618" t="s">
        <v>36</v>
      </c>
      <c r="C4" s="619">
        <f>Pressupostos!C11</f>
        <v>2020</v>
      </c>
      <c r="D4" s="619">
        <f>C4+1</f>
        <v>2021</v>
      </c>
      <c r="E4" s="619">
        <f>D4+1</f>
        <v>2022</v>
      </c>
      <c r="F4" s="619">
        <f t="shared" ref="F4:L4" si="0">E4+1</f>
        <v>2023</v>
      </c>
      <c r="G4" s="619">
        <f t="shared" si="0"/>
        <v>2024</v>
      </c>
      <c r="H4" s="619">
        <f t="shared" si="0"/>
        <v>2025</v>
      </c>
      <c r="I4" s="619">
        <f t="shared" si="0"/>
        <v>2026</v>
      </c>
      <c r="J4" s="619">
        <f t="shared" si="0"/>
        <v>2027</v>
      </c>
      <c r="K4" s="619">
        <f t="shared" si="0"/>
        <v>2028</v>
      </c>
      <c r="L4" s="619">
        <f t="shared" si="0"/>
        <v>2029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</row>
    <row r="5" spans="1:97" x14ac:dyDescent="0.25">
      <c r="B5" s="600" t="s">
        <v>39</v>
      </c>
      <c r="C5" s="606">
        <f>C35+C38</f>
        <v>3690043.8344700006</v>
      </c>
      <c r="D5" s="606">
        <f t="shared" ref="D5:L5" si="1">D35+D38</f>
        <v>3913291.4864554359</v>
      </c>
      <c r="E5" s="606">
        <f t="shared" si="1"/>
        <v>4150045.6213859897</v>
      </c>
      <c r="F5" s="606">
        <f t="shared" si="1"/>
        <v>4401123.3814798417</v>
      </c>
      <c r="G5" s="606">
        <f t="shared" si="1"/>
        <v>4489585.9614475863</v>
      </c>
      <c r="H5" s="606">
        <f t="shared" si="1"/>
        <v>4579826.6392726824</v>
      </c>
      <c r="I5" s="606">
        <f t="shared" si="1"/>
        <v>4671881.1547220629</v>
      </c>
      <c r="J5" s="606">
        <f t="shared" si="1"/>
        <v>4765785.9659319762</v>
      </c>
      <c r="K5" s="606">
        <f t="shared" si="1"/>
        <v>4861578.2638472086</v>
      </c>
      <c r="L5" s="606">
        <f t="shared" si="1"/>
        <v>4959295.9869505381</v>
      </c>
    </row>
    <row r="6" spans="1:97" x14ac:dyDescent="0.25">
      <c r="B6" s="601" t="s">
        <v>40</v>
      </c>
      <c r="C6" s="83">
        <f>Faturas!E340</f>
        <v>9281.3625000000011</v>
      </c>
      <c r="D6" s="83">
        <f>Faturas!E341</f>
        <v>26253</v>
      </c>
      <c r="E6" s="83">
        <f>Faturas!E342</f>
        <v>6660</v>
      </c>
      <c r="F6" s="83">
        <f>Faturas!E343</f>
        <v>0</v>
      </c>
      <c r="G6" s="83">
        <v>0</v>
      </c>
      <c r="H6" s="83">
        <v>0</v>
      </c>
      <c r="I6" s="83">
        <v>0</v>
      </c>
      <c r="J6" s="83">
        <v>0</v>
      </c>
      <c r="K6" s="83">
        <v>0</v>
      </c>
      <c r="L6" s="83">
        <v>0</v>
      </c>
    </row>
    <row r="7" spans="1:97" x14ac:dyDescent="0.25">
      <c r="B7" s="601" t="s">
        <v>41</v>
      </c>
      <c r="C7" s="83">
        <v>0</v>
      </c>
      <c r="D7" s="83">
        <v>0</v>
      </c>
      <c r="E7" s="83">
        <v>0</v>
      </c>
      <c r="F7" s="83">
        <v>0</v>
      </c>
      <c r="G7" s="83">
        <v>0</v>
      </c>
      <c r="H7" s="83">
        <v>0</v>
      </c>
      <c r="I7" s="83">
        <v>0</v>
      </c>
      <c r="J7" s="83">
        <v>0</v>
      </c>
      <c r="K7" s="83">
        <v>0</v>
      </c>
      <c r="L7" s="83">
        <v>0</v>
      </c>
    </row>
    <row r="8" spans="1:97" x14ac:dyDescent="0.25">
      <c r="B8" s="601" t="s">
        <v>42</v>
      </c>
      <c r="C8" s="83">
        <v>0</v>
      </c>
      <c r="D8" s="83">
        <v>0</v>
      </c>
      <c r="E8" s="83">
        <v>0</v>
      </c>
      <c r="F8" s="83">
        <v>0</v>
      </c>
      <c r="G8" s="83">
        <v>0</v>
      </c>
      <c r="H8" s="83">
        <v>0</v>
      </c>
      <c r="I8" s="83">
        <v>0</v>
      </c>
      <c r="J8" s="83">
        <v>0</v>
      </c>
      <c r="K8" s="83">
        <v>0</v>
      </c>
      <c r="L8" s="83">
        <v>0</v>
      </c>
    </row>
    <row r="9" spans="1:97" x14ac:dyDescent="0.25">
      <c r="B9" s="601" t="s">
        <v>43</v>
      </c>
      <c r="C9" s="83">
        <v>0</v>
      </c>
      <c r="D9" s="83">
        <v>0</v>
      </c>
      <c r="E9" s="83">
        <v>0</v>
      </c>
      <c r="F9" s="83">
        <v>0</v>
      </c>
      <c r="G9" s="83">
        <v>0</v>
      </c>
      <c r="H9" s="83">
        <v>0</v>
      </c>
      <c r="I9" s="83">
        <v>0</v>
      </c>
      <c r="J9" s="83">
        <v>0</v>
      </c>
      <c r="K9" s="83">
        <v>0</v>
      </c>
      <c r="L9" s="83">
        <v>0</v>
      </c>
    </row>
    <row r="10" spans="1:97" x14ac:dyDescent="0.25">
      <c r="B10" s="601" t="s">
        <v>44</v>
      </c>
      <c r="C10" s="83">
        <f>CMVMC!D6</f>
        <v>2896684.4100589505</v>
      </c>
      <c r="D10" s="83">
        <f>CMVMC!E6</f>
        <v>3071933.8168675173</v>
      </c>
      <c r="E10" s="83">
        <f>CMVMC!F6</f>
        <v>3237035.5846810723</v>
      </c>
      <c r="F10" s="83">
        <f>CMVMC!G6</f>
        <v>3432876.2375542768</v>
      </c>
      <c r="G10" s="83">
        <f>CMVMC!H6</f>
        <v>3501877.0499291173</v>
      </c>
      <c r="H10" s="83">
        <f>CMVMC!I6</f>
        <v>3572264.7786326925</v>
      </c>
      <c r="I10" s="83">
        <f>CMVMC!J6</f>
        <v>3644067.3006832092</v>
      </c>
      <c r="J10" s="83">
        <f>CMVMC!K6</f>
        <v>3717313.0534269414</v>
      </c>
      <c r="K10" s="83">
        <f>CMVMC!L6</f>
        <v>3792031.0458008228</v>
      </c>
      <c r="L10" s="83">
        <f>CMVMC!M6</f>
        <v>3868250.8698214199</v>
      </c>
    </row>
    <row r="11" spans="1:97" x14ac:dyDescent="0.25">
      <c r="B11" s="601" t="s">
        <v>45</v>
      </c>
      <c r="C11" s="83">
        <f>FSE!D6</f>
        <v>532475.93859999999</v>
      </c>
      <c r="D11" s="83">
        <f>FSE!E6</f>
        <v>546634.3506714839</v>
      </c>
      <c r="E11" s="83">
        <f>FSE!F6</f>
        <v>575056.15888710867</v>
      </c>
      <c r="F11" s="83">
        <f>FSE!G6</f>
        <v>594151.65649977862</v>
      </c>
      <c r="G11" s="83">
        <f>FSE!H6</f>
        <v>606094.10479542415</v>
      </c>
      <c r="H11" s="83">
        <f>FSE!I6</f>
        <v>618276.59630181221</v>
      </c>
      <c r="I11" s="83">
        <f>FSE!J6</f>
        <v>630703.95588747854</v>
      </c>
      <c r="J11" s="83">
        <f>FSE!K6</f>
        <v>643381.10540081689</v>
      </c>
      <c r="K11" s="83">
        <f>FSE!L6</f>
        <v>656313.06561937323</v>
      </c>
      <c r="L11" s="83">
        <f>FSE!M6</f>
        <v>669504.95823832264</v>
      </c>
    </row>
    <row r="12" spans="1:97" x14ac:dyDescent="0.25">
      <c r="B12" s="601" t="s">
        <v>46</v>
      </c>
      <c r="C12" s="83">
        <f>RH!D6</f>
        <v>218097.58957499999</v>
      </c>
      <c r="D12" s="83">
        <f>RH!E6</f>
        <v>254274.54136649997</v>
      </c>
      <c r="E12" s="83">
        <f>RH!F6</f>
        <v>269965.03219383</v>
      </c>
      <c r="F12" s="83">
        <f>RH!G6</f>
        <v>275364.33283770655</v>
      </c>
      <c r="G12" s="83">
        <f>RH!H6</f>
        <v>280871.6194944607</v>
      </c>
      <c r="H12" s="83">
        <f>RH!I6</f>
        <v>286489.0518843499</v>
      </c>
      <c r="I12" s="83">
        <f>RH!J6</f>
        <v>292218.83292203693</v>
      </c>
      <c r="J12" s="83">
        <f>RH!K6</f>
        <v>298063.20958047768</v>
      </c>
      <c r="K12" s="83">
        <f>RH!L6</f>
        <v>304024.47377208725</v>
      </c>
      <c r="L12" s="83">
        <f>RH!M6</f>
        <v>310104.963247529</v>
      </c>
    </row>
    <row r="13" spans="1:97" x14ac:dyDescent="0.25">
      <c r="B13" s="601" t="s">
        <v>47</v>
      </c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0</v>
      </c>
      <c r="K13" s="83">
        <v>0</v>
      </c>
      <c r="L13" s="83">
        <v>0</v>
      </c>
    </row>
    <row r="14" spans="1:97" x14ac:dyDescent="0.25">
      <c r="B14" s="601" t="s">
        <v>48</v>
      </c>
      <c r="C14" s="83">
        <v>0</v>
      </c>
      <c r="D14" s="83">
        <v>0</v>
      </c>
      <c r="E14" s="83">
        <v>0</v>
      </c>
      <c r="F14" s="83">
        <v>0</v>
      </c>
      <c r="G14" s="83">
        <v>0</v>
      </c>
      <c r="H14" s="83">
        <v>0</v>
      </c>
      <c r="I14" s="83">
        <v>0</v>
      </c>
      <c r="J14" s="83">
        <v>0</v>
      </c>
      <c r="K14" s="83">
        <v>0</v>
      </c>
      <c r="L14" s="83">
        <v>0</v>
      </c>
    </row>
    <row r="15" spans="1:97" x14ac:dyDescent="0.25">
      <c r="B15" s="601" t="s">
        <v>49</v>
      </c>
      <c r="C15" s="83">
        <v>0</v>
      </c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0</v>
      </c>
    </row>
    <row r="16" spans="1:97" x14ac:dyDescent="0.25">
      <c r="B16" s="601" t="s">
        <v>50</v>
      </c>
      <c r="C16" s="83">
        <v>0</v>
      </c>
      <c r="D16" s="83">
        <v>0</v>
      </c>
      <c r="E16" s="83">
        <v>0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3">
        <v>0</v>
      </c>
      <c r="L16" s="83">
        <v>0</v>
      </c>
    </row>
    <row r="17" spans="2:12" x14ac:dyDescent="0.25">
      <c r="B17" s="601" t="s">
        <v>51</v>
      </c>
      <c r="C17" s="83">
        <v>0</v>
      </c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83">
        <v>0</v>
      </c>
      <c r="K17" s="83">
        <v>0</v>
      </c>
      <c r="L17" s="83">
        <v>0</v>
      </c>
    </row>
    <row r="18" spans="2:12" x14ac:dyDescent="0.25">
      <c r="B18" s="601" t="s">
        <v>52</v>
      </c>
      <c r="C18" s="83">
        <v>0</v>
      </c>
      <c r="D18" s="83">
        <v>0</v>
      </c>
      <c r="E18" s="83">
        <v>0</v>
      </c>
      <c r="F18" s="83">
        <v>0</v>
      </c>
      <c r="G18" s="83">
        <v>0</v>
      </c>
      <c r="H18" s="83">
        <v>0</v>
      </c>
      <c r="I18" s="83">
        <v>0</v>
      </c>
      <c r="J18" s="83">
        <v>0</v>
      </c>
      <c r="K18" s="83">
        <v>0</v>
      </c>
      <c r="L18" s="83">
        <v>0</v>
      </c>
    </row>
    <row r="19" spans="2:12" x14ac:dyDescent="0.25">
      <c r="B19" s="601" t="s">
        <v>53</v>
      </c>
      <c r="C19" s="83">
        <v>0</v>
      </c>
      <c r="D19" s="83">
        <f>+[2]Folha1!F61</f>
        <v>27195.75</v>
      </c>
      <c r="E19" s="83">
        <f>+[2]Folha1!G61</f>
        <v>12616.875</v>
      </c>
      <c r="F19" s="83">
        <f>+[2]Folha1!H61</f>
        <v>3262.5</v>
      </c>
      <c r="G19" s="83">
        <f>+[2]Folha1!I61</f>
        <v>3262.5</v>
      </c>
      <c r="H19" s="83">
        <v>0</v>
      </c>
      <c r="I19" s="83">
        <v>0</v>
      </c>
      <c r="J19" s="83">
        <v>0</v>
      </c>
      <c r="K19" s="83">
        <v>0</v>
      </c>
      <c r="L19" s="83">
        <v>0</v>
      </c>
    </row>
    <row r="20" spans="2:12" x14ac:dyDescent="0.25">
      <c r="B20" s="603" t="s">
        <v>54</v>
      </c>
      <c r="C20" s="620">
        <v>0</v>
      </c>
      <c r="D20" s="620">
        <v>0</v>
      </c>
      <c r="E20" s="620">
        <v>0</v>
      </c>
      <c r="F20" s="620">
        <v>0</v>
      </c>
      <c r="G20" s="620">
        <v>0</v>
      </c>
      <c r="H20" s="620">
        <v>0</v>
      </c>
      <c r="I20" s="620">
        <v>0</v>
      </c>
      <c r="J20" s="620">
        <v>0</v>
      </c>
      <c r="K20" s="620">
        <v>0</v>
      </c>
      <c r="L20" s="620">
        <v>0</v>
      </c>
    </row>
    <row r="21" spans="2:12" x14ac:dyDescent="0.25">
      <c r="B21" s="604" t="s">
        <v>55</v>
      </c>
      <c r="C21" s="605">
        <f>C5+C6+C7+C8+C9-C10-C11-C12-C13-C14-C15-C16-C17+C18+C19-C20</f>
        <v>52067.258736049873</v>
      </c>
      <c r="D21" s="605">
        <f>D5+D6+D7+D8+D9-D10-D11-D12-D13-D14-D15-D16-D17+D18+D19-D20</f>
        <v>93897.52754993469</v>
      </c>
      <c r="E21" s="605">
        <f t="shared" ref="E21:L21" si="2">E5+E6+E7+E8+E9-E10-E11-E12-E13-E14-E15-E16-E17+E18+E19-E20</f>
        <v>87265.720623978763</v>
      </c>
      <c r="F21" s="605">
        <f t="shared" si="2"/>
        <v>101993.65458807966</v>
      </c>
      <c r="G21" s="605">
        <f t="shared" si="2"/>
        <v>104005.68722858414</v>
      </c>
      <c r="H21" s="605">
        <f t="shared" si="2"/>
        <v>102796.21245382773</v>
      </c>
      <c r="I21" s="605">
        <f t="shared" si="2"/>
        <v>104891.06522933819</v>
      </c>
      <c r="J21" s="605">
        <f t="shared" si="2"/>
        <v>107028.59752374026</v>
      </c>
      <c r="K21" s="605">
        <f t="shared" si="2"/>
        <v>109209.67865492532</v>
      </c>
      <c r="L21" s="605">
        <f t="shared" si="2"/>
        <v>111435.19564326655</v>
      </c>
    </row>
    <row r="22" spans="2:12" x14ac:dyDescent="0.25">
      <c r="B22" s="600" t="s">
        <v>56</v>
      </c>
      <c r="C22" s="606">
        <f>Amortização!E108-Amortização!D108</f>
        <v>8462.5240000000013</v>
      </c>
      <c r="D22" s="606">
        <f>Amortização!F108-Amortização!E108</f>
        <v>18462.524000000001</v>
      </c>
      <c r="E22" s="606">
        <f>Amortização!G108-Amortização!F108</f>
        <v>18462.523999999998</v>
      </c>
      <c r="F22" s="606">
        <f>Amortização!H108-Amortização!G108</f>
        <v>18462.524000000005</v>
      </c>
      <c r="G22" s="606">
        <f>Amortização!I108-Amortização!H108</f>
        <v>18462.524000000005</v>
      </c>
      <c r="H22" s="606">
        <f>Amortização!J108-Amortização!I108</f>
        <v>8462.5240000000049</v>
      </c>
      <c r="I22" s="606">
        <f>Amortização!K108-Amortização!J108</f>
        <v>8462.5240000000049</v>
      </c>
      <c r="J22" s="606">
        <f>Amortização!L108-Amortização!K108</f>
        <v>8462.5240000000049</v>
      </c>
      <c r="K22" s="606">
        <f>Amortização!M108-Amortização!L108</f>
        <v>8462.5240000000049</v>
      </c>
      <c r="L22" s="606">
        <f>Amortização!N108-Amortização!M108</f>
        <v>8462.5240000000049</v>
      </c>
    </row>
    <row r="23" spans="2:12" x14ac:dyDescent="0.25">
      <c r="B23" s="603" t="s">
        <v>57</v>
      </c>
      <c r="C23" s="620">
        <v>0</v>
      </c>
      <c r="D23" s="620">
        <v>0</v>
      </c>
      <c r="E23" s="620">
        <v>0</v>
      </c>
      <c r="F23" s="620">
        <v>0</v>
      </c>
      <c r="G23" s="620">
        <v>0</v>
      </c>
      <c r="H23" s="620">
        <v>0</v>
      </c>
      <c r="I23" s="620">
        <v>0</v>
      </c>
      <c r="J23" s="620">
        <v>0</v>
      </c>
      <c r="K23" s="620">
        <v>0</v>
      </c>
      <c r="L23" s="620">
        <v>0</v>
      </c>
    </row>
    <row r="24" spans="2:12" x14ac:dyDescent="0.25">
      <c r="B24" s="607" t="s">
        <v>58</v>
      </c>
      <c r="C24" s="25">
        <f>C21-C22-C23</f>
        <v>43604.734736049868</v>
      </c>
      <c r="D24" s="25">
        <f t="shared" ref="D24:L24" si="3">D21-D22-D23</f>
        <v>75435.003549934685</v>
      </c>
      <c r="E24" s="25">
        <f t="shared" si="3"/>
        <v>68803.196623978758</v>
      </c>
      <c r="F24" s="25">
        <f t="shared" si="3"/>
        <v>83531.130588079657</v>
      </c>
      <c r="G24" s="25">
        <f t="shared" si="3"/>
        <v>85543.163228584133</v>
      </c>
      <c r="H24" s="25">
        <f t="shared" si="3"/>
        <v>94333.688453827723</v>
      </c>
      <c r="I24" s="25">
        <f t="shared" si="3"/>
        <v>96428.541229338181</v>
      </c>
      <c r="J24" s="25">
        <f t="shared" si="3"/>
        <v>98566.073523740255</v>
      </c>
      <c r="K24" s="25">
        <f t="shared" si="3"/>
        <v>100747.15465492531</v>
      </c>
      <c r="L24" s="25">
        <f t="shared" si="3"/>
        <v>102972.67164326654</v>
      </c>
    </row>
    <row r="25" spans="2:12" x14ac:dyDescent="0.25">
      <c r="B25" s="600" t="s">
        <v>59</v>
      </c>
      <c r="C25" s="606">
        <f>DR!F26*(1+Pressupostos!C17)</f>
        <v>0</v>
      </c>
      <c r="D25" s="606">
        <f>DR!G26*(1+Pressupostos!D17)</f>
        <v>0</v>
      </c>
      <c r="E25" s="606">
        <f>DR!H26*(1+Pressupostos!E17)</f>
        <v>0</v>
      </c>
      <c r="F25" s="606">
        <f>DR!I26*(1+Pressupostos!F17)</f>
        <v>0</v>
      </c>
      <c r="G25" s="606">
        <f>DR!J26*(1+Pressupostos!G17)</f>
        <v>0</v>
      </c>
      <c r="H25" s="606">
        <f>DR!K26*(1+Pressupostos!H17)</f>
        <v>0</v>
      </c>
      <c r="I25" s="606">
        <f>DR!L26*(1+Pressupostos!I17)</f>
        <v>0</v>
      </c>
      <c r="J25" s="606">
        <f>DR!M26*(1+Pressupostos!J17)</f>
        <v>0</v>
      </c>
      <c r="K25" s="606">
        <f>DR!N26*(1+Pressupostos!K17)</f>
        <v>0</v>
      </c>
      <c r="L25" s="606">
        <f>DR!O26*(1+Pressupostos!L17)</f>
        <v>0</v>
      </c>
    </row>
    <row r="26" spans="2:12" x14ac:dyDescent="0.25">
      <c r="B26" s="603" t="s">
        <v>60</v>
      </c>
      <c r="C26" s="620">
        <f>SaldosDivida!B72+SaldosDivida!B99+SaldosDivida!B86+SaldosDivida!B104+JurosSocios!I29</f>
        <v>11672.26302798936</v>
      </c>
      <c r="D26" s="620">
        <f>SaldosDivida!C72+SaldosDivida!C99+SaldosDivida!C86+SaldosDivida!C104+JurosSocios!I30</f>
        <v>11657.009694958839</v>
      </c>
      <c r="E26" s="620">
        <f>SaldosDivida!D72+SaldosDivida!D99+SaldosDivida!D86+SaldosDivida!D104+JurosSocios!I31</f>
        <v>11595.996362836757</v>
      </c>
      <c r="F26" s="620">
        <f>SaldosDivida!E72+SaldosDivida!E99+SaldosDivida!E86+SaldosDivida!E104+JurosSocios!I32</f>
        <v>11534.983030714675</v>
      </c>
      <c r="G26" s="620">
        <f>SaldosDivida!F72+SaldosDivida!F99+SaldosDivida!F86+SaldosDivida!F104+JurosSocios!I33</f>
        <v>11473.969698592593</v>
      </c>
      <c r="H26" s="620">
        <f>SaldosDivida!G72+SaldosDivida!G99+SaldosDivida!G86+SaldosDivida!G104+JurosSocios!I34</f>
        <v>11428.209699501032</v>
      </c>
      <c r="I26" s="620">
        <f>SaldosDivida!H72+SaldosDivida!H99+SaldosDivida!H86+SaldosDivida!H104+JurosSocios!I35</f>
        <v>11428.209699501032</v>
      </c>
      <c r="J26" s="620">
        <f>SaldosDivida!I72+SaldosDivida!I99+SaldosDivida!I86+SaldosDivida!I104</f>
        <v>11428.209699501032</v>
      </c>
      <c r="K26" s="620">
        <f>SaldosDivida!J72+SaldosDivida!J99+SaldosDivida!J86+SaldosDivida!J104</f>
        <v>0</v>
      </c>
      <c r="L26" s="620">
        <f>SaldosDivida!K72+SaldosDivida!K99+SaldosDivida!K86+SaldosDivida!K104</f>
        <v>0</v>
      </c>
    </row>
    <row r="27" spans="2:12" x14ac:dyDescent="0.25">
      <c r="B27" s="607" t="s">
        <v>61</v>
      </c>
      <c r="C27" s="25">
        <f>C24+C25-C26</f>
        <v>31932.471708060508</v>
      </c>
      <c r="D27" s="25">
        <f t="shared" ref="D27:L27" si="4">D24+D25-D26</f>
        <v>63777.993854975844</v>
      </c>
      <c r="E27" s="25">
        <f t="shared" si="4"/>
        <v>57207.200261142003</v>
      </c>
      <c r="F27" s="25">
        <f t="shared" si="4"/>
        <v>71996.14755736498</v>
      </c>
      <c r="G27" s="25">
        <f t="shared" si="4"/>
        <v>74069.193529991535</v>
      </c>
      <c r="H27" s="25">
        <f t="shared" si="4"/>
        <v>82905.478754326687</v>
      </c>
      <c r="I27" s="25">
        <f t="shared" si="4"/>
        <v>85000.331529837145</v>
      </c>
      <c r="J27" s="25">
        <f t="shared" si="4"/>
        <v>87137.863824239219</v>
      </c>
      <c r="K27" s="25">
        <f t="shared" si="4"/>
        <v>100747.15465492531</v>
      </c>
      <c r="L27" s="25">
        <f t="shared" si="4"/>
        <v>102972.67164326654</v>
      </c>
    </row>
    <row r="28" spans="2:12" x14ac:dyDescent="0.25">
      <c r="B28" s="608" t="s">
        <v>62</v>
      </c>
      <c r="C28" s="621">
        <f>MAX(0,C27*Pressupostos!$C$39)</f>
        <v>7184.8061343136133</v>
      </c>
      <c r="D28" s="621">
        <f>MAX(0,D27*Pressupostos!$C$39)</f>
        <v>14350.048617369564</v>
      </c>
      <c r="E28" s="621">
        <f>MAX(0,E27*Pressupostos!$C$39)</f>
        <v>12871.620058756949</v>
      </c>
      <c r="F28" s="621">
        <f>MAX(0,F27*Pressupostos!$C$39)</f>
        <v>16199.133200407119</v>
      </c>
      <c r="G28" s="621">
        <f>MAX(0,G27*Pressupostos!$C$39)</f>
        <v>16665.568544248094</v>
      </c>
      <c r="H28" s="621">
        <f>MAX(0,H27*Pressupostos!$C$39)</f>
        <v>18653.732719723503</v>
      </c>
      <c r="I28" s="621">
        <f>MAX(0,I27*Pressupostos!$C$39)</f>
        <v>19125.074594213354</v>
      </c>
      <c r="J28" s="621">
        <f>MAX(0,J27*Pressupostos!$C$39)</f>
        <v>19606.019360453822</v>
      </c>
      <c r="K28" s="621">
        <f>MAX(0,K27*Pressupostos!$C$39)</f>
        <v>22668.109797358193</v>
      </c>
      <c r="L28" s="621">
        <f>MAX(0,L27*Pressupostos!$C$39)</f>
        <v>23168.851119734969</v>
      </c>
    </row>
    <row r="29" spans="2:12" x14ac:dyDescent="0.25">
      <c r="B29" s="607" t="s">
        <v>63</v>
      </c>
      <c r="C29" s="25">
        <f>C27-C28</f>
        <v>24747.665573746894</v>
      </c>
      <c r="D29" s="25">
        <f t="shared" ref="D29:L29" si="5">D27-D28</f>
        <v>49427.945237606284</v>
      </c>
      <c r="E29" s="25">
        <f t="shared" si="5"/>
        <v>44335.580202385056</v>
      </c>
      <c r="F29" s="25">
        <f t="shared" si="5"/>
        <v>55797.014356957865</v>
      </c>
      <c r="G29" s="25">
        <f t="shared" si="5"/>
        <v>57403.624985743445</v>
      </c>
      <c r="H29" s="25">
        <f t="shared" si="5"/>
        <v>64251.746034603188</v>
      </c>
      <c r="I29" s="25">
        <f t="shared" si="5"/>
        <v>65875.256935623795</v>
      </c>
      <c r="J29" s="25">
        <f t="shared" si="5"/>
        <v>67531.844463785397</v>
      </c>
      <c r="K29" s="25">
        <f t="shared" si="5"/>
        <v>78079.044857567118</v>
      </c>
      <c r="L29" s="25">
        <f t="shared" si="5"/>
        <v>79803.820523531569</v>
      </c>
    </row>
    <row r="30" spans="2:12" x14ac:dyDescent="0.25">
      <c r="B30" s="608"/>
      <c r="C30" s="609"/>
      <c r="D30" s="62"/>
      <c r="E30" s="62"/>
      <c r="F30" s="62"/>
      <c r="G30" s="62"/>
      <c r="H30" s="62"/>
      <c r="I30" s="62"/>
      <c r="J30" s="62"/>
      <c r="K30" s="62"/>
      <c r="L30" s="610"/>
    </row>
    <row r="31" spans="2:12" x14ac:dyDescent="0.25">
      <c r="B31" s="611" t="s">
        <v>64</v>
      </c>
      <c r="C31" s="25">
        <f>FM!H43</f>
        <v>2794443.9575638631</v>
      </c>
      <c r="D31" s="25">
        <f>FM!I43</f>
        <v>3086537.9341015648</v>
      </c>
      <c r="E31" s="25">
        <f>FM!J43</f>
        <v>3250794.0653322018</v>
      </c>
      <c r="F31" s="25">
        <f>FM!K43</f>
        <v>3449196.2919603772</v>
      </c>
      <c r="G31" s="25">
        <f>FM!L43</f>
        <v>3507627.1176270205</v>
      </c>
      <c r="H31" s="25">
        <f>FM!M43</f>
        <v>3578130.4226913238</v>
      </c>
      <c r="I31" s="25">
        <f>FM!N43</f>
        <v>3650050.8441874189</v>
      </c>
      <c r="J31" s="25">
        <f>FM!O43</f>
        <v>3723416.8661555857</v>
      </c>
      <c r="K31" s="25">
        <f>FM!P43</f>
        <v>3798257.5451653129</v>
      </c>
      <c r="L31" s="25">
        <f>FM!Q43</f>
        <v>3874602.5218231366</v>
      </c>
    </row>
    <row r="32" spans="2:12" x14ac:dyDescent="0.25">
      <c r="C32" s="609"/>
      <c r="D32" s="62"/>
      <c r="E32" s="62"/>
      <c r="F32" s="62"/>
      <c r="G32" s="62"/>
      <c r="H32" s="62"/>
      <c r="I32" s="62"/>
      <c r="J32" s="62"/>
      <c r="K32" s="62"/>
      <c r="L32" s="610"/>
    </row>
    <row r="33" spans="2:12" x14ac:dyDescent="0.25">
      <c r="B33" s="611" t="s">
        <v>65</v>
      </c>
      <c r="C33" s="25">
        <f>C29+C22+C23+(C15-DR!F16)</f>
        <v>33210.189573746895</v>
      </c>
      <c r="D33" s="25">
        <f>D29+D22+D23+(D15-C15)</f>
        <v>67890.469237606289</v>
      </c>
      <c r="E33" s="25">
        <f t="shared" ref="E33:L33" si="6">E29+E22+E23+(E15-D15)</f>
        <v>62798.104202385053</v>
      </c>
      <c r="F33" s="25">
        <f t="shared" si="6"/>
        <v>74259.53835695787</v>
      </c>
      <c r="G33" s="25">
        <f t="shared" si="6"/>
        <v>75866.14898574345</v>
      </c>
      <c r="H33" s="25">
        <f t="shared" si="6"/>
        <v>72714.270034603192</v>
      </c>
      <c r="I33" s="25">
        <f t="shared" si="6"/>
        <v>74337.780935623799</v>
      </c>
      <c r="J33" s="25">
        <f t="shared" si="6"/>
        <v>75994.368463785402</v>
      </c>
      <c r="K33" s="25">
        <f t="shared" si="6"/>
        <v>86541.568857567123</v>
      </c>
      <c r="L33" s="25">
        <f t="shared" si="6"/>
        <v>88266.344523531574</v>
      </c>
    </row>
    <row r="34" spans="2:12" x14ac:dyDescent="0.25">
      <c r="C34" s="609"/>
      <c r="D34" s="62"/>
      <c r="E34" s="62"/>
      <c r="F34" s="62"/>
      <c r="G34" s="62"/>
      <c r="H34" s="62"/>
      <c r="I34" s="62"/>
      <c r="J34" s="62"/>
      <c r="K34" s="62"/>
      <c r="L34" s="610"/>
    </row>
    <row r="35" spans="2:12" x14ac:dyDescent="0.25">
      <c r="B35" s="612" t="s">
        <v>6</v>
      </c>
      <c r="C35" s="613">
        <f>C36+C37</f>
        <v>0</v>
      </c>
      <c r="D35" s="613">
        <f t="shared" ref="D35:L35" si="7">D36+D37</f>
        <v>0</v>
      </c>
      <c r="E35" s="613">
        <f t="shared" si="7"/>
        <v>0</v>
      </c>
      <c r="F35" s="613">
        <f t="shared" si="7"/>
        <v>0</v>
      </c>
      <c r="G35" s="613">
        <f t="shared" si="7"/>
        <v>0</v>
      </c>
      <c r="H35" s="613">
        <f t="shared" si="7"/>
        <v>0</v>
      </c>
      <c r="I35" s="613">
        <f t="shared" si="7"/>
        <v>0</v>
      </c>
      <c r="J35" s="613">
        <f t="shared" si="7"/>
        <v>0</v>
      </c>
      <c r="K35" s="613">
        <f t="shared" si="7"/>
        <v>0</v>
      </c>
      <c r="L35" s="614">
        <f t="shared" si="7"/>
        <v>0</v>
      </c>
    </row>
    <row r="36" spans="2:12" x14ac:dyDescent="0.25">
      <c r="B36" s="615" t="s">
        <v>66</v>
      </c>
      <c r="C36" s="602">
        <f>'Vendas+PrestServ'!D8</f>
        <v>0</v>
      </c>
      <c r="D36" s="602">
        <f>'Vendas+PrestServ'!E8</f>
        <v>0</v>
      </c>
      <c r="E36" s="602">
        <f>'Vendas+PrestServ'!F8</f>
        <v>0</v>
      </c>
      <c r="F36" s="602">
        <f>'Vendas+PrestServ'!G8</f>
        <v>0</v>
      </c>
      <c r="G36" s="602">
        <f>'Vendas+PrestServ'!H8</f>
        <v>0</v>
      </c>
      <c r="H36" s="602">
        <f>'Vendas+PrestServ'!I8</f>
        <v>0</v>
      </c>
      <c r="I36" s="602">
        <f>'Vendas+PrestServ'!J8</f>
        <v>0</v>
      </c>
      <c r="J36" s="602">
        <f>'Vendas+PrestServ'!K8</f>
        <v>0</v>
      </c>
      <c r="K36" s="602">
        <f>'Vendas+PrestServ'!L8</f>
        <v>0</v>
      </c>
      <c r="L36" s="602">
        <f>'Vendas+PrestServ'!M8</f>
        <v>0</v>
      </c>
    </row>
    <row r="37" spans="2:12" x14ac:dyDescent="0.25">
      <c r="B37" s="615" t="s">
        <v>67</v>
      </c>
      <c r="C37" s="602">
        <f>'Vendas+PrestServ'!D16</f>
        <v>0</v>
      </c>
      <c r="D37" s="602">
        <f>'Vendas+PrestServ'!E16</f>
        <v>0</v>
      </c>
      <c r="E37" s="602">
        <f>'Vendas+PrestServ'!F16</f>
        <v>0</v>
      </c>
      <c r="F37" s="602">
        <f>'Vendas+PrestServ'!G16</f>
        <v>0</v>
      </c>
      <c r="G37" s="602">
        <f>'Vendas+PrestServ'!H16</f>
        <v>0</v>
      </c>
      <c r="H37" s="602">
        <f>'Vendas+PrestServ'!I16</f>
        <v>0</v>
      </c>
      <c r="I37" s="602">
        <f>'Vendas+PrestServ'!J16</f>
        <v>0</v>
      </c>
      <c r="J37" s="602">
        <f>'Vendas+PrestServ'!K16</f>
        <v>0</v>
      </c>
      <c r="K37" s="602">
        <f>'Vendas+PrestServ'!L16</f>
        <v>0</v>
      </c>
      <c r="L37" s="602">
        <f>'Vendas+PrestServ'!M16</f>
        <v>0</v>
      </c>
    </row>
    <row r="38" spans="2:12" x14ac:dyDescent="0.25">
      <c r="B38" s="616" t="s">
        <v>7</v>
      </c>
      <c r="C38" s="617">
        <f>'Vendas+PrestServ'!D27</f>
        <v>3690043.8344700006</v>
      </c>
      <c r="D38" s="617">
        <f>'Vendas+PrestServ'!E27</f>
        <v>3913291.4864554359</v>
      </c>
      <c r="E38" s="617">
        <f>'Vendas+PrestServ'!F27</f>
        <v>4150045.6213859897</v>
      </c>
      <c r="F38" s="617">
        <f>'Vendas+PrestServ'!G27</f>
        <v>4401123.3814798417</v>
      </c>
      <c r="G38" s="617">
        <f>'Vendas+PrestServ'!H27</f>
        <v>4489585.9614475863</v>
      </c>
      <c r="H38" s="617">
        <f>'Vendas+PrestServ'!I27</f>
        <v>4579826.6392726824</v>
      </c>
      <c r="I38" s="617">
        <f>'Vendas+PrestServ'!J27</f>
        <v>4671881.1547220629</v>
      </c>
      <c r="J38" s="617">
        <f>'Vendas+PrestServ'!K27</f>
        <v>4765785.9659319762</v>
      </c>
      <c r="K38" s="617">
        <f>'Vendas+PrestServ'!L27</f>
        <v>4861578.2638472086</v>
      </c>
      <c r="L38" s="617">
        <f>'Vendas+PrestServ'!M27</f>
        <v>4959295.9869505381</v>
      </c>
    </row>
    <row r="41" spans="2:12" x14ac:dyDescent="0.25">
      <c r="C41" s="1833">
        <f>+C29/C5</f>
        <v>6.7066047678269354E-3</v>
      </c>
      <c r="D41" s="1833">
        <f t="shared" ref="D41:L41" si="8">+D29/D5</f>
        <v>1.2630785467600552E-2</v>
      </c>
      <c r="E41" s="1833">
        <f t="shared" si="8"/>
        <v>1.068315489687998E-2</v>
      </c>
      <c r="F41" s="1833">
        <f t="shared" si="8"/>
        <v>1.2677902780856959E-2</v>
      </c>
      <c r="G41" s="1833">
        <f t="shared" si="8"/>
        <v>1.2785950748838024E-2</v>
      </c>
      <c r="H41" s="1833">
        <f t="shared" si="8"/>
        <v>1.4029296542282863E-2</v>
      </c>
      <c r="I41" s="1833">
        <f t="shared" si="8"/>
        <v>1.4100370868604172E-2</v>
      </c>
      <c r="J41" s="1833">
        <f t="shared" si="8"/>
        <v>1.4170137926154047E-2</v>
      </c>
      <c r="K41" s="1833">
        <f t="shared" si="8"/>
        <v>1.6060431534795305E-2</v>
      </c>
      <c r="L41" s="1833">
        <f t="shared" si="8"/>
        <v>1.6091763978903544E-2</v>
      </c>
    </row>
  </sheetData>
  <mergeCells count="2">
    <mergeCell ref="B2:L2"/>
    <mergeCell ref="C3:H3"/>
  </mergeCells>
  <printOptions horizontalCentered="1" verticalCentered="1"/>
  <pageMargins left="0" right="0" top="0" bottom="0" header="0" footer="0"/>
  <pageSetup paperSize="9" scale="8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20">
    <tabColor theme="1" tint="0.499984740745262"/>
    <pageSetUpPr fitToPage="1"/>
  </sheetPr>
  <dimension ref="A1:DS88"/>
  <sheetViews>
    <sheetView zoomScaleNormal="100" workbookViewId="0">
      <pane xSplit="1" ySplit="5" topLeftCell="B61" activePane="bottomRight" state="frozen"/>
      <selection activeCell="P37" sqref="P37"/>
      <selection pane="topRight" activeCell="P37" sqref="P37"/>
      <selection pane="bottomLeft" activeCell="P37" sqref="P37"/>
      <selection pane="bottomRight" activeCell="E71" sqref="E71"/>
    </sheetView>
  </sheetViews>
  <sheetFormatPr defaultColWidth="9.140625" defaultRowHeight="11.25" x14ac:dyDescent="0.25"/>
  <cols>
    <col min="1" max="1" width="1.140625" style="13" customWidth="1"/>
    <col min="2" max="2" width="38.42578125" style="13" customWidth="1"/>
    <col min="3" max="3" width="12.42578125" style="13" bestFit="1" customWidth="1"/>
    <col min="4" max="12" width="13.140625" style="13" bestFit="1" customWidth="1"/>
    <col min="13" max="16384" width="9.140625" style="13"/>
  </cols>
  <sheetData>
    <row r="1" spans="1:123" x14ac:dyDescent="0.2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3" x14ac:dyDescent="0.25">
      <c r="A2" s="75"/>
      <c r="B2" s="1989" t="s">
        <v>69</v>
      </c>
      <c r="C2" s="1990"/>
      <c r="D2" s="1990"/>
      <c r="E2" s="1990"/>
      <c r="F2" s="1990"/>
      <c r="G2" s="1990"/>
      <c r="H2" s="1990"/>
      <c r="I2" s="1990"/>
      <c r="J2" s="1990"/>
      <c r="K2" s="1990"/>
      <c r="L2" s="1990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</row>
    <row r="3" spans="1:123" x14ac:dyDescent="0.25">
      <c r="A3" s="75"/>
      <c r="B3" s="1991" t="s">
        <v>70</v>
      </c>
      <c r="C3" s="1992"/>
      <c r="D3" s="1992"/>
      <c r="E3" s="1992"/>
      <c r="F3" s="1992"/>
      <c r="G3" s="1992"/>
      <c r="H3" s="1992"/>
      <c r="I3" s="1992"/>
      <c r="J3" s="1992"/>
      <c r="K3" s="1992"/>
      <c r="L3" s="199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</row>
    <row r="4" spans="1:123" x14ac:dyDescent="0.25">
      <c r="A4" s="75"/>
      <c r="B4" s="1993" t="s">
        <v>36</v>
      </c>
      <c r="C4" s="1987">
        <f>Pressupostos!C11</f>
        <v>2020</v>
      </c>
      <c r="D4" s="1987">
        <f>C4+1</f>
        <v>2021</v>
      </c>
      <c r="E4" s="1987">
        <f t="shared" ref="E4:K4" si="0">D4+1</f>
        <v>2022</v>
      </c>
      <c r="F4" s="1987">
        <f t="shared" si="0"/>
        <v>2023</v>
      </c>
      <c r="G4" s="1987">
        <f t="shared" si="0"/>
        <v>2024</v>
      </c>
      <c r="H4" s="1987">
        <f t="shared" si="0"/>
        <v>2025</v>
      </c>
      <c r="I4" s="1987">
        <f t="shared" si="0"/>
        <v>2026</v>
      </c>
      <c r="J4" s="1987">
        <f t="shared" si="0"/>
        <v>2027</v>
      </c>
      <c r="K4" s="1987">
        <f t="shared" si="0"/>
        <v>2028</v>
      </c>
      <c r="L4" s="1987">
        <f>K4+1</f>
        <v>2029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</row>
    <row r="5" spans="1:123" x14ac:dyDescent="0.25">
      <c r="A5" s="75"/>
      <c r="B5" s="1994"/>
      <c r="C5" s="1988"/>
      <c r="D5" s="1988"/>
      <c r="E5" s="1988"/>
      <c r="F5" s="1988"/>
      <c r="G5" s="1988"/>
      <c r="H5" s="1988"/>
      <c r="I5" s="1988"/>
      <c r="J5" s="1988"/>
      <c r="K5" s="1988"/>
      <c r="L5" s="1988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</row>
    <row r="6" spans="1:123" ht="12" x14ac:dyDescent="0.25">
      <c r="A6" s="75"/>
      <c r="B6" s="823" t="s">
        <v>71</v>
      </c>
      <c r="C6" s="824"/>
      <c r="D6" s="824"/>
      <c r="E6" s="824"/>
      <c r="F6" s="824"/>
      <c r="G6" s="824"/>
      <c r="H6" s="824"/>
      <c r="I6" s="824"/>
      <c r="J6" s="824"/>
      <c r="K6" s="824"/>
      <c r="L6" s="825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</row>
    <row r="7" spans="1:123" ht="12" x14ac:dyDescent="0.25">
      <c r="A7" s="75"/>
      <c r="B7" s="823" t="s">
        <v>72</v>
      </c>
      <c r="C7" s="824"/>
      <c r="D7" s="824"/>
      <c r="E7" s="824"/>
      <c r="F7" s="824"/>
      <c r="G7" s="824"/>
      <c r="H7" s="824"/>
      <c r="I7" s="824"/>
      <c r="J7" s="824"/>
      <c r="K7" s="824"/>
      <c r="L7" s="825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</row>
    <row r="8" spans="1:123" s="251" customFormat="1" x14ac:dyDescent="0.25">
      <c r="B8" s="1631" t="s">
        <v>73</v>
      </c>
      <c r="C8" s="606">
        <f>Balanço!E7+PlanoInvest!C96-(Amortização!E109-Amortização!D109)+'DR Empresa'!C18</f>
        <v>76162.716</v>
      </c>
      <c r="D8" s="606">
        <f>C8+PlanoInvest!D96-(Amortização!F109-Amortização!E109)+'DR Empresa'!D18</f>
        <v>97700.191999999995</v>
      </c>
      <c r="E8" s="606">
        <f>D8+PlanoInvest!E96-(Amortização!G109-Amortização!F109)+'DR Empresa'!E18</f>
        <v>79237.668000000005</v>
      </c>
      <c r="F8" s="606">
        <f>E8+PlanoInvest!F96-(Amortização!H109-Amortização!G109)+'DR Empresa'!F18</f>
        <v>60775.144</v>
      </c>
      <c r="G8" s="606">
        <f>F8+PlanoInvest!G96-(Amortização!I109-Amortização!H109)+'DR Empresa'!G18</f>
        <v>42312.619999999995</v>
      </c>
      <c r="H8" s="606">
        <f>G8+PlanoInvest!H96-(Amortização!J109-Amortização!I109)+'DR Empresa'!H18</f>
        <v>33850.09599999999</v>
      </c>
      <c r="I8" s="606">
        <f>H8+PlanoInvest!I96-(Amortização!K109-Amortização!J109)+'DR Empresa'!I18</f>
        <v>25387.571999999986</v>
      </c>
      <c r="J8" s="606">
        <f>I8+PlanoInvest!J96-(Amortização!L109-Amortização!K109)+'DR Empresa'!J18</f>
        <v>16925.047999999981</v>
      </c>
      <c r="K8" s="606">
        <f>J8+PlanoInvest!K96-(Amortização!M109-Amortização!L109)+'DR Empresa'!K18</f>
        <v>8462.5239999999758</v>
      </c>
      <c r="L8" s="606">
        <f>K8+PlanoInvest!L96-(Amortização!N109-Amortização!M109)+'DR Empresa'!L18</f>
        <v>-2.9103830456733704E-11</v>
      </c>
    </row>
    <row r="9" spans="1:123" s="251" customFormat="1" x14ac:dyDescent="0.25">
      <c r="B9" s="1632" t="s">
        <v>74</v>
      </c>
      <c r="C9" s="83">
        <f>Balanço!E8</f>
        <v>102152.86</v>
      </c>
      <c r="D9" s="83">
        <f>C9</f>
        <v>102152.86</v>
      </c>
      <c r="E9" s="83">
        <f t="shared" ref="E9:L10" si="1">D9</f>
        <v>102152.86</v>
      </c>
      <c r="F9" s="83">
        <f t="shared" si="1"/>
        <v>102152.86</v>
      </c>
      <c r="G9" s="83">
        <f t="shared" si="1"/>
        <v>102152.86</v>
      </c>
      <c r="H9" s="83">
        <f t="shared" si="1"/>
        <v>102152.86</v>
      </c>
      <c r="I9" s="83">
        <f t="shared" si="1"/>
        <v>102152.86</v>
      </c>
      <c r="J9" s="83">
        <f t="shared" si="1"/>
        <v>102152.86</v>
      </c>
      <c r="K9" s="83">
        <f t="shared" si="1"/>
        <v>102152.86</v>
      </c>
      <c r="L9" s="83">
        <f t="shared" si="1"/>
        <v>102152.86</v>
      </c>
    </row>
    <row r="10" spans="1:123" s="251" customFormat="1" x14ac:dyDescent="0.25">
      <c r="B10" s="1632" t="s">
        <v>75</v>
      </c>
      <c r="C10" s="83">
        <f>Balanço!E9</f>
        <v>0</v>
      </c>
      <c r="D10" s="83">
        <f>C10</f>
        <v>0</v>
      </c>
      <c r="E10" s="83">
        <f t="shared" si="1"/>
        <v>0</v>
      </c>
      <c r="F10" s="83">
        <f t="shared" si="1"/>
        <v>0</v>
      </c>
      <c r="G10" s="83">
        <f t="shared" si="1"/>
        <v>0</v>
      </c>
      <c r="H10" s="83">
        <f t="shared" si="1"/>
        <v>0</v>
      </c>
      <c r="I10" s="83">
        <f t="shared" si="1"/>
        <v>0</v>
      </c>
      <c r="J10" s="83">
        <f t="shared" si="1"/>
        <v>0</v>
      </c>
      <c r="K10" s="83">
        <f t="shared" si="1"/>
        <v>0</v>
      </c>
      <c r="L10" s="83">
        <f t="shared" si="1"/>
        <v>0</v>
      </c>
    </row>
    <row r="11" spans="1:123" s="251" customFormat="1" x14ac:dyDescent="0.25">
      <c r="B11" s="1632" t="s">
        <v>76</v>
      </c>
      <c r="C11" s="83">
        <f>Balanço!E10+PlanoInvest!C98-(Amortização!E111-Amortização!D111)</f>
        <v>0</v>
      </c>
      <c r="D11" s="83">
        <f>C11+PlanoInvest!D98-(Amortização!F111-Amortização!E111)</f>
        <v>0</v>
      </c>
      <c r="E11" s="83">
        <f>D11+PlanoInvest!E98-(Amortização!G111-Amortização!F111)</f>
        <v>0</v>
      </c>
      <c r="F11" s="83">
        <f>E11+PlanoInvest!F98-(Amortização!H111-Amortização!G111)</f>
        <v>0</v>
      </c>
      <c r="G11" s="83">
        <f>F11+PlanoInvest!G98-(Amortização!I111-Amortização!H111)</f>
        <v>0</v>
      </c>
      <c r="H11" s="83">
        <f>G11+PlanoInvest!H98-(Amortização!J111-Amortização!I111)</f>
        <v>0</v>
      </c>
      <c r="I11" s="83">
        <f>H11+PlanoInvest!I98-(Amortização!K111-Amortização!J111)</f>
        <v>0</v>
      </c>
      <c r="J11" s="83">
        <f>I11+PlanoInvest!J98-(Amortização!L111-Amortização!K111)</f>
        <v>0</v>
      </c>
      <c r="K11" s="83">
        <f>J11+PlanoInvest!K98-(Amortização!M111-Amortização!L111)</f>
        <v>0</v>
      </c>
      <c r="L11" s="83">
        <f>K11+PlanoInvest!L98-(Amortização!N111-Amortização!M111)</f>
        <v>0</v>
      </c>
    </row>
    <row r="12" spans="1:123" s="251" customFormat="1" x14ac:dyDescent="0.25">
      <c r="B12" s="1632" t="s">
        <v>77</v>
      </c>
      <c r="C12" s="83">
        <f>Balanço!E11+PlanoInvest!C97-(Amortização!E110-Amortização!D110)</f>
        <v>0</v>
      </c>
      <c r="D12" s="83">
        <f>C12+PlanoInvest!D97-(Amortização!F110-Amortização!E110)</f>
        <v>0</v>
      </c>
      <c r="E12" s="83">
        <f>D12+PlanoInvest!E97-(Amortização!G110-Amortização!F110)</f>
        <v>0</v>
      </c>
      <c r="F12" s="83">
        <f>E12+PlanoInvest!F97-(Amortização!H110-Amortização!G110)</f>
        <v>0</v>
      </c>
      <c r="G12" s="83">
        <f>F12+PlanoInvest!G97-(Amortização!I110-Amortização!H110)</f>
        <v>0</v>
      </c>
      <c r="H12" s="83">
        <f>G12+PlanoInvest!H97-(Amortização!J110-Amortização!I110)</f>
        <v>0</v>
      </c>
      <c r="I12" s="83">
        <f>H12+PlanoInvest!I97-(Amortização!K110-Amortização!J110)</f>
        <v>0</v>
      </c>
      <c r="J12" s="83">
        <f>I12+PlanoInvest!J97-(Amortização!L110-Amortização!K110)</f>
        <v>0</v>
      </c>
      <c r="K12" s="83">
        <f>J12+PlanoInvest!K97-(Amortização!M110-Amortização!L110)</f>
        <v>0</v>
      </c>
      <c r="L12" s="83">
        <f>K12+PlanoInvest!L97-(Amortização!N110-Amortização!M110)</f>
        <v>0</v>
      </c>
    </row>
    <row r="13" spans="1:123" s="251" customFormat="1" x14ac:dyDescent="0.25">
      <c r="B13" s="1632" t="s">
        <v>78</v>
      </c>
      <c r="C13" s="83">
        <f>Balanço!E12</f>
        <v>0</v>
      </c>
      <c r="D13" s="83">
        <f>C13</f>
        <v>0</v>
      </c>
      <c r="E13" s="83">
        <f t="shared" ref="E13:L15" si="2">D13</f>
        <v>0</v>
      </c>
      <c r="F13" s="83">
        <f t="shared" si="2"/>
        <v>0</v>
      </c>
      <c r="G13" s="83">
        <f t="shared" si="2"/>
        <v>0</v>
      </c>
      <c r="H13" s="83">
        <f t="shared" si="2"/>
        <v>0</v>
      </c>
      <c r="I13" s="83">
        <f t="shared" si="2"/>
        <v>0</v>
      </c>
      <c r="J13" s="83">
        <f t="shared" si="2"/>
        <v>0</v>
      </c>
      <c r="K13" s="83">
        <f t="shared" si="2"/>
        <v>0</v>
      </c>
      <c r="L13" s="83">
        <f t="shared" si="2"/>
        <v>0</v>
      </c>
    </row>
    <row r="14" spans="1:123" s="251" customFormat="1" x14ac:dyDescent="0.25">
      <c r="B14" s="1632" t="s">
        <v>79</v>
      </c>
      <c r="C14" s="83">
        <f>Balanço!E13</f>
        <v>0</v>
      </c>
      <c r="D14" s="83">
        <f>C14</f>
        <v>0</v>
      </c>
      <c r="E14" s="83">
        <f t="shared" si="2"/>
        <v>0</v>
      </c>
      <c r="F14" s="83">
        <f t="shared" si="2"/>
        <v>0</v>
      </c>
      <c r="G14" s="83">
        <f t="shared" si="2"/>
        <v>0</v>
      </c>
      <c r="H14" s="83">
        <f t="shared" si="2"/>
        <v>0</v>
      </c>
      <c r="I14" s="83">
        <f t="shared" si="2"/>
        <v>0</v>
      </c>
      <c r="J14" s="83">
        <f t="shared" si="2"/>
        <v>0</v>
      </c>
      <c r="K14" s="83">
        <f t="shared" si="2"/>
        <v>0</v>
      </c>
      <c r="L14" s="83">
        <f t="shared" si="2"/>
        <v>0</v>
      </c>
    </row>
    <row r="15" spans="1:123" s="251" customFormat="1" x14ac:dyDescent="0.25">
      <c r="B15" s="1632" t="s">
        <v>80</v>
      </c>
      <c r="C15" s="83">
        <f>Balanço!E14</f>
        <v>0</v>
      </c>
      <c r="D15" s="83">
        <f>C15</f>
        <v>0</v>
      </c>
      <c r="E15" s="83">
        <f t="shared" si="2"/>
        <v>0</v>
      </c>
      <c r="F15" s="83">
        <f t="shared" si="2"/>
        <v>0</v>
      </c>
      <c r="G15" s="83">
        <f t="shared" si="2"/>
        <v>0</v>
      </c>
      <c r="H15" s="83">
        <f t="shared" si="2"/>
        <v>0</v>
      </c>
      <c r="I15" s="83">
        <f t="shared" si="2"/>
        <v>0</v>
      </c>
      <c r="J15" s="83">
        <f t="shared" si="2"/>
        <v>0</v>
      </c>
      <c r="K15" s="83">
        <f t="shared" si="2"/>
        <v>0</v>
      </c>
      <c r="L15" s="83">
        <f t="shared" si="2"/>
        <v>0</v>
      </c>
    </row>
    <row r="16" spans="1:123" s="251" customFormat="1" x14ac:dyDescent="0.25">
      <c r="B16" s="1632" t="s">
        <v>81</v>
      </c>
      <c r="C16" s="83">
        <f>Balanço!E15+PlanoInvest!C99</f>
        <v>347.82</v>
      </c>
      <c r="D16" s="83">
        <f>C16+PlanoInvest!D99</f>
        <v>347.82</v>
      </c>
      <c r="E16" s="83">
        <f>D16+PlanoInvest!E99</f>
        <v>347.82</v>
      </c>
      <c r="F16" s="83">
        <f>E16+PlanoInvest!F99</f>
        <v>347.82</v>
      </c>
      <c r="G16" s="83">
        <f>F16+PlanoInvest!G99</f>
        <v>347.82</v>
      </c>
      <c r="H16" s="83">
        <f>G16+PlanoInvest!H99</f>
        <v>347.82</v>
      </c>
      <c r="I16" s="83">
        <f>H16+PlanoInvest!I99</f>
        <v>347.82</v>
      </c>
      <c r="J16" s="83">
        <f>I16+PlanoInvest!J99</f>
        <v>347.82</v>
      </c>
      <c r="K16" s="83">
        <f>J16+PlanoInvest!K99</f>
        <v>347.82</v>
      </c>
      <c r="L16" s="83">
        <f>K16+PlanoInvest!L99</f>
        <v>347.82</v>
      </c>
    </row>
    <row r="17" spans="2:12" s="251" customFormat="1" x14ac:dyDescent="0.25">
      <c r="B17" s="1632" t="s">
        <v>82</v>
      </c>
      <c r="C17" s="83">
        <f>Balanço!E16</f>
        <v>0</v>
      </c>
      <c r="D17" s="83">
        <f>C17</f>
        <v>0</v>
      </c>
      <c r="E17" s="83">
        <f t="shared" ref="E17:L18" si="3">D17</f>
        <v>0</v>
      </c>
      <c r="F17" s="83">
        <f t="shared" si="3"/>
        <v>0</v>
      </c>
      <c r="G17" s="83">
        <f t="shared" si="3"/>
        <v>0</v>
      </c>
      <c r="H17" s="83">
        <f t="shared" si="3"/>
        <v>0</v>
      </c>
      <c r="I17" s="83">
        <f t="shared" si="3"/>
        <v>0</v>
      </c>
      <c r="J17" s="83">
        <f t="shared" si="3"/>
        <v>0</v>
      </c>
      <c r="K17" s="83">
        <f t="shared" si="3"/>
        <v>0</v>
      </c>
      <c r="L17" s="83">
        <f t="shared" si="3"/>
        <v>0</v>
      </c>
    </row>
    <row r="18" spans="2:12" s="251" customFormat="1" x14ac:dyDescent="0.25">
      <c r="B18" s="1633" t="s">
        <v>83</v>
      </c>
      <c r="C18" s="620">
        <f>Balanço!E17</f>
        <v>0</v>
      </c>
      <c r="D18" s="620">
        <f>C18</f>
        <v>0</v>
      </c>
      <c r="E18" s="620">
        <f t="shared" si="3"/>
        <v>0</v>
      </c>
      <c r="F18" s="620">
        <f t="shared" si="3"/>
        <v>0</v>
      </c>
      <c r="G18" s="620">
        <f t="shared" si="3"/>
        <v>0</v>
      </c>
      <c r="H18" s="620">
        <f t="shared" si="3"/>
        <v>0</v>
      </c>
      <c r="I18" s="620">
        <f t="shared" si="3"/>
        <v>0</v>
      </c>
      <c r="J18" s="620">
        <f t="shared" si="3"/>
        <v>0</v>
      </c>
      <c r="K18" s="620">
        <f t="shared" si="3"/>
        <v>0</v>
      </c>
      <c r="L18" s="620">
        <f t="shared" si="3"/>
        <v>0</v>
      </c>
    </row>
    <row r="19" spans="2:12" ht="13.5" x14ac:dyDescent="0.25">
      <c r="B19" s="826" t="s">
        <v>84</v>
      </c>
      <c r="C19" s="80">
        <f t="shared" ref="C19:L19" si="4">SUM(C8:C18)</f>
        <v>178663.39600000001</v>
      </c>
      <c r="D19" s="80">
        <f t="shared" si="4"/>
        <v>200200.872</v>
      </c>
      <c r="E19" s="80">
        <f t="shared" si="4"/>
        <v>181738.348</v>
      </c>
      <c r="F19" s="80">
        <f t="shared" si="4"/>
        <v>163275.82400000002</v>
      </c>
      <c r="G19" s="80">
        <f t="shared" si="4"/>
        <v>144813.29999999999</v>
      </c>
      <c r="H19" s="80">
        <f t="shared" si="4"/>
        <v>136350.77600000001</v>
      </c>
      <c r="I19" s="80">
        <f t="shared" si="4"/>
        <v>127888.25199999999</v>
      </c>
      <c r="J19" s="80">
        <f t="shared" si="4"/>
        <v>119425.72799999999</v>
      </c>
      <c r="K19" s="80">
        <f t="shared" si="4"/>
        <v>110963.20399999998</v>
      </c>
      <c r="L19" s="80">
        <f t="shared" si="4"/>
        <v>102500.67999999998</v>
      </c>
    </row>
    <row r="20" spans="2:12" ht="12" x14ac:dyDescent="0.25">
      <c r="B20" s="827" t="s">
        <v>85</v>
      </c>
      <c r="C20" s="828"/>
      <c r="D20" s="828"/>
      <c r="E20" s="828"/>
      <c r="F20" s="828"/>
      <c r="G20" s="828"/>
      <c r="H20" s="828"/>
      <c r="I20" s="828"/>
      <c r="J20" s="828"/>
      <c r="K20" s="828"/>
      <c r="L20" s="829"/>
    </row>
    <row r="21" spans="2:12" x14ac:dyDescent="0.25">
      <c r="B21" s="843" t="s">
        <v>86</v>
      </c>
      <c r="C21" s="606">
        <f>FM!H6</f>
        <v>241390.36750491254</v>
      </c>
      <c r="D21" s="606">
        <f>FM!I6</f>
        <v>255994.48473895979</v>
      </c>
      <c r="E21" s="606">
        <f>FM!J6</f>
        <v>269752.96539008938</v>
      </c>
      <c r="F21" s="606">
        <f>FM!K6</f>
        <v>286073.01979618974</v>
      </c>
      <c r="G21" s="606">
        <f>FM!L6</f>
        <v>291823.08749409311</v>
      </c>
      <c r="H21" s="606">
        <f>FM!M6</f>
        <v>297688.73155272438</v>
      </c>
      <c r="I21" s="606">
        <f>FM!N6</f>
        <v>303672.2750569341</v>
      </c>
      <c r="J21" s="606">
        <f>FM!O6</f>
        <v>309776.08778557845</v>
      </c>
      <c r="K21" s="606">
        <f>FM!P6</f>
        <v>316002.5871500686</v>
      </c>
      <c r="L21" s="606">
        <f>FM!Q6</f>
        <v>322354.23915178498</v>
      </c>
    </row>
    <row r="22" spans="2:12" x14ac:dyDescent="0.25">
      <c r="B22" s="844" t="s">
        <v>77</v>
      </c>
      <c r="C22" s="83">
        <f>Balanço!E21</f>
        <v>0</v>
      </c>
      <c r="D22" s="83">
        <f>C22</f>
        <v>0</v>
      </c>
      <c r="E22" s="83">
        <f t="shared" ref="E22:L22" si="5">D22</f>
        <v>0</v>
      </c>
      <c r="F22" s="83">
        <f t="shared" si="5"/>
        <v>0</v>
      </c>
      <c r="G22" s="83">
        <f t="shared" si="5"/>
        <v>0</v>
      </c>
      <c r="H22" s="83">
        <f t="shared" si="5"/>
        <v>0</v>
      </c>
      <c r="I22" s="83">
        <f t="shared" si="5"/>
        <v>0</v>
      </c>
      <c r="J22" s="83">
        <f t="shared" si="5"/>
        <v>0</v>
      </c>
      <c r="K22" s="83">
        <f t="shared" si="5"/>
        <v>0</v>
      </c>
      <c r="L22" s="83">
        <f t="shared" si="5"/>
        <v>0</v>
      </c>
    </row>
    <row r="23" spans="2:12" x14ac:dyDescent="0.25">
      <c r="B23" s="844" t="s">
        <v>87</v>
      </c>
      <c r="C23" s="83">
        <f>FM!H7</f>
        <v>1134688.4790995251</v>
      </c>
      <c r="D23" s="83">
        <f>FM!I7</f>
        <v>1203337.1320850465</v>
      </c>
      <c r="E23" s="83">
        <f>FM!J7</f>
        <v>1276139.0285761917</v>
      </c>
      <c r="F23" s="83">
        <f>FM!K7</f>
        <v>1353345.4398050513</v>
      </c>
      <c r="G23" s="83">
        <f>FM!L7</f>
        <v>1380547.6831451328</v>
      </c>
      <c r="H23" s="83">
        <f>FM!M7</f>
        <v>1408296.6915763498</v>
      </c>
      <c r="I23" s="83">
        <f>FM!N7</f>
        <v>1436603.4550770344</v>
      </c>
      <c r="J23" s="83">
        <f>FM!O7</f>
        <v>1465479.1845240826</v>
      </c>
      <c r="K23" s="83">
        <f>FM!P7</f>
        <v>1494935.3161330167</v>
      </c>
      <c r="L23" s="83">
        <f>FM!Q7</f>
        <v>1524983.5159872905</v>
      </c>
    </row>
    <row r="24" spans="2:12" x14ac:dyDescent="0.25">
      <c r="B24" s="844" t="s">
        <v>88</v>
      </c>
      <c r="C24" s="83">
        <f>FM!H8</f>
        <v>0</v>
      </c>
      <c r="D24" s="83">
        <f>FM!I8</f>
        <v>0</v>
      </c>
      <c r="E24" s="83">
        <f>FM!J8</f>
        <v>0</v>
      </c>
      <c r="F24" s="83">
        <f>FM!K8</f>
        <v>0</v>
      </c>
      <c r="G24" s="83">
        <f>FM!L8</f>
        <v>0</v>
      </c>
      <c r="H24" s="83">
        <f>FM!M8</f>
        <v>0</v>
      </c>
      <c r="I24" s="83">
        <f>FM!N8</f>
        <v>0</v>
      </c>
      <c r="J24" s="83">
        <f>FM!O8</f>
        <v>0</v>
      </c>
      <c r="K24" s="83">
        <f>FM!P8</f>
        <v>0</v>
      </c>
      <c r="L24" s="83">
        <f>FM!Q8</f>
        <v>0</v>
      </c>
    </row>
    <row r="25" spans="2:12" x14ac:dyDescent="0.25">
      <c r="B25" s="844" t="s">
        <v>89</v>
      </c>
      <c r="C25" s="83">
        <f>IVA!C18</f>
        <v>0</v>
      </c>
      <c r="D25" s="83">
        <f>IVA!D18</f>
        <v>0</v>
      </c>
      <c r="E25" s="83">
        <f>IVA!E18</f>
        <v>0</v>
      </c>
      <c r="F25" s="83">
        <f>IVA!F18</f>
        <v>0</v>
      </c>
      <c r="G25" s="83">
        <f>IVA!G18</f>
        <v>0</v>
      </c>
      <c r="H25" s="83">
        <f>IVA!H18</f>
        <v>0</v>
      </c>
      <c r="I25" s="83">
        <f>IVA!I18</f>
        <v>0</v>
      </c>
      <c r="J25" s="83">
        <f>IVA!J18</f>
        <v>0</v>
      </c>
      <c r="K25" s="83">
        <f>IVA!K18</f>
        <v>0</v>
      </c>
      <c r="L25" s="83">
        <f>IVA!L18</f>
        <v>0</v>
      </c>
    </row>
    <row r="26" spans="2:12" x14ac:dyDescent="0.25">
      <c r="B26" s="844" t="s">
        <v>80</v>
      </c>
      <c r="C26" s="83">
        <f>Balanço!E25-OrçTesouraria!C36</f>
        <v>0</v>
      </c>
      <c r="D26" s="83">
        <f t="shared" ref="D26:D32" si="6">C26</f>
        <v>0</v>
      </c>
      <c r="E26" s="83">
        <f t="shared" ref="E26:L32" si="7">D26</f>
        <v>0</v>
      </c>
      <c r="F26" s="83">
        <f t="shared" si="7"/>
        <v>0</v>
      </c>
      <c r="G26" s="83">
        <f t="shared" si="7"/>
        <v>0</v>
      </c>
      <c r="H26" s="83">
        <f t="shared" si="7"/>
        <v>0</v>
      </c>
      <c r="I26" s="83">
        <f t="shared" si="7"/>
        <v>0</v>
      </c>
      <c r="J26" s="83">
        <f t="shared" si="7"/>
        <v>0</v>
      </c>
      <c r="K26" s="83">
        <f t="shared" si="7"/>
        <v>0</v>
      </c>
      <c r="L26" s="83">
        <f t="shared" si="7"/>
        <v>0</v>
      </c>
    </row>
    <row r="27" spans="2:12" x14ac:dyDescent="0.25">
      <c r="B27" s="844" t="s">
        <v>90</v>
      </c>
      <c r="C27" s="83">
        <f>Balanço!E26</f>
        <v>80826.210000000006</v>
      </c>
      <c r="D27" s="83">
        <f t="shared" si="6"/>
        <v>80826.210000000006</v>
      </c>
      <c r="E27" s="83">
        <f t="shared" si="7"/>
        <v>80826.210000000006</v>
      </c>
      <c r="F27" s="83">
        <f t="shared" si="7"/>
        <v>80826.210000000006</v>
      </c>
      <c r="G27" s="83">
        <f t="shared" si="7"/>
        <v>80826.210000000006</v>
      </c>
      <c r="H27" s="83">
        <f t="shared" si="7"/>
        <v>80826.210000000006</v>
      </c>
      <c r="I27" s="83">
        <f t="shared" si="7"/>
        <v>80826.210000000006</v>
      </c>
      <c r="J27" s="83">
        <f t="shared" si="7"/>
        <v>80826.210000000006</v>
      </c>
      <c r="K27" s="83">
        <f t="shared" si="7"/>
        <v>80826.210000000006</v>
      </c>
      <c r="L27" s="83">
        <f t="shared" si="7"/>
        <v>80826.210000000006</v>
      </c>
    </row>
    <row r="28" spans="2:12" x14ac:dyDescent="0.25">
      <c r="B28" s="844" t="s">
        <v>91</v>
      </c>
      <c r="C28" s="83">
        <f>Balanço!E27</f>
        <v>955.33</v>
      </c>
      <c r="D28" s="83">
        <f t="shared" si="6"/>
        <v>955.33</v>
      </c>
      <c r="E28" s="83">
        <f t="shared" si="7"/>
        <v>955.33</v>
      </c>
      <c r="F28" s="83">
        <f t="shared" si="7"/>
        <v>955.33</v>
      </c>
      <c r="G28" s="83">
        <f t="shared" si="7"/>
        <v>955.33</v>
      </c>
      <c r="H28" s="83">
        <f t="shared" si="7"/>
        <v>955.33</v>
      </c>
      <c r="I28" s="83">
        <f t="shared" si="7"/>
        <v>955.33</v>
      </c>
      <c r="J28" s="83">
        <f t="shared" si="7"/>
        <v>955.33</v>
      </c>
      <c r="K28" s="83">
        <f t="shared" si="7"/>
        <v>955.33</v>
      </c>
      <c r="L28" s="83">
        <f t="shared" si="7"/>
        <v>955.33</v>
      </c>
    </row>
    <row r="29" spans="2:12" x14ac:dyDescent="0.25">
      <c r="B29" s="844" t="s">
        <v>92</v>
      </c>
      <c r="C29" s="83">
        <f>Balanço!E28</f>
        <v>0</v>
      </c>
      <c r="D29" s="83">
        <f t="shared" si="6"/>
        <v>0</v>
      </c>
      <c r="E29" s="83">
        <f t="shared" si="7"/>
        <v>0</v>
      </c>
      <c r="F29" s="83">
        <f t="shared" si="7"/>
        <v>0</v>
      </c>
      <c r="G29" s="83">
        <f t="shared" si="7"/>
        <v>0</v>
      </c>
      <c r="H29" s="83">
        <f t="shared" si="7"/>
        <v>0</v>
      </c>
      <c r="I29" s="83">
        <f t="shared" si="7"/>
        <v>0</v>
      </c>
      <c r="J29" s="83">
        <f t="shared" si="7"/>
        <v>0</v>
      </c>
      <c r="K29" s="83">
        <f t="shared" si="7"/>
        <v>0</v>
      </c>
      <c r="L29" s="83">
        <f t="shared" si="7"/>
        <v>0</v>
      </c>
    </row>
    <row r="30" spans="2:12" x14ac:dyDescent="0.25">
      <c r="B30" s="844" t="s">
        <v>81</v>
      </c>
      <c r="C30" s="83">
        <f>Balanço!E29</f>
        <v>0</v>
      </c>
      <c r="D30" s="83">
        <f t="shared" si="6"/>
        <v>0</v>
      </c>
      <c r="E30" s="83">
        <f t="shared" si="7"/>
        <v>0</v>
      </c>
      <c r="F30" s="83">
        <f t="shared" si="7"/>
        <v>0</v>
      </c>
      <c r="G30" s="83">
        <f t="shared" si="7"/>
        <v>0</v>
      </c>
      <c r="H30" s="83">
        <f t="shared" si="7"/>
        <v>0</v>
      </c>
      <c r="I30" s="83">
        <f t="shared" si="7"/>
        <v>0</v>
      </c>
      <c r="J30" s="83">
        <f t="shared" si="7"/>
        <v>0</v>
      </c>
      <c r="K30" s="83">
        <f t="shared" si="7"/>
        <v>0</v>
      </c>
      <c r="L30" s="83">
        <f t="shared" si="7"/>
        <v>0</v>
      </c>
    </row>
    <row r="31" spans="2:12" x14ac:dyDescent="0.25">
      <c r="B31" s="844" t="s">
        <v>93</v>
      </c>
      <c r="C31" s="83">
        <f>Balanço!E30</f>
        <v>0</v>
      </c>
      <c r="D31" s="83">
        <f t="shared" si="6"/>
        <v>0</v>
      </c>
      <c r="E31" s="83">
        <f t="shared" si="7"/>
        <v>0</v>
      </c>
      <c r="F31" s="83">
        <f t="shared" si="7"/>
        <v>0</v>
      </c>
      <c r="G31" s="83">
        <f t="shared" si="7"/>
        <v>0</v>
      </c>
      <c r="H31" s="83">
        <f t="shared" si="7"/>
        <v>0</v>
      </c>
      <c r="I31" s="83">
        <f t="shared" si="7"/>
        <v>0</v>
      </c>
      <c r="J31" s="83">
        <f t="shared" si="7"/>
        <v>0</v>
      </c>
      <c r="K31" s="83">
        <f t="shared" si="7"/>
        <v>0</v>
      </c>
      <c r="L31" s="83">
        <f t="shared" si="7"/>
        <v>0</v>
      </c>
    </row>
    <row r="32" spans="2:12" x14ac:dyDescent="0.25">
      <c r="B32" s="844" t="s">
        <v>94</v>
      </c>
      <c r="C32" s="83">
        <f>Balanço!E31</f>
        <v>0</v>
      </c>
      <c r="D32" s="83">
        <f t="shared" si="6"/>
        <v>0</v>
      </c>
      <c r="E32" s="83">
        <f t="shared" si="7"/>
        <v>0</v>
      </c>
      <c r="F32" s="83">
        <f t="shared" si="7"/>
        <v>0</v>
      </c>
      <c r="G32" s="83">
        <f t="shared" si="7"/>
        <v>0</v>
      </c>
      <c r="H32" s="83">
        <f t="shared" si="7"/>
        <v>0</v>
      </c>
      <c r="I32" s="83">
        <f t="shared" si="7"/>
        <v>0</v>
      </c>
      <c r="J32" s="83">
        <f t="shared" si="7"/>
        <v>0</v>
      </c>
      <c r="K32" s="83">
        <f t="shared" si="7"/>
        <v>0</v>
      </c>
      <c r="L32" s="83">
        <f t="shared" si="7"/>
        <v>0</v>
      </c>
    </row>
    <row r="33" spans="2:12" x14ac:dyDescent="0.25">
      <c r="B33" s="845" t="s">
        <v>95</v>
      </c>
      <c r="C33" s="620">
        <f>OrçTesouraria!C51</f>
        <v>23550.44291667291</v>
      </c>
      <c r="D33" s="620">
        <f>OrçTesouraria!D51+D77</f>
        <v>85411.438034743041</v>
      </c>
      <c r="E33" s="620">
        <f>OrçTesouraria!E51+E77</f>
        <v>134863.93049060827</v>
      </c>
      <c r="F33" s="620">
        <f>OrçTesouraria!F51+F77</f>
        <v>171226.1790051033</v>
      </c>
      <c r="G33" s="620">
        <f>OrçTesouraria!G51+G77</f>
        <v>233278.83945584184</v>
      </c>
      <c r="H33" s="620">
        <f>OrçTesouraria!H51+H77</f>
        <v>293205.42551958561</v>
      </c>
      <c r="I33" s="620">
        <f>OrçTesouraria!I51+I77</f>
        <v>352941.68616927351</v>
      </c>
      <c r="J33" s="620">
        <f>OrçTesouraria!J51+J77</f>
        <v>414041.15285377222</v>
      </c>
      <c r="K33" s="620">
        <f>OrçTesouraria!K51+K77</f>
        <v>487959.89083436102</v>
      </c>
      <c r="L33" s="620">
        <f>OrçTesouraria!L51+L77</f>
        <v>560726.76779013115</v>
      </c>
    </row>
    <row r="34" spans="2:12" ht="13.5" x14ac:dyDescent="0.25">
      <c r="B34" s="826" t="s">
        <v>84</v>
      </c>
      <c r="C34" s="80">
        <f t="shared" ref="C34:L34" si="8">SUM(C21:C33)</f>
        <v>1481410.8295211105</v>
      </c>
      <c r="D34" s="80">
        <f t="shared" si="8"/>
        <v>1626524.5948587493</v>
      </c>
      <c r="E34" s="80">
        <f t="shared" si="8"/>
        <v>1762537.4644568895</v>
      </c>
      <c r="F34" s="80">
        <f t="shared" si="8"/>
        <v>1892426.1786063444</v>
      </c>
      <c r="G34" s="80">
        <f t="shared" si="8"/>
        <v>1987431.1500950677</v>
      </c>
      <c r="H34" s="80">
        <f t="shared" si="8"/>
        <v>2080972.3886486599</v>
      </c>
      <c r="I34" s="80">
        <f t="shared" si="8"/>
        <v>2174998.9563032421</v>
      </c>
      <c r="J34" s="80">
        <f t="shared" si="8"/>
        <v>2271077.965163433</v>
      </c>
      <c r="K34" s="80">
        <f t="shared" si="8"/>
        <v>2380679.3341174461</v>
      </c>
      <c r="L34" s="80">
        <f t="shared" si="8"/>
        <v>2489846.0629292065</v>
      </c>
    </row>
    <row r="35" spans="2:12" s="831" customFormat="1" ht="14.25" x14ac:dyDescent="0.25">
      <c r="B35" s="830" t="s">
        <v>96</v>
      </c>
      <c r="C35" s="79">
        <f t="shared" ref="C35:L35" si="9">C19+C34</f>
        <v>1660074.2255211105</v>
      </c>
      <c r="D35" s="79">
        <f t="shared" si="9"/>
        <v>1826725.4668587493</v>
      </c>
      <c r="E35" s="79">
        <f t="shared" si="9"/>
        <v>1944275.8124568895</v>
      </c>
      <c r="F35" s="79">
        <f t="shared" si="9"/>
        <v>2055702.0026063444</v>
      </c>
      <c r="G35" s="79">
        <f t="shared" si="9"/>
        <v>2132244.4500950677</v>
      </c>
      <c r="H35" s="79">
        <f t="shared" si="9"/>
        <v>2217323.16464866</v>
      </c>
      <c r="I35" s="79">
        <f t="shared" si="9"/>
        <v>2302887.208303242</v>
      </c>
      <c r="J35" s="79">
        <f t="shared" si="9"/>
        <v>2390503.6931634331</v>
      </c>
      <c r="K35" s="79">
        <f t="shared" si="9"/>
        <v>2491642.538117446</v>
      </c>
      <c r="L35" s="79">
        <f t="shared" si="9"/>
        <v>2592346.7429292067</v>
      </c>
    </row>
    <row r="36" spans="2:12" ht="12" x14ac:dyDescent="0.2">
      <c r="B36" s="832" t="s">
        <v>97</v>
      </c>
      <c r="C36" s="833"/>
      <c r="D36" s="833"/>
      <c r="E36" s="833"/>
      <c r="F36" s="833"/>
      <c r="G36" s="833"/>
      <c r="H36" s="833"/>
      <c r="I36" s="833"/>
      <c r="J36" s="833"/>
      <c r="K36" s="833"/>
      <c r="L36" s="834"/>
    </row>
    <row r="37" spans="2:12" ht="12" x14ac:dyDescent="0.25">
      <c r="B37" s="835" t="s">
        <v>98</v>
      </c>
      <c r="C37" s="836"/>
      <c r="D37" s="836"/>
      <c r="E37" s="836"/>
      <c r="F37" s="836"/>
      <c r="G37" s="836"/>
      <c r="H37" s="836"/>
      <c r="I37" s="836"/>
      <c r="J37" s="836"/>
      <c r="K37" s="836"/>
      <c r="L37" s="837"/>
    </row>
    <row r="38" spans="2:12" x14ac:dyDescent="0.25">
      <c r="B38" s="1785" t="s">
        <v>99</v>
      </c>
      <c r="C38" s="1786">
        <f>Balanço!E37+OrçTesouraria!C27</f>
        <v>300000</v>
      </c>
      <c r="D38" s="1786">
        <f>C38+OrçTesouraria!D27</f>
        <v>300000</v>
      </c>
      <c r="E38" s="1786">
        <f>D38+OrçTesouraria!E27</f>
        <v>300000</v>
      </c>
      <c r="F38" s="1786">
        <f>E38+OrçTesouraria!F27</f>
        <v>300000</v>
      </c>
      <c r="G38" s="1786">
        <f>F38+OrçTesouraria!G27</f>
        <v>300000</v>
      </c>
      <c r="H38" s="1786">
        <f>G38+OrçTesouraria!H27</f>
        <v>300000</v>
      </c>
      <c r="I38" s="1786">
        <f>H38+OrçTesouraria!I27</f>
        <v>300000</v>
      </c>
      <c r="J38" s="1786">
        <f>I38+OrçTesouraria!J27</f>
        <v>300000</v>
      </c>
      <c r="K38" s="1786">
        <f>J38+OrçTesouraria!K27</f>
        <v>300000</v>
      </c>
      <c r="L38" s="1786">
        <f>K38+OrçTesouraria!L27</f>
        <v>300000</v>
      </c>
    </row>
    <row r="39" spans="2:12" x14ac:dyDescent="0.25">
      <c r="B39" s="844" t="s">
        <v>100</v>
      </c>
      <c r="C39" s="83">
        <f>Balanço!$E$38</f>
        <v>0</v>
      </c>
      <c r="D39" s="83">
        <f>Balanço!$E$38</f>
        <v>0</v>
      </c>
      <c r="E39" s="83">
        <f>Balanço!$E$38</f>
        <v>0</v>
      </c>
      <c r="F39" s="83">
        <f>Balanço!$E$38</f>
        <v>0</v>
      </c>
      <c r="G39" s="83">
        <f>Balanço!$E$38</f>
        <v>0</v>
      </c>
      <c r="H39" s="83">
        <f>Balanço!$E$38</f>
        <v>0</v>
      </c>
      <c r="I39" s="83">
        <f>Balanço!$E$38</f>
        <v>0</v>
      </c>
      <c r="J39" s="83">
        <f>Balanço!$E$38</f>
        <v>0</v>
      </c>
      <c r="K39" s="83">
        <f>Balanço!$E$38</f>
        <v>0</v>
      </c>
      <c r="L39" s="83">
        <f>Balanço!$E$38</f>
        <v>0</v>
      </c>
    </row>
    <row r="40" spans="2:12" x14ac:dyDescent="0.25">
      <c r="B40" s="1783" t="s">
        <v>101</v>
      </c>
      <c r="C40" s="1784">
        <f>Balanço!$E$39+OrçTesouraria!C28</f>
        <v>5158.8125</v>
      </c>
      <c r="D40" s="1784">
        <f>C40+OrçTesouraria!D28</f>
        <v>28514.605</v>
      </c>
      <c r="E40" s="1784">
        <f>D40+OrçTesouraria!E28</f>
        <v>37087.25</v>
      </c>
      <c r="F40" s="1784">
        <f>E40+OrçTesouraria!F28</f>
        <v>37087.25</v>
      </c>
      <c r="G40" s="1784">
        <f>F40+OrçTesouraria!G28</f>
        <v>37087.25</v>
      </c>
      <c r="H40" s="1784">
        <f>G40+OrçTesouraria!H28</f>
        <v>37087.25</v>
      </c>
      <c r="I40" s="1784">
        <f>H40+OrçTesouraria!I28</f>
        <v>37087.25</v>
      </c>
      <c r="J40" s="1784">
        <f>I40+OrçTesouraria!J28</f>
        <v>37087.25</v>
      </c>
      <c r="K40" s="1784">
        <f>J40+OrçTesouraria!K28</f>
        <v>37087.25</v>
      </c>
      <c r="L40" s="1784">
        <f>K40+OrçTesouraria!L28</f>
        <v>37087.25</v>
      </c>
    </row>
    <row r="41" spans="2:12" x14ac:dyDescent="0.25">
      <c r="B41" s="844" t="s">
        <v>102</v>
      </c>
      <c r="C41" s="83">
        <f>Balanço!$E$40</f>
        <v>0</v>
      </c>
      <c r="D41" s="83">
        <f>Balanço!$E$40</f>
        <v>0</v>
      </c>
      <c r="E41" s="83">
        <f>Balanço!$E$40</f>
        <v>0</v>
      </c>
      <c r="F41" s="83">
        <f>Balanço!$E$40</f>
        <v>0</v>
      </c>
      <c r="G41" s="83">
        <f>Balanço!$E$40</f>
        <v>0</v>
      </c>
      <c r="H41" s="83">
        <f>Balanço!$E$40</f>
        <v>0</v>
      </c>
      <c r="I41" s="83">
        <f>Balanço!$E$40</f>
        <v>0</v>
      </c>
      <c r="J41" s="83">
        <f>Balanço!$E$40</f>
        <v>0</v>
      </c>
      <c r="K41" s="83">
        <f>Balanço!$E$40</f>
        <v>0</v>
      </c>
      <c r="L41" s="83">
        <f>Balanço!$E$40</f>
        <v>0</v>
      </c>
    </row>
    <row r="42" spans="2:12" x14ac:dyDescent="0.25">
      <c r="B42" s="844" t="s">
        <v>103</v>
      </c>
      <c r="C42" s="83">
        <f>C87</f>
        <v>29109.658000000003</v>
      </c>
      <c r="D42" s="83">
        <f t="shared" ref="D42:L42" si="10">D87</f>
        <v>43954.92487868735</v>
      </c>
      <c r="E42" s="83">
        <f t="shared" ref="E42:J42" si="11">E87</f>
        <v>60000</v>
      </c>
      <c r="F42" s="83">
        <f t="shared" si="11"/>
        <v>60000</v>
      </c>
      <c r="G42" s="83">
        <f t="shared" si="11"/>
        <v>60000</v>
      </c>
      <c r="H42" s="83">
        <f t="shared" si="11"/>
        <v>60000</v>
      </c>
      <c r="I42" s="83">
        <f t="shared" si="11"/>
        <v>60000</v>
      </c>
      <c r="J42" s="83">
        <f t="shared" si="11"/>
        <v>60000</v>
      </c>
      <c r="K42" s="83">
        <f t="shared" si="10"/>
        <v>60000</v>
      </c>
      <c r="L42" s="83">
        <f t="shared" si="10"/>
        <v>60000</v>
      </c>
    </row>
    <row r="43" spans="2:12" x14ac:dyDescent="0.25">
      <c r="B43" s="844" t="s">
        <v>104</v>
      </c>
      <c r="C43" s="83">
        <f>Balanço!E42+'DR Empresa'!C18</f>
        <v>0</v>
      </c>
      <c r="D43" s="83">
        <f>C43+'DR Empresa'!D18</f>
        <v>0</v>
      </c>
      <c r="E43" s="83">
        <f>D43+'DR Empresa'!E18</f>
        <v>0</v>
      </c>
      <c r="F43" s="83">
        <f>E43+'DR Empresa'!F18</f>
        <v>0</v>
      </c>
      <c r="G43" s="83">
        <f>F43+'DR Empresa'!G18</f>
        <v>0</v>
      </c>
      <c r="H43" s="83">
        <f>G43+'DR Empresa'!H18</f>
        <v>0</v>
      </c>
      <c r="I43" s="83">
        <f>H43+'DR Empresa'!I18</f>
        <v>0</v>
      </c>
      <c r="J43" s="83">
        <f>I43+'DR Empresa'!J18</f>
        <v>0</v>
      </c>
      <c r="K43" s="83">
        <f>J43+'DR Empresa'!K18</f>
        <v>0</v>
      </c>
      <c r="L43" s="83">
        <f>K43+'DR Empresa'!L18</f>
        <v>0</v>
      </c>
    </row>
    <row r="44" spans="2:12" x14ac:dyDescent="0.25">
      <c r="B44" s="844" t="s">
        <v>105</v>
      </c>
      <c r="C44" s="83">
        <f>(Balanço!E43+Balanço!E44+Balanço!E48)-(C42-Balanço!E41)</f>
        <v>272157.67200000002</v>
      </c>
      <c r="D44" s="83">
        <f>(C44+C45+C49)-(D42-C42)</f>
        <v>282060.07069505955</v>
      </c>
      <c r="E44" s="83">
        <f t="shared" ref="E44:L44" si="12">(D44+D45+D49)-(E42-D42)</f>
        <v>315442.94081135321</v>
      </c>
      <c r="F44" s="83">
        <f t="shared" si="12"/>
        <v>359778.52101373824</v>
      </c>
      <c r="G44" s="83">
        <f t="shared" si="12"/>
        <v>415575.5353706961</v>
      </c>
      <c r="H44" s="83">
        <f t="shared" si="12"/>
        <v>472979.16035643953</v>
      </c>
      <c r="I44" s="83">
        <f t="shared" si="12"/>
        <v>537230.90639104275</v>
      </c>
      <c r="J44" s="83">
        <f t="shared" si="12"/>
        <v>603106.16332666657</v>
      </c>
      <c r="K44" s="83">
        <f t="shared" si="12"/>
        <v>670638.00779045199</v>
      </c>
      <c r="L44" s="83">
        <f t="shared" si="12"/>
        <v>748717.05264801905</v>
      </c>
    </row>
    <row r="45" spans="2:12" x14ac:dyDescent="0.25">
      <c r="B45" s="844" t="s">
        <v>106</v>
      </c>
      <c r="C45" s="1210">
        <v>0</v>
      </c>
      <c r="D45" s="1210">
        <v>0</v>
      </c>
      <c r="E45" s="1210">
        <v>0</v>
      </c>
      <c r="F45" s="1210">
        <v>0</v>
      </c>
      <c r="G45" s="1210">
        <v>0</v>
      </c>
      <c r="H45" s="1210">
        <v>0</v>
      </c>
      <c r="I45" s="1210">
        <v>0</v>
      </c>
      <c r="J45" s="1210">
        <v>0</v>
      </c>
      <c r="K45" s="1210">
        <v>0</v>
      </c>
      <c r="L45" s="1210">
        <v>0</v>
      </c>
    </row>
    <row r="46" spans="2:12" x14ac:dyDescent="0.25">
      <c r="B46" s="844" t="s">
        <v>107</v>
      </c>
      <c r="C46" s="83">
        <f>Balanço!$E$45</f>
        <v>0</v>
      </c>
      <c r="D46" s="83">
        <f>Balanço!$E$45</f>
        <v>0</v>
      </c>
      <c r="E46" s="83">
        <f>Balanço!$E$45</f>
        <v>0</v>
      </c>
      <c r="F46" s="83">
        <f>Balanço!$E$45</f>
        <v>0</v>
      </c>
      <c r="G46" s="83">
        <f>Balanço!$E$45</f>
        <v>0</v>
      </c>
      <c r="H46" s="83">
        <f>Balanço!$E$45</f>
        <v>0</v>
      </c>
      <c r="I46" s="83">
        <f>Balanço!$E$45</f>
        <v>0</v>
      </c>
      <c r="J46" s="83">
        <f>Balanço!$E$45</f>
        <v>0</v>
      </c>
      <c r="K46" s="83">
        <f>Balanço!$E$45</f>
        <v>0</v>
      </c>
      <c r="L46" s="83">
        <f>Balanço!$E$45</f>
        <v>0</v>
      </c>
    </row>
    <row r="47" spans="2:12" x14ac:dyDescent="0.25">
      <c r="B47" s="845" t="s">
        <v>108</v>
      </c>
      <c r="C47" s="1211">
        <f>+PlanoFinanciamento!E21</f>
        <v>9285.8625000000011</v>
      </c>
      <c r="D47" s="1211">
        <f>+C47+PlanoFinanciamento!F19</f>
        <v>51326.289000000004</v>
      </c>
      <c r="E47" s="1211">
        <f>+D47+PlanoFinanciamento!G21</f>
        <v>66757.05</v>
      </c>
      <c r="F47" s="1211">
        <f>+E47</f>
        <v>66757.05</v>
      </c>
      <c r="G47" s="1211">
        <f t="shared" ref="G47:L47" si="13">+F47</f>
        <v>66757.05</v>
      </c>
      <c r="H47" s="1211">
        <f t="shared" si="13"/>
        <v>66757.05</v>
      </c>
      <c r="I47" s="1211">
        <f t="shared" si="13"/>
        <v>66757.05</v>
      </c>
      <c r="J47" s="1211">
        <f t="shared" si="13"/>
        <v>66757.05</v>
      </c>
      <c r="K47" s="1211">
        <f t="shared" si="13"/>
        <v>66757.05</v>
      </c>
      <c r="L47" s="1211">
        <f t="shared" si="13"/>
        <v>66757.05</v>
      </c>
    </row>
    <row r="48" spans="2:12" ht="14.25" x14ac:dyDescent="0.25">
      <c r="B48" s="826" t="s">
        <v>84</v>
      </c>
      <c r="C48" s="79">
        <f t="shared" ref="C48:L48" si="14">SUM(C38:C47)</f>
        <v>615712.00500000012</v>
      </c>
      <c r="D48" s="79">
        <f t="shared" si="14"/>
        <v>705855.88957374694</v>
      </c>
      <c r="E48" s="79">
        <f t="shared" si="14"/>
        <v>779287.24081135332</v>
      </c>
      <c r="F48" s="79">
        <f t="shared" si="14"/>
        <v>823622.82101373828</v>
      </c>
      <c r="G48" s="79">
        <f t="shared" si="14"/>
        <v>879419.83537069615</v>
      </c>
      <c r="H48" s="79">
        <f t="shared" si="14"/>
        <v>936823.46035643958</v>
      </c>
      <c r="I48" s="79">
        <f t="shared" si="14"/>
        <v>1001075.2063910428</v>
      </c>
      <c r="J48" s="79">
        <f t="shared" si="14"/>
        <v>1066950.4633266665</v>
      </c>
      <c r="K48" s="79">
        <f t="shared" si="14"/>
        <v>1134482.3077904519</v>
      </c>
      <c r="L48" s="79">
        <f t="shared" si="14"/>
        <v>1212561.3526480191</v>
      </c>
    </row>
    <row r="49" spans="2:12" x14ac:dyDescent="0.25">
      <c r="B49" s="843" t="s">
        <v>63</v>
      </c>
      <c r="C49" s="606">
        <f>'DR Empresa'!C29</f>
        <v>24747.665573746894</v>
      </c>
      <c r="D49" s="606">
        <f>'DR Empresa'!D29</f>
        <v>49427.945237606284</v>
      </c>
      <c r="E49" s="606">
        <f>'DR Empresa'!E29</f>
        <v>44335.580202385056</v>
      </c>
      <c r="F49" s="606">
        <f>'DR Empresa'!F29</f>
        <v>55797.014356957865</v>
      </c>
      <c r="G49" s="606">
        <f>'DR Empresa'!G29</f>
        <v>57403.624985743445</v>
      </c>
      <c r="H49" s="606">
        <f>'DR Empresa'!H29</f>
        <v>64251.746034603188</v>
      </c>
      <c r="I49" s="606">
        <f>'DR Empresa'!I29</f>
        <v>65875.256935623795</v>
      </c>
      <c r="J49" s="606">
        <f>'DR Empresa'!J29</f>
        <v>67531.844463785397</v>
      </c>
      <c r="K49" s="606">
        <f>'DR Empresa'!K29</f>
        <v>78079.044857567118</v>
      </c>
      <c r="L49" s="606">
        <f>'DR Empresa'!L29</f>
        <v>79803.820523531569</v>
      </c>
    </row>
    <row r="50" spans="2:12" x14ac:dyDescent="0.25">
      <c r="B50" s="845" t="s">
        <v>109</v>
      </c>
      <c r="C50" s="620">
        <v>0</v>
      </c>
      <c r="D50" s="620">
        <v>0</v>
      </c>
      <c r="E50" s="620">
        <v>0</v>
      </c>
      <c r="F50" s="620">
        <v>0</v>
      </c>
      <c r="G50" s="620">
        <v>0</v>
      </c>
      <c r="H50" s="620">
        <v>0</v>
      </c>
      <c r="I50" s="620">
        <v>0</v>
      </c>
      <c r="J50" s="620">
        <v>0</v>
      </c>
      <c r="K50" s="620">
        <v>0</v>
      </c>
      <c r="L50" s="620">
        <v>0</v>
      </c>
    </row>
    <row r="51" spans="2:12" ht="15" x14ac:dyDescent="0.25">
      <c r="B51" s="838" t="s">
        <v>110</v>
      </c>
      <c r="C51" s="81">
        <f t="shared" ref="C51:L51" si="15">C48+C49+C50</f>
        <v>640459.67057374702</v>
      </c>
      <c r="D51" s="81">
        <f t="shared" si="15"/>
        <v>755283.83481135324</v>
      </c>
      <c r="E51" s="81">
        <f t="shared" si="15"/>
        <v>823622.8210137384</v>
      </c>
      <c r="F51" s="81">
        <f t="shared" si="15"/>
        <v>879419.83537069615</v>
      </c>
      <c r="G51" s="81">
        <f t="shared" si="15"/>
        <v>936823.46035643958</v>
      </c>
      <c r="H51" s="81">
        <f t="shared" si="15"/>
        <v>1001075.2063910428</v>
      </c>
      <c r="I51" s="81">
        <f t="shared" si="15"/>
        <v>1066950.4633266665</v>
      </c>
      <c r="J51" s="81">
        <f t="shared" si="15"/>
        <v>1134482.3077904519</v>
      </c>
      <c r="K51" s="81">
        <f t="shared" si="15"/>
        <v>1212561.3526480191</v>
      </c>
      <c r="L51" s="81">
        <f t="shared" si="15"/>
        <v>1292365.1731715507</v>
      </c>
    </row>
    <row r="52" spans="2:12" ht="12" x14ac:dyDescent="0.25">
      <c r="B52" s="835" t="s">
        <v>111</v>
      </c>
      <c r="C52" s="836"/>
      <c r="D52" s="836"/>
      <c r="E52" s="836"/>
      <c r="F52" s="836"/>
      <c r="G52" s="836"/>
      <c r="H52" s="836"/>
      <c r="I52" s="836"/>
      <c r="J52" s="836"/>
      <c r="K52" s="836"/>
      <c r="L52" s="837"/>
    </row>
    <row r="53" spans="2:12" ht="12" x14ac:dyDescent="0.25">
      <c r="B53" s="835" t="s">
        <v>112</v>
      </c>
      <c r="C53" s="836"/>
      <c r="D53" s="836"/>
      <c r="E53" s="836"/>
      <c r="F53" s="836"/>
      <c r="G53" s="836"/>
      <c r="H53" s="836"/>
      <c r="I53" s="836"/>
      <c r="J53" s="836"/>
      <c r="K53" s="836"/>
      <c r="L53" s="837"/>
    </row>
    <row r="54" spans="2:12" x14ac:dyDescent="0.25">
      <c r="B54" s="843" t="s">
        <v>113</v>
      </c>
      <c r="C54" s="1212">
        <f>Balanço!E53</f>
        <v>0</v>
      </c>
      <c r="D54" s="1212">
        <f>C54</f>
        <v>0</v>
      </c>
      <c r="E54" s="1212">
        <f t="shared" ref="E54:L54" si="16">D54</f>
        <v>0</v>
      </c>
      <c r="F54" s="1212">
        <f t="shared" si="16"/>
        <v>0</v>
      </c>
      <c r="G54" s="1212">
        <f t="shared" si="16"/>
        <v>0</v>
      </c>
      <c r="H54" s="1212">
        <f t="shared" si="16"/>
        <v>0</v>
      </c>
      <c r="I54" s="1212">
        <f t="shared" si="16"/>
        <v>0</v>
      </c>
      <c r="J54" s="1212">
        <f t="shared" si="16"/>
        <v>0</v>
      </c>
      <c r="K54" s="1212">
        <f t="shared" si="16"/>
        <v>0</v>
      </c>
      <c r="L54" s="1212">
        <f t="shared" si="16"/>
        <v>0</v>
      </c>
    </row>
    <row r="55" spans="2:12" x14ac:dyDescent="0.25">
      <c r="B55" s="844" t="s">
        <v>114</v>
      </c>
      <c r="C55" s="83">
        <f>SaldosDivida!B17</f>
        <v>0</v>
      </c>
      <c r="D55" s="83">
        <f ca="1">SaldosDivida!C17</f>
        <v>0</v>
      </c>
      <c r="E55" s="83">
        <f ca="1">SaldosDivida!D17</f>
        <v>0</v>
      </c>
      <c r="F55" s="83">
        <f ca="1">SaldosDivida!E17</f>
        <v>0</v>
      </c>
      <c r="G55" s="83">
        <f ca="1">SaldosDivida!F17</f>
        <v>0</v>
      </c>
      <c r="H55" s="83">
        <f ca="1">SaldosDivida!G17</f>
        <v>0</v>
      </c>
      <c r="I55" s="83">
        <f ca="1">SaldosDivida!H17</f>
        <v>0</v>
      </c>
      <c r="J55" s="83">
        <f ca="1">SaldosDivida!I17</f>
        <v>0</v>
      </c>
      <c r="K55" s="83">
        <f ca="1">SaldosDivida!J17</f>
        <v>0</v>
      </c>
      <c r="L55" s="83">
        <f ca="1">SaldosDivida!K17</f>
        <v>0</v>
      </c>
    </row>
    <row r="56" spans="2:12" x14ac:dyDescent="0.25">
      <c r="B56" s="844" t="s">
        <v>115</v>
      </c>
      <c r="C56" s="1210"/>
      <c r="D56" s="1210"/>
      <c r="E56" s="1210"/>
      <c r="F56" s="1210"/>
      <c r="G56" s="1210"/>
      <c r="H56" s="1210"/>
      <c r="I56" s="1210"/>
      <c r="J56" s="1210"/>
      <c r="K56" s="1210"/>
      <c r="L56" s="1210"/>
    </row>
    <row r="57" spans="2:12" x14ac:dyDescent="0.25">
      <c r="B57" s="844" t="s">
        <v>116</v>
      </c>
      <c r="C57" s="1210"/>
      <c r="D57" s="1210"/>
      <c r="E57" s="1210"/>
      <c r="F57" s="1210"/>
      <c r="G57" s="1210"/>
      <c r="H57" s="1210"/>
      <c r="I57" s="1210"/>
      <c r="J57" s="1210"/>
      <c r="K57" s="1210"/>
      <c r="L57" s="1210"/>
    </row>
    <row r="58" spans="2:12" x14ac:dyDescent="0.25">
      <c r="B58" s="845" t="s">
        <v>117</v>
      </c>
      <c r="C58" s="620">
        <f>SaldosDivida!B38</f>
        <v>0</v>
      </c>
      <c r="D58" s="620">
        <f>SaldosDivida!C38</f>
        <v>0</v>
      </c>
      <c r="E58" s="620">
        <f>SaldosDivida!D38</f>
        <v>0</v>
      </c>
      <c r="F58" s="620">
        <f>SaldosDivida!E38</f>
        <v>0</v>
      </c>
      <c r="G58" s="620">
        <f>SaldosDivida!F38</f>
        <v>0</v>
      </c>
      <c r="H58" s="620">
        <f>SaldosDivida!G38</f>
        <v>0</v>
      </c>
      <c r="I58" s="620">
        <f>SaldosDivida!H38</f>
        <v>0</v>
      </c>
      <c r="J58" s="620">
        <f>SaldosDivida!I38</f>
        <v>0</v>
      </c>
      <c r="K58" s="620">
        <f>SaldosDivida!J38</f>
        <v>0</v>
      </c>
      <c r="L58" s="620">
        <f>SaldosDivida!K38</f>
        <v>0</v>
      </c>
    </row>
    <row r="59" spans="2:12" ht="14.25" x14ac:dyDescent="0.25">
      <c r="B59" s="826" t="s">
        <v>84</v>
      </c>
      <c r="C59" s="79">
        <f t="shared" ref="C59:L59" si="17">SUM(C54:C58)</f>
        <v>0</v>
      </c>
      <c r="D59" s="79">
        <f t="shared" ca="1" si="17"/>
        <v>0</v>
      </c>
      <c r="E59" s="79">
        <f t="shared" ca="1" si="17"/>
        <v>0</v>
      </c>
      <c r="F59" s="79">
        <f t="shared" ca="1" si="17"/>
        <v>0</v>
      </c>
      <c r="G59" s="79">
        <f t="shared" ca="1" si="17"/>
        <v>0</v>
      </c>
      <c r="H59" s="79">
        <f t="shared" ca="1" si="17"/>
        <v>0</v>
      </c>
      <c r="I59" s="79">
        <f t="shared" ca="1" si="17"/>
        <v>0</v>
      </c>
      <c r="J59" s="79">
        <f t="shared" ca="1" si="17"/>
        <v>0</v>
      </c>
      <c r="K59" s="79">
        <f t="shared" ca="1" si="17"/>
        <v>0</v>
      </c>
      <c r="L59" s="79">
        <f t="shared" ca="1" si="17"/>
        <v>0</v>
      </c>
    </row>
    <row r="60" spans="2:12" x14ac:dyDescent="0.25">
      <c r="B60" s="611" t="s">
        <v>118</v>
      </c>
      <c r="C60" s="839"/>
      <c r="D60" s="839"/>
      <c r="E60" s="839"/>
      <c r="F60" s="839"/>
      <c r="G60" s="839"/>
      <c r="H60" s="839"/>
      <c r="I60" s="839"/>
      <c r="J60" s="839"/>
      <c r="K60" s="839"/>
      <c r="L60" s="840"/>
    </row>
    <row r="61" spans="2:12" x14ac:dyDescent="0.25">
      <c r="B61" s="843" t="s">
        <v>119</v>
      </c>
      <c r="C61" s="606">
        <f>FM!H12</f>
        <v>756458.98606635001</v>
      </c>
      <c r="D61" s="606">
        <f>FM!I12</f>
        <v>802224.75472336425</v>
      </c>
      <c r="E61" s="606">
        <f>FM!J12</f>
        <v>850759.35238412779</v>
      </c>
      <c r="F61" s="606">
        <f>FM!K12</f>
        <v>902230.2932033675</v>
      </c>
      <c r="G61" s="606">
        <f>FM!L12</f>
        <v>920365.12209675531</v>
      </c>
      <c r="H61" s="606">
        <f>FM!M12</f>
        <v>938864.46105089982</v>
      </c>
      <c r="I61" s="606">
        <f>FM!N12</f>
        <v>957735.63671802299</v>
      </c>
      <c r="J61" s="606">
        <f>FM!O12</f>
        <v>976986.12301605509</v>
      </c>
      <c r="K61" s="606">
        <f>FM!P12</f>
        <v>996623.54408867785</v>
      </c>
      <c r="L61" s="606">
        <f>FM!Q12</f>
        <v>1016655.6773248602</v>
      </c>
    </row>
    <row r="62" spans="2:12" x14ac:dyDescent="0.25">
      <c r="B62" s="844" t="s">
        <v>120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</row>
    <row r="63" spans="2:12" x14ac:dyDescent="0.25">
      <c r="B63" s="844" t="s">
        <v>89</v>
      </c>
      <c r="C63" s="83">
        <f>IVA!C22+IVA!C29</f>
        <v>21702.518881014585</v>
      </c>
      <c r="D63" s="83">
        <f>IVA!D22+IVA!D29</f>
        <v>27763.827324031983</v>
      </c>
      <c r="E63" s="83">
        <f>IVA!E22+IVA!E29</f>
        <v>28440.589059023296</v>
      </c>
      <c r="F63" s="83">
        <f>IVA!F22+IVA!F29</f>
        <v>32598.824032280852</v>
      </c>
      <c r="G63" s="83">
        <f>IVA!G22+IVA!G29</f>
        <v>33602.817641873007</v>
      </c>
      <c r="H63" s="83">
        <f>IVA!H22+IVA!H29</f>
        <v>35930.447206717356</v>
      </c>
      <c r="I63" s="83">
        <f>IVA!I22+IVA!I29</f>
        <v>36748.058258552635</v>
      </c>
      <c r="J63" s="83">
        <f>IVA!J22+IVA!J29</f>
        <v>37582.212356926299</v>
      </c>
      <c r="K63" s="83">
        <f>IVA!K22+IVA!K29</f>
        <v>41004.591380749327</v>
      </c>
      <c r="L63" s="83">
        <f>IVA!L22+IVA!L29</f>
        <v>41872.842432795631</v>
      </c>
    </row>
    <row r="64" spans="2:12" x14ac:dyDescent="0.25">
      <c r="B64" s="844" t="s">
        <v>80</v>
      </c>
      <c r="C64" s="83">
        <f>Balanço!E63+OrçTesouraria!C33-OrçTesouraria!C46</f>
        <v>0</v>
      </c>
      <c r="D64" s="83"/>
      <c r="E64" s="83"/>
      <c r="F64" s="83"/>
      <c r="G64" s="83"/>
      <c r="H64" s="83"/>
      <c r="I64" s="83"/>
      <c r="J64" s="83"/>
      <c r="K64" s="83">
        <f>J64+OrçTesouraria!K33-OrçTesouraria!K46</f>
        <v>0</v>
      </c>
      <c r="L64" s="83">
        <f>K64+OrçTesouraria!L33-OrçTesouraria!L46</f>
        <v>0</v>
      </c>
    </row>
    <row r="65" spans="2:12" x14ac:dyDescent="0.25">
      <c r="B65" s="844" t="s">
        <v>114</v>
      </c>
      <c r="C65" s="83">
        <f>SaldosDivida!B32+SaldosDivida!B39</f>
        <v>0</v>
      </c>
      <c r="D65" s="83">
        <f ca="1">SaldosDivida!C32+SaldosDivida!C39</f>
        <v>0</v>
      </c>
      <c r="E65" s="83">
        <f ca="1">SaldosDivida!D32+SaldosDivida!D39</f>
        <v>0</v>
      </c>
      <c r="F65" s="83">
        <f ca="1">SaldosDivida!E32+SaldosDivida!E39</f>
        <v>0</v>
      </c>
      <c r="G65" s="83">
        <f ca="1">SaldosDivida!F32+SaldosDivida!F39</f>
        <v>0</v>
      </c>
      <c r="H65" s="83">
        <f ca="1">SaldosDivida!G32+SaldosDivida!G39</f>
        <v>0</v>
      </c>
      <c r="I65" s="83">
        <f ca="1">SaldosDivida!H32+SaldosDivida!H39</f>
        <v>0</v>
      </c>
      <c r="J65" s="83">
        <f ca="1">SaldosDivida!I32+SaldosDivida!I39</f>
        <v>0</v>
      </c>
      <c r="K65" s="83">
        <f ca="1">SaldosDivida!J32+SaldosDivida!J39</f>
        <v>0</v>
      </c>
      <c r="L65" s="83">
        <f ca="1">SaldosDivida!K32+SaldosDivida!K39</f>
        <v>0</v>
      </c>
    </row>
    <row r="66" spans="2:12" x14ac:dyDescent="0.25">
      <c r="B66" s="844" t="s">
        <v>117</v>
      </c>
      <c r="C66" s="83">
        <f>SaldosDivida!B37</f>
        <v>241453.05</v>
      </c>
      <c r="D66" s="83">
        <f>SaldosDivida!C37</f>
        <v>241453.05</v>
      </c>
      <c r="E66" s="83">
        <f>SaldosDivida!D37</f>
        <v>241453.05</v>
      </c>
      <c r="F66" s="83">
        <f>SaldosDivida!E37</f>
        <v>241453.05</v>
      </c>
      <c r="G66" s="83">
        <f>SaldosDivida!F37</f>
        <v>241453.05</v>
      </c>
      <c r="H66" s="83">
        <f>SaldosDivida!G37</f>
        <v>241453.05</v>
      </c>
      <c r="I66" s="83">
        <f>SaldosDivida!H37</f>
        <v>241453.05</v>
      </c>
      <c r="J66" s="83">
        <f>SaldosDivida!I37</f>
        <v>241453.05</v>
      </c>
      <c r="K66" s="83">
        <f>+J66</f>
        <v>241453.05</v>
      </c>
      <c r="L66" s="83">
        <f>+K66</f>
        <v>241453.05</v>
      </c>
    </row>
    <row r="67" spans="2:12" x14ac:dyDescent="0.25">
      <c r="B67" s="844" t="s">
        <v>91</v>
      </c>
      <c r="C67" s="620">
        <f>Balanço!E66</f>
        <v>0</v>
      </c>
      <c r="D67" s="620">
        <f t="shared" ref="D67:L67" si="18">C67</f>
        <v>0</v>
      </c>
      <c r="E67" s="620">
        <f t="shared" si="18"/>
        <v>0</v>
      </c>
      <c r="F67" s="620">
        <f t="shared" si="18"/>
        <v>0</v>
      </c>
      <c r="G67" s="620">
        <f t="shared" si="18"/>
        <v>0</v>
      </c>
      <c r="H67" s="620">
        <f t="shared" si="18"/>
        <v>0</v>
      </c>
      <c r="I67" s="620">
        <f t="shared" si="18"/>
        <v>0</v>
      </c>
      <c r="J67" s="620">
        <f t="shared" si="18"/>
        <v>0</v>
      </c>
      <c r="K67" s="620">
        <f t="shared" si="18"/>
        <v>0</v>
      </c>
      <c r="L67" s="620">
        <f t="shared" si="18"/>
        <v>0</v>
      </c>
    </row>
    <row r="68" spans="2:12" x14ac:dyDescent="0.25">
      <c r="B68" s="844" t="s">
        <v>121</v>
      </c>
      <c r="C68" s="620">
        <f>Balanço!E67</f>
        <v>0</v>
      </c>
      <c r="D68" s="620">
        <f t="shared" ref="D68:L68" si="19">C68</f>
        <v>0</v>
      </c>
      <c r="E68" s="620">
        <f t="shared" si="19"/>
        <v>0</v>
      </c>
      <c r="F68" s="620">
        <f t="shared" si="19"/>
        <v>0</v>
      </c>
      <c r="G68" s="620">
        <f t="shared" si="19"/>
        <v>0</v>
      </c>
      <c r="H68" s="620">
        <f t="shared" si="19"/>
        <v>0</v>
      </c>
      <c r="I68" s="620">
        <f t="shared" si="19"/>
        <v>0</v>
      </c>
      <c r="J68" s="620">
        <f t="shared" si="19"/>
        <v>0</v>
      </c>
      <c r="K68" s="620">
        <f t="shared" si="19"/>
        <v>0</v>
      </c>
      <c r="L68" s="620">
        <f t="shared" si="19"/>
        <v>0</v>
      </c>
    </row>
    <row r="69" spans="2:12" x14ac:dyDescent="0.25">
      <c r="B69" s="844" t="s">
        <v>122</v>
      </c>
      <c r="C69" s="620">
        <f>Balanço!E68</f>
        <v>0</v>
      </c>
      <c r="D69" s="620">
        <f t="shared" ref="D69:L69" si="20">C69</f>
        <v>0</v>
      </c>
      <c r="E69" s="620">
        <f t="shared" si="20"/>
        <v>0</v>
      </c>
      <c r="F69" s="620">
        <f t="shared" si="20"/>
        <v>0</v>
      </c>
      <c r="G69" s="620">
        <f t="shared" si="20"/>
        <v>0</v>
      </c>
      <c r="H69" s="620">
        <f t="shared" si="20"/>
        <v>0</v>
      </c>
      <c r="I69" s="620">
        <f t="shared" si="20"/>
        <v>0</v>
      </c>
      <c r="J69" s="620">
        <f t="shared" si="20"/>
        <v>0</v>
      </c>
      <c r="K69" s="620">
        <f t="shared" si="20"/>
        <v>0</v>
      </c>
      <c r="L69" s="620">
        <f t="shared" si="20"/>
        <v>0</v>
      </c>
    </row>
    <row r="70" spans="2:12" x14ac:dyDescent="0.25">
      <c r="B70" s="844" t="s">
        <v>123</v>
      </c>
      <c r="C70" s="620">
        <f>Balanço!E69</f>
        <v>0</v>
      </c>
      <c r="D70" s="620">
        <f t="shared" ref="D70:L70" si="21">C70</f>
        <v>0</v>
      </c>
      <c r="E70" s="620">
        <f t="shared" si="21"/>
        <v>0</v>
      </c>
      <c r="F70" s="620">
        <f t="shared" si="21"/>
        <v>0</v>
      </c>
      <c r="G70" s="620">
        <f t="shared" si="21"/>
        <v>0</v>
      </c>
      <c r="H70" s="620">
        <f t="shared" si="21"/>
        <v>0</v>
      </c>
      <c r="I70" s="620">
        <f t="shared" si="21"/>
        <v>0</v>
      </c>
      <c r="J70" s="620">
        <f t="shared" si="21"/>
        <v>0</v>
      </c>
      <c r="K70" s="620">
        <f t="shared" si="21"/>
        <v>0</v>
      </c>
      <c r="L70" s="620">
        <f t="shared" si="21"/>
        <v>0</v>
      </c>
    </row>
    <row r="71" spans="2:12" x14ac:dyDescent="0.25">
      <c r="B71" s="845" t="s">
        <v>124</v>
      </c>
      <c r="C71" s="620">
        <f>Balanço!E70</f>
        <v>0</v>
      </c>
      <c r="D71" s="620">
        <f>C71</f>
        <v>0</v>
      </c>
      <c r="E71" s="620">
        <f t="shared" ref="E71:L71" si="22">D71</f>
        <v>0</v>
      </c>
      <c r="F71" s="620">
        <f t="shared" si="22"/>
        <v>0</v>
      </c>
      <c r="G71" s="620">
        <f t="shared" si="22"/>
        <v>0</v>
      </c>
      <c r="H71" s="620">
        <f t="shared" si="22"/>
        <v>0</v>
      </c>
      <c r="I71" s="620">
        <f t="shared" si="22"/>
        <v>0</v>
      </c>
      <c r="J71" s="620">
        <f t="shared" si="22"/>
        <v>0</v>
      </c>
      <c r="K71" s="620">
        <f t="shared" si="22"/>
        <v>0</v>
      </c>
      <c r="L71" s="620">
        <f t="shared" si="22"/>
        <v>0</v>
      </c>
    </row>
    <row r="72" spans="2:12" ht="14.25" x14ac:dyDescent="0.25">
      <c r="B72" s="826" t="s">
        <v>84</v>
      </c>
      <c r="C72" s="79">
        <f t="shared" ref="C72:L72" si="23">SUM(C61:C71)</f>
        <v>1019614.5549473646</v>
      </c>
      <c r="D72" s="79">
        <f t="shared" ca="1" si="23"/>
        <v>1071441.6320473962</v>
      </c>
      <c r="E72" s="79">
        <f t="shared" ca="1" si="23"/>
        <v>1120652.9914431511</v>
      </c>
      <c r="F72" s="79">
        <f t="shared" ca="1" si="23"/>
        <v>1176282.1672356483</v>
      </c>
      <c r="G72" s="79">
        <f t="shared" ca="1" si="23"/>
        <v>1195420.9897386283</v>
      </c>
      <c r="H72" s="79">
        <f t="shared" ca="1" si="23"/>
        <v>1216247.9582576172</v>
      </c>
      <c r="I72" s="79">
        <f t="shared" ca="1" si="23"/>
        <v>1235936.7449765757</v>
      </c>
      <c r="J72" s="79">
        <f t="shared" ca="1" si="23"/>
        <v>1256021.3853729814</v>
      </c>
      <c r="K72" s="79">
        <f t="shared" ca="1" si="23"/>
        <v>1279081.1854694271</v>
      </c>
      <c r="L72" s="79">
        <f t="shared" ca="1" si="23"/>
        <v>1299981.569757656</v>
      </c>
    </row>
    <row r="73" spans="2:12" ht="13.5" x14ac:dyDescent="0.25">
      <c r="B73" s="838" t="s">
        <v>125</v>
      </c>
      <c r="C73" s="841">
        <f t="shared" ref="C73:L73" si="24">C59+C72</f>
        <v>1019614.5549473646</v>
      </c>
      <c r="D73" s="841">
        <f t="shared" ca="1" si="24"/>
        <v>1071441.6320473962</v>
      </c>
      <c r="E73" s="841">
        <f t="shared" ca="1" si="24"/>
        <v>1120652.9914431511</v>
      </c>
      <c r="F73" s="841">
        <f t="shared" ca="1" si="24"/>
        <v>1176282.1672356483</v>
      </c>
      <c r="G73" s="841">
        <f t="shared" ca="1" si="24"/>
        <v>1195420.9897386283</v>
      </c>
      <c r="H73" s="841">
        <f t="shared" ca="1" si="24"/>
        <v>1216247.9582576172</v>
      </c>
      <c r="I73" s="841">
        <f t="shared" ca="1" si="24"/>
        <v>1235936.7449765757</v>
      </c>
      <c r="J73" s="841">
        <f t="shared" ca="1" si="24"/>
        <v>1256021.3853729814</v>
      </c>
      <c r="K73" s="841">
        <f t="shared" ca="1" si="24"/>
        <v>1279081.1854694271</v>
      </c>
      <c r="L73" s="841">
        <f t="shared" ca="1" si="24"/>
        <v>1299981.569757656</v>
      </c>
    </row>
    <row r="74" spans="2:12" ht="15" x14ac:dyDescent="0.25">
      <c r="B74" s="838" t="s">
        <v>126</v>
      </c>
      <c r="C74" s="81">
        <f t="shared" ref="C74:L74" si="25">C51+C73</f>
        <v>1660074.2255211116</v>
      </c>
      <c r="D74" s="81">
        <f t="shared" ca="1" si="25"/>
        <v>1826725.4668587493</v>
      </c>
      <c r="E74" s="81">
        <f t="shared" ca="1" si="25"/>
        <v>1944275.8124568895</v>
      </c>
      <c r="F74" s="81">
        <f t="shared" ca="1" si="25"/>
        <v>2055702.0026063444</v>
      </c>
      <c r="G74" s="81">
        <f t="shared" ca="1" si="25"/>
        <v>2132244.4500950677</v>
      </c>
      <c r="H74" s="81">
        <f t="shared" ca="1" si="25"/>
        <v>2217323.16464866</v>
      </c>
      <c r="I74" s="81">
        <f t="shared" ca="1" si="25"/>
        <v>2302887.208303242</v>
      </c>
      <c r="J74" s="81">
        <f t="shared" ca="1" si="25"/>
        <v>2390503.6931634331</v>
      </c>
      <c r="K74" s="81">
        <f t="shared" ca="1" si="25"/>
        <v>2491642.538117446</v>
      </c>
      <c r="L74" s="81">
        <f t="shared" ca="1" si="25"/>
        <v>2592346.7429292067</v>
      </c>
    </row>
    <row r="75" spans="2:12" x14ac:dyDescent="0.25">
      <c r="B75" s="1285" t="s">
        <v>68</v>
      </c>
      <c r="C75" s="1286">
        <f t="shared" ref="C75:L77" si="26">C74-C35</f>
        <v>0</v>
      </c>
      <c r="D75" s="1286">
        <f t="shared" ca="1" si="26"/>
        <v>0</v>
      </c>
      <c r="E75" s="1286">
        <f t="shared" ca="1" si="26"/>
        <v>0</v>
      </c>
      <c r="F75" s="1286">
        <f t="shared" ca="1" si="26"/>
        <v>0</v>
      </c>
      <c r="G75" s="1286">
        <f t="shared" ca="1" si="26"/>
        <v>0</v>
      </c>
      <c r="H75" s="1286">
        <f t="shared" ca="1" si="26"/>
        <v>0</v>
      </c>
      <c r="I75" s="1286">
        <f t="shared" ca="1" si="26"/>
        <v>0</v>
      </c>
      <c r="J75" s="1286">
        <f t="shared" ca="1" si="26"/>
        <v>0</v>
      </c>
      <c r="K75" s="1286">
        <f t="shared" ca="1" si="26"/>
        <v>0</v>
      </c>
      <c r="L75" s="1286">
        <f t="shared" ca="1" si="26"/>
        <v>0</v>
      </c>
    </row>
    <row r="76" spans="2:12" x14ac:dyDescent="0.25">
      <c r="B76" s="24" t="s">
        <v>127</v>
      </c>
      <c r="C76" s="842">
        <f t="shared" ref="C76:L76" si="27">C51/C35</f>
        <v>0.38580182785062012</v>
      </c>
      <c r="D76" s="842">
        <f t="shared" si="27"/>
        <v>0.413463242569309</v>
      </c>
      <c r="E76" s="842">
        <f t="shared" si="27"/>
        <v>0.42361418875697743</v>
      </c>
      <c r="F76" s="842">
        <f t="shared" si="27"/>
        <v>0.42779538778272047</v>
      </c>
      <c r="G76" s="842">
        <f t="shared" si="27"/>
        <v>0.43936025267397016</v>
      </c>
      <c r="H76" s="842">
        <f t="shared" si="27"/>
        <v>0.45147916296164503</v>
      </c>
      <c r="I76" s="842">
        <f t="shared" si="27"/>
        <v>0.46330990917822296</v>
      </c>
      <c r="J76" s="842">
        <f t="shared" si="27"/>
        <v>0.47457877226249073</v>
      </c>
      <c r="K76" s="842">
        <f t="shared" si="27"/>
        <v>0.4866514093005358</v>
      </c>
      <c r="L76" s="842">
        <f t="shared" si="27"/>
        <v>0.49853098421210829</v>
      </c>
    </row>
    <row r="77" spans="2:12" x14ac:dyDescent="0.25">
      <c r="D77" s="1286">
        <v>1289.0781250020955</v>
      </c>
      <c r="E77" s="1286">
        <v>2578.156250002794</v>
      </c>
      <c r="F77" s="1286">
        <v>3867.2343750023283</v>
      </c>
      <c r="G77" s="1286">
        <v>5156.3125000018626</v>
      </c>
      <c r="H77" s="1286">
        <v>5156.312500002794</v>
      </c>
      <c r="I77" s="1286">
        <v>5156.3125000032596</v>
      </c>
      <c r="J77" s="1286">
        <v>5156.312500004191</v>
      </c>
      <c r="K77" s="1286">
        <v>5156.3125000032596</v>
      </c>
      <c r="L77" s="1286">
        <v>5156.3125000023283</v>
      </c>
    </row>
    <row r="79" spans="2:12" x14ac:dyDescent="0.25">
      <c r="B79" s="1738" t="s">
        <v>554</v>
      </c>
    </row>
    <row r="80" spans="2:12" x14ac:dyDescent="0.25">
      <c r="B80" s="1287" t="s">
        <v>1188</v>
      </c>
      <c r="C80" s="1288">
        <f t="shared" ref="C80:L80" si="28">0.2*C38</f>
        <v>60000</v>
      </c>
      <c r="D80" s="1288">
        <f t="shared" si="28"/>
        <v>60000</v>
      </c>
      <c r="E80" s="1288">
        <f t="shared" si="28"/>
        <v>60000</v>
      </c>
      <c r="F80" s="1288">
        <f t="shared" si="28"/>
        <v>60000</v>
      </c>
      <c r="G80" s="1288">
        <f t="shared" si="28"/>
        <v>60000</v>
      </c>
      <c r="H80" s="1288">
        <f t="shared" si="28"/>
        <v>60000</v>
      </c>
      <c r="I80" s="1288">
        <f t="shared" si="28"/>
        <v>60000</v>
      </c>
      <c r="J80" s="1288">
        <f t="shared" si="28"/>
        <v>60000</v>
      </c>
      <c r="K80" s="1288">
        <f t="shared" si="28"/>
        <v>60000</v>
      </c>
      <c r="L80" s="1288">
        <f t="shared" si="28"/>
        <v>60000</v>
      </c>
    </row>
    <row r="81" spans="2:12" x14ac:dyDescent="0.25">
      <c r="B81" s="1287" t="s">
        <v>1189</v>
      </c>
      <c r="C81" s="1288">
        <v>2500</v>
      </c>
      <c r="D81" s="1288">
        <v>2500</v>
      </c>
      <c r="E81" s="1288">
        <v>2500</v>
      </c>
      <c r="F81" s="1288">
        <v>2500</v>
      </c>
      <c r="G81" s="1288">
        <v>2500</v>
      </c>
      <c r="H81" s="1288">
        <v>2500</v>
      </c>
      <c r="I81" s="1288">
        <v>2500</v>
      </c>
      <c r="J81" s="1288">
        <v>2500</v>
      </c>
      <c r="K81" s="1288">
        <v>2500</v>
      </c>
      <c r="L81" s="1288">
        <v>2500</v>
      </c>
    </row>
    <row r="82" spans="2:12" x14ac:dyDescent="0.25">
      <c r="B82" s="1738" t="s">
        <v>1190</v>
      </c>
      <c r="C82" s="1739">
        <f>LARGE(C80:C81,1)</f>
        <v>60000</v>
      </c>
      <c r="D82" s="1739">
        <f t="shared" ref="D82:L82" si="29">LARGE(D80:D81,1)</f>
        <v>60000</v>
      </c>
      <c r="E82" s="1739">
        <f t="shared" si="29"/>
        <v>60000</v>
      </c>
      <c r="F82" s="1739">
        <f t="shared" si="29"/>
        <v>60000</v>
      </c>
      <c r="G82" s="1739">
        <f t="shared" si="29"/>
        <v>60000</v>
      </c>
      <c r="H82" s="1739">
        <f t="shared" si="29"/>
        <v>60000</v>
      </c>
      <c r="I82" s="1739">
        <f t="shared" si="29"/>
        <v>60000</v>
      </c>
      <c r="J82" s="1739">
        <f t="shared" si="29"/>
        <v>60000</v>
      </c>
      <c r="K82" s="1739">
        <f t="shared" si="29"/>
        <v>60000</v>
      </c>
      <c r="L82" s="1739">
        <f t="shared" si="29"/>
        <v>60000</v>
      </c>
    </row>
    <row r="85" spans="2:12" x14ac:dyDescent="0.25">
      <c r="B85" s="24" t="s">
        <v>1191</v>
      </c>
      <c r="C85" s="28">
        <f>Balanço!$E$41</f>
        <v>14785.57</v>
      </c>
      <c r="D85" s="28">
        <f>C87</f>
        <v>29109.658000000003</v>
      </c>
      <c r="E85" s="28">
        <f t="shared" ref="E85:L85" si="30">D87</f>
        <v>43954.92487868735</v>
      </c>
      <c r="F85" s="28">
        <f t="shared" si="30"/>
        <v>60000</v>
      </c>
      <c r="G85" s="28">
        <f t="shared" si="30"/>
        <v>60000</v>
      </c>
      <c r="H85" s="28">
        <f t="shared" si="30"/>
        <v>60000</v>
      </c>
      <c r="I85" s="28">
        <f t="shared" si="30"/>
        <v>60000</v>
      </c>
      <c r="J85" s="28">
        <f t="shared" si="30"/>
        <v>60000</v>
      </c>
      <c r="K85" s="28">
        <f t="shared" si="30"/>
        <v>60000</v>
      </c>
      <c r="L85" s="28">
        <f t="shared" si="30"/>
        <v>60000</v>
      </c>
    </row>
    <row r="86" spans="2:12" x14ac:dyDescent="0.25">
      <c r="B86" s="24" t="s">
        <v>1193</v>
      </c>
      <c r="C86" s="28">
        <f>Balanço!E43+Balanço!E44+Balanço!E48</f>
        <v>286481.76</v>
      </c>
      <c r="D86" s="28">
        <f t="shared" ref="D86:L86" si="31">C44+C45+C49</f>
        <v>296905.33757374692</v>
      </c>
      <c r="E86" s="28">
        <f t="shared" si="31"/>
        <v>331488.01593266585</v>
      </c>
      <c r="F86" s="28">
        <f t="shared" si="31"/>
        <v>359778.52101373824</v>
      </c>
      <c r="G86" s="28">
        <f t="shared" si="31"/>
        <v>415575.5353706961</v>
      </c>
      <c r="H86" s="28">
        <f t="shared" si="31"/>
        <v>472979.16035643953</v>
      </c>
      <c r="I86" s="28">
        <f t="shared" si="31"/>
        <v>537230.90639104275</v>
      </c>
      <c r="J86" s="28">
        <f t="shared" si="31"/>
        <v>603106.16332666657</v>
      </c>
      <c r="K86" s="28">
        <f t="shared" si="31"/>
        <v>670638.00779045199</v>
      </c>
      <c r="L86" s="28">
        <f t="shared" si="31"/>
        <v>748717.05264801905</v>
      </c>
    </row>
    <row r="87" spans="2:12" x14ac:dyDescent="0.25">
      <c r="B87" s="838" t="s">
        <v>1192</v>
      </c>
      <c r="C87" s="28">
        <f>IF(C85&gt;C82,C85,MIN(C85+C86*0.05,C82))</f>
        <v>29109.658000000003</v>
      </c>
      <c r="D87" s="28">
        <f t="shared" ref="D87:L87" si="32">IF(D85&gt;D82,D85,MIN(D85+D86*0.05,D82))</f>
        <v>43954.92487868735</v>
      </c>
      <c r="E87" s="28">
        <f t="shared" si="32"/>
        <v>60000</v>
      </c>
      <c r="F87" s="28">
        <f t="shared" si="32"/>
        <v>60000</v>
      </c>
      <c r="G87" s="28">
        <f t="shared" si="32"/>
        <v>60000</v>
      </c>
      <c r="H87" s="28">
        <f t="shared" si="32"/>
        <v>60000</v>
      </c>
      <c r="I87" s="28">
        <f t="shared" si="32"/>
        <v>60000</v>
      </c>
      <c r="J87" s="28">
        <f t="shared" si="32"/>
        <v>60000</v>
      </c>
      <c r="K87" s="28">
        <f t="shared" si="32"/>
        <v>60000</v>
      </c>
      <c r="L87" s="28">
        <f t="shared" si="32"/>
        <v>60000</v>
      </c>
    </row>
    <row r="88" spans="2:12" x14ac:dyDescent="0.25">
      <c r="B88" s="838" t="s">
        <v>1193</v>
      </c>
      <c r="C88" s="28">
        <f>Balanço!E43+Balanço!E44+Balanço!E48</f>
        <v>286481.76</v>
      </c>
      <c r="D88" s="28">
        <f>(D86-(D87-C87))</f>
        <v>282060.07069505955</v>
      </c>
      <c r="E88" s="28">
        <f t="shared" ref="E88:L88" si="33">(E86-(E87-D87))</f>
        <v>315442.94081135321</v>
      </c>
      <c r="F88" s="28">
        <f t="shared" si="33"/>
        <v>359778.52101373824</v>
      </c>
      <c r="G88" s="28">
        <f t="shared" si="33"/>
        <v>415575.5353706961</v>
      </c>
      <c r="H88" s="28">
        <f t="shared" si="33"/>
        <v>472979.16035643953</v>
      </c>
      <c r="I88" s="28">
        <f t="shared" si="33"/>
        <v>537230.90639104275</v>
      </c>
      <c r="J88" s="28">
        <f t="shared" si="33"/>
        <v>603106.16332666657</v>
      </c>
      <c r="K88" s="28">
        <f t="shared" si="33"/>
        <v>670638.00779045199</v>
      </c>
      <c r="L88" s="28">
        <f t="shared" si="33"/>
        <v>748717.05264801905</v>
      </c>
    </row>
  </sheetData>
  <mergeCells count="13">
    <mergeCell ref="J4:J5"/>
    <mergeCell ref="K4:K5"/>
    <mergeCell ref="L4:L5"/>
    <mergeCell ref="B2:L2"/>
    <mergeCell ref="B3:L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 verticalCentered="1"/>
  <pageMargins left="0" right="0" top="0" bottom="0" header="0" footer="0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25">
    <tabColor theme="1" tint="0.499984740745262"/>
  </sheetPr>
  <dimension ref="A1:CS84"/>
  <sheetViews>
    <sheetView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D12" sqref="D12"/>
    </sheetView>
  </sheetViews>
  <sheetFormatPr defaultColWidth="9.140625" defaultRowHeight="11.25" zeroHeight="1" x14ac:dyDescent="0.25"/>
  <cols>
    <col min="1" max="1" width="1.140625" style="13" customWidth="1"/>
    <col min="2" max="2" width="58.42578125" style="13" customWidth="1"/>
    <col min="3" max="12" width="10.85546875" style="13" bestFit="1" customWidth="1"/>
    <col min="13" max="16384" width="9.140625" style="13"/>
  </cols>
  <sheetData>
    <row r="1" spans="1:97" ht="6" customHeight="1" x14ac:dyDescent="0.25"/>
    <row r="2" spans="1:97" x14ac:dyDescent="0.25">
      <c r="A2" s="75"/>
      <c r="B2" s="1984" t="s">
        <v>33</v>
      </c>
      <c r="C2" s="1985"/>
      <c r="D2" s="1985"/>
      <c r="E2" s="1985"/>
      <c r="F2" s="1985"/>
      <c r="G2" s="1985"/>
      <c r="H2" s="1985"/>
      <c r="I2" s="1985"/>
      <c r="J2" s="1985"/>
      <c r="K2" s="1985"/>
      <c r="L2" s="1985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</row>
    <row r="3" spans="1:97" x14ac:dyDescent="0.25">
      <c r="A3" s="75"/>
      <c r="B3" s="599" t="s">
        <v>34</v>
      </c>
      <c r="C3" s="1986"/>
      <c r="D3" s="1986"/>
      <c r="E3" s="1986"/>
      <c r="F3" s="1986"/>
      <c r="G3" s="1986"/>
      <c r="H3" s="1986"/>
      <c r="I3" s="251"/>
      <c r="J3" s="25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</row>
    <row r="4" spans="1:97" ht="21" customHeight="1" x14ac:dyDescent="0.25">
      <c r="A4" s="75"/>
      <c r="B4" s="618" t="s">
        <v>36</v>
      </c>
      <c r="C4" s="619">
        <f>Pressupostos!C11</f>
        <v>2020</v>
      </c>
      <c r="D4" s="619">
        <f>C4+1</f>
        <v>2021</v>
      </c>
      <c r="E4" s="619">
        <f>D4+1</f>
        <v>2022</v>
      </c>
      <c r="F4" s="619">
        <f t="shared" ref="F4:L4" si="0">E4+1</f>
        <v>2023</v>
      </c>
      <c r="G4" s="619">
        <f t="shared" si="0"/>
        <v>2024</v>
      </c>
      <c r="H4" s="619">
        <f t="shared" si="0"/>
        <v>2025</v>
      </c>
      <c r="I4" s="619">
        <f t="shared" si="0"/>
        <v>2026</v>
      </c>
      <c r="J4" s="619">
        <f t="shared" si="0"/>
        <v>2027</v>
      </c>
      <c r="K4" s="619">
        <f t="shared" si="0"/>
        <v>2028</v>
      </c>
      <c r="L4" s="619">
        <f t="shared" si="0"/>
        <v>2029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</row>
    <row r="5" spans="1:97" x14ac:dyDescent="0.25">
      <c r="B5" s="600" t="s">
        <v>39</v>
      </c>
      <c r="C5" s="606">
        <f>C33+C36</f>
        <v>210511.69447000045</v>
      </c>
      <c r="D5" s="606">
        <f t="shared" ref="D5:L5" si="1">D33+D36</f>
        <v>433759.34645543573</v>
      </c>
      <c r="E5" s="606">
        <f t="shared" si="1"/>
        <v>670513.48138598958</v>
      </c>
      <c r="F5" s="606">
        <f t="shared" si="1"/>
        <v>921591.24147984153</v>
      </c>
      <c r="G5" s="606">
        <f t="shared" si="1"/>
        <v>1010053.8214475862</v>
      </c>
      <c r="H5" s="606">
        <f t="shared" si="1"/>
        <v>1100294.4992726822</v>
      </c>
      <c r="I5" s="606">
        <f t="shared" si="1"/>
        <v>1192349.0147220627</v>
      </c>
      <c r="J5" s="606">
        <f t="shared" si="1"/>
        <v>1286253.8259319761</v>
      </c>
      <c r="K5" s="606">
        <f t="shared" si="1"/>
        <v>1382046.1238472085</v>
      </c>
      <c r="L5" s="606">
        <f t="shared" si="1"/>
        <v>1479763.846950538</v>
      </c>
    </row>
    <row r="6" spans="1:97" x14ac:dyDescent="0.25">
      <c r="B6" s="601" t="s">
        <v>40</v>
      </c>
      <c r="C6" s="83">
        <f>'DR Empresa'!C6-DR!$F$7</f>
        <v>9232.1025000000009</v>
      </c>
      <c r="D6" s="83">
        <f>'DR Empresa'!D6-DR!$F$7</f>
        <v>26203.74</v>
      </c>
      <c r="E6" s="83">
        <f>'DR Empresa'!E6-DR!$F$7</f>
        <v>6610.74</v>
      </c>
      <c r="F6" s="83">
        <f>'DR Empresa'!F6-DR!$F$7</f>
        <v>-49.26</v>
      </c>
      <c r="G6" s="83">
        <f>'DR Empresa'!G6-DR!$F$7</f>
        <v>-49.26</v>
      </c>
      <c r="H6" s="83">
        <f>'DR Empresa'!H6-DR!$F$7</f>
        <v>-49.26</v>
      </c>
      <c r="I6" s="83">
        <f>'DR Empresa'!I6-DR!$F$7</f>
        <v>-49.26</v>
      </c>
      <c r="J6" s="83">
        <f>'DR Empresa'!J6-DR!$F$7</f>
        <v>-49.26</v>
      </c>
      <c r="K6" s="83">
        <f>'DR Empresa'!K6-DR!$F$7</f>
        <v>-49.26</v>
      </c>
      <c r="L6" s="83">
        <f>'DR Empresa'!L6-DR!$F$7</f>
        <v>-49.26</v>
      </c>
    </row>
    <row r="7" spans="1:97" x14ac:dyDescent="0.25">
      <c r="B7" s="601" t="s">
        <v>41</v>
      </c>
      <c r="C7" s="83">
        <f>'DR Empresa'!C7-DR!$F$8</f>
        <v>0</v>
      </c>
      <c r="D7" s="83">
        <f>'DR Empresa'!D7-DR!$F$8</f>
        <v>0</v>
      </c>
      <c r="E7" s="83">
        <f>'DR Empresa'!E7-DR!$F$8</f>
        <v>0</v>
      </c>
      <c r="F7" s="83">
        <f>'DR Empresa'!F7-DR!$F$8</f>
        <v>0</v>
      </c>
      <c r="G7" s="83">
        <f>'DR Empresa'!G7-DR!$F$8</f>
        <v>0</v>
      </c>
      <c r="H7" s="83">
        <f>'DR Empresa'!H7-DR!$F$8</f>
        <v>0</v>
      </c>
      <c r="I7" s="83">
        <f>'DR Empresa'!I7-DR!$F$8</f>
        <v>0</v>
      </c>
      <c r="J7" s="83">
        <f>'DR Empresa'!J7-DR!$F$8</f>
        <v>0</v>
      </c>
      <c r="K7" s="83">
        <f>'DR Empresa'!K7-DR!$F$8</f>
        <v>0</v>
      </c>
      <c r="L7" s="83">
        <f>'DR Empresa'!L7-DR!$F$8</f>
        <v>0</v>
      </c>
    </row>
    <row r="8" spans="1:97" x14ac:dyDescent="0.25">
      <c r="B8" s="601" t="s">
        <v>42</v>
      </c>
      <c r="C8" s="83">
        <f>'DR Empresa'!C8-DR!$F$9</f>
        <v>0</v>
      </c>
      <c r="D8" s="83">
        <f>'DR Empresa'!D8-DR!$F$9</f>
        <v>0</v>
      </c>
      <c r="E8" s="83">
        <f>'DR Empresa'!E8-DR!$F$9</f>
        <v>0</v>
      </c>
      <c r="F8" s="83">
        <f>'DR Empresa'!F8-DR!$F$9</f>
        <v>0</v>
      </c>
      <c r="G8" s="83">
        <f>'DR Empresa'!G8-DR!$F$9</f>
        <v>0</v>
      </c>
      <c r="H8" s="83">
        <f>'DR Empresa'!H8-DR!$F$9</f>
        <v>0</v>
      </c>
      <c r="I8" s="83">
        <f>'DR Empresa'!I8-DR!$F$9</f>
        <v>0</v>
      </c>
      <c r="J8" s="83">
        <f>'DR Empresa'!J8-DR!$F$9</f>
        <v>0</v>
      </c>
      <c r="K8" s="83">
        <f>'DR Empresa'!K8-DR!$F$9</f>
        <v>0</v>
      </c>
      <c r="L8" s="83">
        <f>'DR Empresa'!L8-DR!$F$9</f>
        <v>0</v>
      </c>
    </row>
    <row r="9" spans="1:97" x14ac:dyDescent="0.25">
      <c r="B9" s="601" t="s">
        <v>43</v>
      </c>
      <c r="C9" s="83">
        <f>'DR Empresa'!C9-DR!$F$10</f>
        <v>0</v>
      </c>
      <c r="D9" s="83">
        <f>'DR Empresa'!D9-DR!$F$10</f>
        <v>0</v>
      </c>
      <c r="E9" s="83">
        <f>'DR Empresa'!E9-DR!$F$10</f>
        <v>0</v>
      </c>
      <c r="F9" s="83">
        <f>'DR Empresa'!F9-DR!$F$10</f>
        <v>0</v>
      </c>
      <c r="G9" s="83">
        <f>'DR Empresa'!G9-DR!$F$10</f>
        <v>0</v>
      </c>
      <c r="H9" s="83">
        <f>'DR Empresa'!H9-DR!$F$10</f>
        <v>0</v>
      </c>
      <c r="I9" s="83">
        <f>'DR Empresa'!I9-DR!$F$10</f>
        <v>0</v>
      </c>
      <c r="J9" s="83">
        <f>'DR Empresa'!J9-DR!$F$10</f>
        <v>0</v>
      </c>
      <c r="K9" s="83">
        <f>'DR Empresa'!K9-DR!$F$10</f>
        <v>0</v>
      </c>
      <c r="L9" s="83">
        <f>'DR Empresa'!L9-DR!$F$10</f>
        <v>0</v>
      </c>
    </row>
    <row r="10" spans="1:97" x14ac:dyDescent="0.25">
      <c r="B10" s="601" t="s">
        <v>44</v>
      </c>
      <c r="C10" s="83">
        <f>'DR Empresa'!C10-DR!$F$11</f>
        <v>116093.26005895063</v>
      </c>
      <c r="D10" s="83">
        <f>'DR Empresa'!D10-DR!$F$11</f>
        <v>291342.6668675174</v>
      </c>
      <c r="E10" s="83">
        <f>'DR Empresa'!E10-DR!$F$11</f>
        <v>456444.43468107237</v>
      </c>
      <c r="F10" s="83">
        <f>'DR Empresa'!F10-DR!$F$11</f>
        <v>652285.08755427692</v>
      </c>
      <c r="G10" s="83">
        <f>'DR Empresa'!G10-DR!$F$11</f>
        <v>721285.89992911741</v>
      </c>
      <c r="H10" s="83">
        <f>'DR Empresa'!H10-DR!$F$11</f>
        <v>791673.62863269262</v>
      </c>
      <c r="I10" s="83">
        <f>'DR Empresa'!I10-DR!$F$11</f>
        <v>863476.1506832093</v>
      </c>
      <c r="J10" s="83">
        <f>'DR Empresa'!J10-DR!$F$11</f>
        <v>936721.90342694148</v>
      </c>
      <c r="K10" s="83">
        <f>'DR Empresa'!K10-DR!$F$11</f>
        <v>1011439.8958008229</v>
      </c>
      <c r="L10" s="83">
        <f>'DR Empresa'!L10-DR!$F$11</f>
        <v>1087659.71982142</v>
      </c>
    </row>
    <row r="11" spans="1:97" x14ac:dyDescent="0.25">
      <c r="B11" s="601" t="s">
        <v>45</v>
      </c>
      <c r="C11" s="83">
        <f>'DR Empresa'!C11-DR!$F$12</f>
        <v>25693.078600000008</v>
      </c>
      <c r="D11" s="83">
        <f>'DR Empresa'!D11-DR!$F$12</f>
        <v>39851.490671483916</v>
      </c>
      <c r="E11" s="83">
        <f>'DR Empresa'!E11-DR!$F$12</f>
        <v>68273.298887108685</v>
      </c>
      <c r="F11" s="83">
        <f>'DR Empresa'!F11-DR!$F$12</f>
        <v>87368.796499778633</v>
      </c>
      <c r="G11" s="83">
        <f>'DR Empresa'!G11-DR!$F$12</f>
        <v>99311.244795424165</v>
      </c>
      <c r="H11" s="83">
        <f>'DR Empresa'!H11-DR!$F$12</f>
        <v>111493.73630181223</v>
      </c>
      <c r="I11" s="83">
        <f>'DR Empresa'!I11-DR!$F$12</f>
        <v>123921.09588747856</v>
      </c>
      <c r="J11" s="83">
        <f>'DR Empresa'!J11-DR!$F$12</f>
        <v>136598.2454008169</v>
      </c>
      <c r="K11" s="83">
        <f>'DR Empresa'!K11-DR!$F$12</f>
        <v>149530.20561937324</v>
      </c>
      <c r="L11" s="83">
        <f>'DR Empresa'!L11-DR!$F$12</f>
        <v>162722.09823832265</v>
      </c>
    </row>
    <row r="12" spans="1:97" x14ac:dyDescent="0.25">
      <c r="B12" s="601" t="s">
        <v>46</v>
      </c>
      <c r="C12" s="83">
        <f>'DR Empresa'!C12-DR!$F$13</f>
        <v>48734.289575000003</v>
      </c>
      <c r="D12" s="83">
        <f>'DR Empresa'!D12-DR!$F$13</f>
        <v>84911.241366499977</v>
      </c>
      <c r="E12" s="83">
        <f>'DR Empresa'!E12-DR!$F$13</f>
        <v>100601.73219383002</v>
      </c>
      <c r="F12" s="83">
        <f>'DR Empresa'!F12-DR!$F$13</f>
        <v>106001.03283770656</v>
      </c>
      <c r="G12" s="83">
        <f>'DR Empresa'!G12-DR!$F$13</f>
        <v>111508.31949446071</v>
      </c>
      <c r="H12" s="83">
        <f>'DR Empresa'!H12-DR!$F$13</f>
        <v>117125.75188434991</v>
      </c>
      <c r="I12" s="83">
        <f>'DR Empresa'!I12-DR!$F$13</f>
        <v>122855.53292203695</v>
      </c>
      <c r="J12" s="83">
        <f>'DR Empresa'!J12-DR!$F$13</f>
        <v>128699.90958047769</v>
      </c>
      <c r="K12" s="83">
        <f>'DR Empresa'!K12-DR!$F$13</f>
        <v>134661.17377208726</v>
      </c>
      <c r="L12" s="83">
        <f>'DR Empresa'!L12-DR!$F$13</f>
        <v>140741.66324752901</v>
      </c>
    </row>
    <row r="13" spans="1:97" x14ac:dyDescent="0.25">
      <c r="B13" s="601" t="s">
        <v>47</v>
      </c>
      <c r="C13" s="83">
        <f>'DR Empresa'!C13-DR!$F$14</f>
        <v>0</v>
      </c>
      <c r="D13" s="83">
        <f>'DR Empresa'!D13-DR!$F$14</f>
        <v>0</v>
      </c>
      <c r="E13" s="83">
        <f>'DR Empresa'!E13-DR!$F$14</f>
        <v>0</v>
      </c>
      <c r="F13" s="83">
        <f>'DR Empresa'!F13-DR!$F$14</f>
        <v>0</v>
      </c>
      <c r="G13" s="83">
        <f>'DR Empresa'!G13-DR!$F$14</f>
        <v>0</v>
      </c>
      <c r="H13" s="83">
        <f>'DR Empresa'!H13-DR!$F$14</f>
        <v>0</v>
      </c>
      <c r="I13" s="83">
        <f>'DR Empresa'!I13-DR!$F$14</f>
        <v>0</v>
      </c>
      <c r="J13" s="83">
        <f>'DR Empresa'!J13-DR!$F$14</f>
        <v>0</v>
      </c>
      <c r="K13" s="83">
        <f>'DR Empresa'!K13-DR!$F$14</f>
        <v>0</v>
      </c>
      <c r="L13" s="83">
        <f>'DR Empresa'!L13-DR!$F$14</f>
        <v>0</v>
      </c>
    </row>
    <row r="14" spans="1:97" x14ac:dyDescent="0.25">
      <c r="B14" s="601" t="s">
        <v>48</v>
      </c>
      <c r="C14" s="83">
        <f>'DR Empresa'!C14-DR!$F$15</f>
        <v>-40.26</v>
      </c>
      <c r="D14" s="83">
        <f>'DR Empresa'!D14-DR!$F$15</f>
        <v>-40.26</v>
      </c>
      <c r="E14" s="83">
        <f>'DR Empresa'!E14-DR!$F$15</f>
        <v>-40.26</v>
      </c>
      <c r="F14" s="83">
        <f>'DR Empresa'!F14-DR!$F$15</f>
        <v>-40.26</v>
      </c>
      <c r="G14" s="83">
        <f>'DR Empresa'!G14-DR!$F$15</f>
        <v>-40.26</v>
      </c>
      <c r="H14" s="83">
        <f>'DR Empresa'!H14-DR!$F$15</f>
        <v>-40.26</v>
      </c>
      <c r="I14" s="83">
        <f>'DR Empresa'!I14-DR!$F$15</f>
        <v>-40.26</v>
      </c>
      <c r="J14" s="83">
        <f>'DR Empresa'!J14-DR!$F$15</f>
        <v>-40.26</v>
      </c>
      <c r="K14" s="83">
        <f>'DR Empresa'!K14-DR!$F$15</f>
        <v>-40.26</v>
      </c>
      <c r="L14" s="83">
        <f>'DR Empresa'!L14-DR!$F$15</f>
        <v>-40.26</v>
      </c>
    </row>
    <row r="15" spans="1:97" x14ac:dyDescent="0.25">
      <c r="B15" s="601" t="s">
        <v>49</v>
      </c>
      <c r="C15" s="83">
        <f>'DR Empresa'!C15-DR!$F$16</f>
        <v>0</v>
      </c>
      <c r="D15" s="83">
        <f>'DR Empresa'!D15-DR!$F$16</f>
        <v>0</v>
      </c>
      <c r="E15" s="83">
        <f>'DR Empresa'!E15-DR!$F$16</f>
        <v>0</v>
      </c>
      <c r="F15" s="83">
        <f>'DR Empresa'!F15-DR!$F$16</f>
        <v>0</v>
      </c>
      <c r="G15" s="83">
        <f>'DR Empresa'!G15-DR!$F$16</f>
        <v>0</v>
      </c>
      <c r="H15" s="83">
        <f>'DR Empresa'!H15-DR!$F$16</f>
        <v>0</v>
      </c>
      <c r="I15" s="83">
        <f>'DR Empresa'!I15-DR!$F$16</f>
        <v>0</v>
      </c>
      <c r="J15" s="83">
        <f>'DR Empresa'!J15-DR!$F$16</f>
        <v>0</v>
      </c>
      <c r="K15" s="83">
        <f>'DR Empresa'!K15-DR!$F$16</f>
        <v>0</v>
      </c>
      <c r="L15" s="83">
        <f>'DR Empresa'!L15-DR!$F$16</f>
        <v>0</v>
      </c>
    </row>
    <row r="16" spans="1:97" x14ac:dyDescent="0.25">
      <c r="B16" s="601" t="s">
        <v>50</v>
      </c>
      <c r="C16" s="83">
        <f>'DR Empresa'!C16-DR!$F$17</f>
        <v>0</v>
      </c>
      <c r="D16" s="83">
        <f>'DR Empresa'!D16-DR!$F$17</f>
        <v>0</v>
      </c>
      <c r="E16" s="83">
        <f>'DR Empresa'!E16-DR!$F$17</f>
        <v>0</v>
      </c>
      <c r="F16" s="83">
        <f>'DR Empresa'!F16-DR!$F$17</f>
        <v>0</v>
      </c>
      <c r="G16" s="83">
        <f>'DR Empresa'!G16-DR!$F$17</f>
        <v>0</v>
      </c>
      <c r="H16" s="83">
        <f>'DR Empresa'!H16-DR!$F$17</f>
        <v>0</v>
      </c>
      <c r="I16" s="83">
        <f>'DR Empresa'!I16-DR!$F$17</f>
        <v>0</v>
      </c>
      <c r="J16" s="83">
        <f>'DR Empresa'!J16-DR!$F$17</f>
        <v>0</v>
      </c>
      <c r="K16" s="83">
        <f>'DR Empresa'!K16-DR!$F$17</f>
        <v>0</v>
      </c>
      <c r="L16" s="83">
        <f>'DR Empresa'!L16-DR!$F$17</f>
        <v>0</v>
      </c>
    </row>
    <row r="17" spans="2:12" x14ac:dyDescent="0.25">
      <c r="B17" s="601" t="s">
        <v>51</v>
      </c>
      <c r="C17" s="83">
        <f>'DR Empresa'!C17-DR!$F$18</f>
        <v>0</v>
      </c>
      <c r="D17" s="83">
        <f>'DR Empresa'!D17-DR!$F$18</f>
        <v>0</v>
      </c>
      <c r="E17" s="83">
        <f>'DR Empresa'!E17-DR!$F$18</f>
        <v>0</v>
      </c>
      <c r="F17" s="83">
        <f>'DR Empresa'!F17-DR!$F$18</f>
        <v>0</v>
      </c>
      <c r="G17" s="83">
        <f>'DR Empresa'!G17-DR!$F$18</f>
        <v>0</v>
      </c>
      <c r="H17" s="83">
        <f>'DR Empresa'!H17-DR!$F$18</f>
        <v>0</v>
      </c>
      <c r="I17" s="83">
        <f>'DR Empresa'!I17-DR!$F$18</f>
        <v>0</v>
      </c>
      <c r="J17" s="83">
        <f>'DR Empresa'!J17-DR!$F$18</f>
        <v>0</v>
      </c>
      <c r="K17" s="83">
        <f>'DR Empresa'!K17-DR!$F$18</f>
        <v>0</v>
      </c>
      <c r="L17" s="83">
        <f>'DR Empresa'!L17-DR!$F$18</f>
        <v>0</v>
      </c>
    </row>
    <row r="18" spans="2:12" x14ac:dyDescent="0.25">
      <c r="B18" s="601" t="s">
        <v>52</v>
      </c>
      <c r="C18" s="83">
        <f>'DR Empresa'!C18-DR!$F$19</f>
        <v>0</v>
      </c>
      <c r="D18" s="83">
        <f>'DR Empresa'!D18-DR!$F$19</f>
        <v>0</v>
      </c>
      <c r="E18" s="83">
        <f>'DR Empresa'!E18-DR!$F$19</f>
        <v>0</v>
      </c>
      <c r="F18" s="83">
        <f>'DR Empresa'!F18-DR!$F$19</f>
        <v>0</v>
      </c>
      <c r="G18" s="83">
        <f>'DR Empresa'!G18-DR!$F$19</f>
        <v>0</v>
      </c>
      <c r="H18" s="83">
        <f>'DR Empresa'!H18-DR!$F$19</f>
        <v>0</v>
      </c>
      <c r="I18" s="83">
        <f>'DR Empresa'!I18-DR!$F$19</f>
        <v>0</v>
      </c>
      <c r="J18" s="83">
        <f>'DR Empresa'!J18-DR!$F$19</f>
        <v>0</v>
      </c>
      <c r="K18" s="83">
        <f>'DR Empresa'!K18-DR!$F$19</f>
        <v>0</v>
      </c>
      <c r="L18" s="83">
        <f>'DR Empresa'!L18-DR!$F$19</f>
        <v>0</v>
      </c>
    </row>
    <row r="19" spans="2:12" x14ac:dyDescent="0.25">
      <c r="B19" s="601" t="s">
        <v>53</v>
      </c>
      <c r="C19" s="83">
        <f>'DR Empresa'!C19-DR!$F$20</f>
        <v>-73417.34</v>
      </c>
      <c r="D19" s="83">
        <f>'DR Empresa'!D19-DR!$F$20</f>
        <v>-46221.59</v>
      </c>
      <c r="E19" s="83">
        <f>'DR Empresa'!E19-DR!$F$20</f>
        <v>-60800.464999999997</v>
      </c>
      <c r="F19" s="83">
        <f>'DR Empresa'!F19-DR!$F$20</f>
        <v>-70154.84</v>
      </c>
      <c r="G19" s="83">
        <f>'DR Empresa'!G19-DR!$F$20</f>
        <v>-70154.84</v>
      </c>
      <c r="H19" s="83">
        <f>'DR Empresa'!H19-DR!$F$20</f>
        <v>-73417.34</v>
      </c>
      <c r="I19" s="83">
        <f>'DR Empresa'!I19-DR!$F$20</f>
        <v>-73417.34</v>
      </c>
      <c r="J19" s="83">
        <f>'DR Empresa'!J19-DR!$F$20</f>
        <v>-73417.34</v>
      </c>
      <c r="K19" s="83">
        <f>'DR Empresa'!K19-DR!$F$20</f>
        <v>-73417.34</v>
      </c>
      <c r="L19" s="83">
        <f>'DR Empresa'!L19-DR!$F$20</f>
        <v>-73417.34</v>
      </c>
    </row>
    <row r="20" spans="2:12" x14ac:dyDescent="0.25">
      <c r="B20" s="603" t="s">
        <v>54</v>
      </c>
      <c r="C20" s="1011">
        <f>'DR Empresa'!C20-DR!$F$21</f>
        <v>-37622.480000000003</v>
      </c>
      <c r="D20" s="1011">
        <f>'DR Empresa'!D20-DR!$F$21</f>
        <v>-37622.480000000003</v>
      </c>
      <c r="E20" s="1011">
        <f>'DR Empresa'!E20-DR!$F$21</f>
        <v>-37622.480000000003</v>
      </c>
      <c r="F20" s="1011">
        <f>'DR Empresa'!F20-DR!$F$21</f>
        <v>-37622.480000000003</v>
      </c>
      <c r="G20" s="1011">
        <f>'DR Empresa'!G20-DR!$F$21</f>
        <v>-37622.480000000003</v>
      </c>
      <c r="H20" s="1011">
        <f>'DR Empresa'!H20-DR!$F$21</f>
        <v>-37622.480000000003</v>
      </c>
      <c r="I20" s="1011">
        <f>'DR Empresa'!I20-DR!$F$21</f>
        <v>-37622.480000000003</v>
      </c>
      <c r="J20" s="1011">
        <f>'DR Empresa'!J20-DR!$F$21</f>
        <v>-37622.480000000003</v>
      </c>
      <c r="K20" s="1011">
        <f>'DR Empresa'!K20-DR!$F$21</f>
        <v>-37622.480000000003</v>
      </c>
      <c r="L20" s="1011">
        <f>'DR Empresa'!L20-DR!$F$21</f>
        <v>-37622.480000000003</v>
      </c>
    </row>
    <row r="21" spans="2:12" x14ac:dyDescent="0.25">
      <c r="B21" s="604" t="s">
        <v>55</v>
      </c>
      <c r="C21" s="25">
        <f>C5+C6+C7+C8+C9-C10-C11-C12-C13-C14-C15-C16-C17+C18+C19-C20</f>
        <v>-6531.4312639501804</v>
      </c>
      <c r="D21" s="25">
        <f t="shared" ref="D21:L21" si="2">D5+D6+D7+D8+D9-D10-D11-D12-D13-D14-D15-D16-D17+D18+D19-D20</f>
        <v>35298.83754993444</v>
      </c>
      <c r="E21" s="25">
        <f t="shared" si="2"/>
        <v>28667.030623978513</v>
      </c>
      <c r="F21" s="25">
        <f t="shared" si="2"/>
        <v>43394.964588079405</v>
      </c>
      <c r="G21" s="25">
        <f t="shared" si="2"/>
        <v>45406.997228583881</v>
      </c>
      <c r="H21" s="25">
        <f t="shared" si="2"/>
        <v>44197.522453827471</v>
      </c>
      <c r="I21" s="25">
        <f t="shared" si="2"/>
        <v>46292.375229337929</v>
      </c>
      <c r="J21" s="25">
        <f t="shared" si="2"/>
        <v>48429.907523740003</v>
      </c>
      <c r="K21" s="25">
        <f t="shared" si="2"/>
        <v>50610.988654925059</v>
      </c>
      <c r="L21" s="25">
        <f t="shared" si="2"/>
        <v>52836.50564326629</v>
      </c>
    </row>
    <row r="22" spans="2:12" x14ac:dyDescent="0.25">
      <c r="B22" s="600" t="s">
        <v>56</v>
      </c>
      <c r="C22" s="606">
        <f>-Amortização!E98</f>
        <v>0</v>
      </c>
      <c r="D22" s="606">
        <f>-Amortização!F98</f>
        <v>-10000</v>
      </c>
      <c r="E22" s="606">
        <f>-Amortização!G98</f>
        <v>-10000</v>
      </c>
      <c r="F22" s="606">
        <f>-Amortização!H98</f>
        <v>-10000</v>
      </c>
      <c r="G22" s="606">
        <f>-Amortização!I98</f>
        <v>-10000</v>
      </c>
      <c r="H22" s="606">
        <f>-Amortização!J98</f>
        <v>0</v>
      </c>
      <c r="I22" s="606">
        <f>-Amortização!K98</f>
        <v>0</v>
      </c>
      <c r="J22" s="606">
        <f>-Amortização!L98</f>
        <v>0</v>
      </c>
      <c r="K22" s="606">
        <f>-Amortização!M98</f>
        <v>0</v>
      </c>
      <c r="L22" s="606">
        <f>-Amortização!N98</f>
        <v>0</v>
      </c>
    </row>
    <row r="23" spans="2:12" x14ac:dyDescent="0.25">
      <c r="B23" s="603" t="s">
        <v>57</v>
      </c>
      <c r="C23" s="620">
        <f>'DR Empresa'!C23-DR!$F$24</f>
        <v>0</v>
      </c>
      <c r="D23" s="620">
        <f>'DR Empresa'!D23-DR!$F$24</f>
        <v>0</v>
      </c>
      <c r="E23" s="620">
        <f>'DR Empresa'!E23-DR!$F$24</f>
        <v>0</v>
      </c>
      <c r="F23" s="620">
        <f>'DR Empresa'!F23-DR!$F$24</f>
        <v>0</v>
      </c>
      <c r="G23" s="620">
        <f>'DR Empresa'!G23-DR!$F$24</f>
        <v>0</v>
      </c>
      <c r="H23" s="620">
        <f>'DR Empresa'!H23-DR!$F$24</f>
        <v>0</v>
      </c>
      <c r="I23" s="620">
        <f>'DR Empresa'!I23-DR!$F$24</f>
        <v>0</v>
      </c>
      <c r="J23" s="620">
        <f>'DR Empresa'!J23-DR!$F$24</f>
        <v>0</v>
      </c>
      <c r="K23" s="620">
        <f>'DR Empresa'!K23-DR!$F$24</f>
        <v>0</v>
      </c>
      <c r="L23" s="620">
        <f>'DR Empresa'!L23-DR!$F$24</f>
        <v>0</v>
      </c>
    </row>
    <row r="24" spans="2:12" x14ac:dyDescent="0.25">
      <c r="B24" s="607" t="s">
        <v>58</v>
      </c>
      <c r="C24" s="25">
        <f>C21-C22-C23</f>
        <v>-6531.4312639501804</v>
      </c>
      <c r="D24" s="25">
        <f t="shared" ref="D24:L24" si="3">D21-D22-D23</f>
        <v>45298.83754993444</v>
      </c>
      <c r="E24" s="25">
        <f t="shared" si="3"/>
        <v>38667.030623978513</v>
      </c>
      <c r="F24" s="25">
        <f t="shared" si="3"/>
        <v>53394.964588079405</v>
      </c>
      <c r="G24" s="25">
        <f t="shared" si="3"/>
        <v>55406.997228583881</v>
      </c>
      <c r="H24" s="25">
        <f t="shared" si="3"/>
        <v>44197.522453827471</v>
      </c>
      <c r="I24" s="25">
        <f t="shared" si="3"/>
        <v>46292.375229337929</v>
      </c>
      <c r="J24" s="25">
        <f t="shared" si="3"/>
        <v>48429.907523740003</v>
      </c>
      <c r="K24" s="25">
        <f t="shared" si="3"/>
        <v>50610.988654925059</v>
      </c>
      <c r="L24" s="25">
        <f t="shared" si="3"/>
        <v>52836.50564326629</v>
      </c>
    </row>
    <row r="25" spans="2:12" x14ac:dyDescent="0.25">
      <c r="B25" s="600" t="s">
        <v>59</v>
      </c>
      <c r="C25" s="606">
        <f>'DR Empresa'!C25-DR!$F$26</f>
        <v>0</v>
      </c>
      <c r="D25" s="606">
        <f>'DR Empresa'!D25-DR!$F$26</f>
        <v>0</v>
      </c>
      <c r="E25" s="606">
        <f>'DR Empresa'!E25-DR!$F$26</f>
        <v>0</v>
      </c>
      <c r="F25" s="606">
        <f>'DR Empresa'!F25-DR!$F$26</f>
        <v>0</v>
      </c>
      <c r="G25" s="606">
        <f>'DR Empresa'!G25-DR!$F$26</f>
        <v>0</v>
      </c>
      <c r="H25" s="606">
        <f>'DR Empresa'!H25-DR!$F$26</f>
        <v>0</v>
      </c>
      <c r="I25" s="606">
        <f>'DR Empresa'!I25-DR!$F$26</f>
        <v>0</v>
      </c>
      <c r="J25" s="606">
        <f>'DR Empresa'!J25-DR!$F$26</f>
        <v>0</v>
      </c>
      <c r="K25" s="606">
        <f>'DR Empresa'!K25-DR!$F$26</f>
        <v>0</v>
      </c>
      <c r="L25" s="606">
        <f>'DR Empresa'!L25-DR!$F$26</f>
        <v>0</v>
      </c>
    </row>
    <row r="26" spans="2:12" x14ac:dyDescent="0.25">
      <c r="B26" s="603" t="s">
        <v>60</v>
      </c>
      <c r="C26" s="620">
        <f>'DR Empresa'!C26-DR!$F$27</f>
        <v>10619.26302798936</v>
      </c>
      <c r="D26" s="620">
        <f>'DR Empresa'!D26-DR!$F$27</f>
        <v>10604.009694958839</v>
      </c>
      <c r="E26" s="620">
        <f>'DR Empresa'!E26-DR!$F$27</f>
        <v>10542.996362836757</v>
      </c>
      <c r="F26" s="620">
        <f>'DR Empresa'!F26-DR!$F$27</f>
        <v>10481.983030714675</v>
      </c>
      <c r="G26" s="620">
        <f>'DR Empresa'!G26-DR!$F$27</f>
        <v>10420.969698592593</v>
      </c>
      <c r="H26" s="620">
        <f>'DR Empresa'!H26-DR!$F$27</f>
        <v>10375.209699501032</v>
      </c>
      <c r="I26" s="620">
        <f>'DR Empresa'!I26-DR!$F$27</f>
        <v>10375.209699501032</v>
      </c>
      <c r="J26" s="620">
        <f>'DR Empresa'!J26-DR!$F$27</f>
        <v>10375.209699501032</v>
      </c>
      <c r="K26" s="620">
        <f>'DR Empresa'!K26-DR!$F$27</f>
        <v>-1053</v>
      </c>
      <c r="L26" s="620">
        <f>'DR Empresa'!L26-DR!$F$27</f>
        <v>-1053</v>
      </c>
    </row>
    <row r="27" spans="2:12" x14ac:dyDescent="0.25">
      <c r="B27" s="607" t="s">
        <v>61</v>
      </c>
      <c r="C27" s="25">
        <f>C24+C25-C26</f>
        <v>-17150.694291939541</v>
      </c>
      <c r="D27" s="25">
        <f t="shared" ref="D27:L27" si="4">D24+D25-D26</f>
        <v>34694.8278549756</v>
      </c>
      <c r="E27" s="25">
        <f t="shared" si="4"/>
        <v>28124.034261141758</v>
      </c>
      <c r="F27" s="25">
        <f t="shared" si="4"/>
        <v>42912.981557364728</v>
      </c>
      <c r="G27" s="25">
        <f t="shared" si="4"/>
        <v>44986.02752999129</v>
      </c>
      <c r="H27" s="25">
        <f t="shared" si="4"/>
        <v>33822.312754326442</v>
      </c>
      <c r="I27" s="25">
        <f t="shared" si="4"/>
        <v>35917.165529836901</v>
      </c>
      <c r="J27" s="25">
        <f t="shared" si="4"/>
        <v>38054.697824238974</v>
      </c>
      <c r="K27" s="25">
        <f t="shared" si="4"/>
        <v>51663.988654925059</v>
      </c>
      <c r="L27" s="25">
        <f t="shared" si="4"/>
        <v>53889.50564326629</v>
      </c>
    </row>
    <row r="28" spans="2:12" x14ac:dyDescent="0.25">
      <c r="B28" s="608" t="s">
        <v>62</v>
      </c>
      <c r="C28" s="621">
        <f>MAX(0,C27*Pressupostos!$C$39)</f>
        <v>0</v>
      </c>
      <c r="D28" s="621">
        <f>MAX(0,D27*Pressupostos!$C$39)</f>
        <v>7806.3362673695092</v>
      </c>
      <c r="E28" s="621">
        <f>MAX(0,E27*Pressupostos!$C$39)</f>
        <v>6327.9077087568949</v>
      </c>
      <c r="F28" s="621">
        <f>MAX(0,F27*Pressupostos!$C$39)</f>
        <v>9655.420850407063</v>
      </c>
      <c r="G28" s="621">
        <f>MAX(0,G27*Pressupostos!$C$39)</f>
        <v>10121.856194248039</v>
      </c>
      <c r="H28" s="621">
        <f>MAX(0,H27*Pressupostos!$C$39)</f>
        <v>7610.0203697234483</v>
      </c>
      <c r="I28" s="621">
        <f>MAX(0,I27*Pressupostos!$C$39)</f>
        <v>8081.3622442133019</v>
      </c>
      <c r="J28" s="621">
        <f>MAX(0,J27*Pressupostos!$C$39)</f>
        <v>8562.3070104537692</v>
      </c>
      <c r="K28" s="621">
        <f>MAX(0,K27*Pressupostos!$C$39)</f>
        <v>11624.397447358137</v>
      </c>
      <c r="L28" s="621">
        <f>MAX(0,L27*Pressupostos!$C$39)</f>
        <v>12125.138769734915</v>
      </c>
    </row>
    <row r="29" spans="2:12" x14ac:dyDescent="0.25">
      <c r="B29" s="607" t="s">
        <v>63</v>
      </c>
      <c r="C29" s="25">
        <f>C27-C28</f>
        <v>-17150.694291939541</v>
      </c>
      <c r="D29" s="25">
        <f t="shared" ref="D29:L29" si="5">D27-D28</f>
        <v>26888.491587606091</v>
      </c>
      <c r="E29" s="25">
        <f t="shared" si="5"/>
        <v>21796.126552384863</v>
      </c>
      <c r="F29" s="25">
        <f t="shared" si="5"/>
        <v>33257.560706957665</v>
      </c>
      <c r="G29" s="25">
        <f t="shared" si="5"/>
        <v>34864.171335743253</v>
      </c>
      <c r="H29" s="25">
        <f t="shared" si="5"/>
        <v>26212.292384602995</v>
      </c>
      <c r="I29" s="25">
        <f t="shared" si="5"/>
        <v>27835.803285623599</v>
      </c>
      <c r="J29" s="25">
        <f t="shared" si="5"/>
        <v>29492.390813785205</v>
      </c>
      <c r="K29" s="25">
        <f t="shared" si="5"/>
        <v>40039.591207566918</v>
      </c>
      <c r="L29" s="25">
        <f t="shared" si="5"/>
        <v>41764.366873531377</v>
      </c>
    </row>
    <row r="30" spans="2:12" x14ac:dyDescent="0.25">
      <c r="B30" s="608"/>
      <c r="C30" s="609"/>
      <c r="D30" s="62"/>
      <c r="E30" s="62"/>
      <c r="F30" s="62"/>
      <c r="G30" s="62"/>
      <c r="H30" s="62"/>
      <c r="I30" s="62"/>
      <c r="J30" s="62"/>
      <c r="K30" s="62"/>
      <c r="L30" s="610"/>
    </row>
    <row r="31" spans="2:12" x14ac:dyDescent="0.25">
      <c r="B31" s="611" t="s">
        <v>64</v>
      </c>
      <c r="C31" s="25">
        <f>'DR Empresa'!C31-DR!$F$32</f>
        <v>2794443.9575638631</v>
      </c>
      <c r="D31" s="25">
        <f>'DR Empresa'!D31-DR!$F$32</f>
        <v>3086537.9341015648</v>
      </c>
      <c r="E31" s="25">
        <f>'DR Empresa'!E31-DR!$F$32</f>
        <v>3250794.0653322018</v>
      </c>
      <c r="F31" s="25">
        <f>'DR Empresa'!F31-DR!$F$32</f>
        <v>3449196.2919603772</v>
      </c>
      <c r="G31" s="25">
        <f>'DR Empresa'!G31-DR!$F$32</f>
        <v>3507627.1176270205</v>
      </c>
      <c r="H31" s="25">
        <f>'DR Empresa'!H31-DR!$F$32</f>
        <v>3578130.4226913238</v>
      </c>
      <c r="I31" s="25">
        <f>'DR Empresa'!I31-DR!$F$32</f>
        <v>3650050.8441874189</v>
      </c>
      <c r="J31" s="25">
        <f>'DR Empresa'!J31-DR!$F$32</f>
        <v>3723416.8661555857</v>
      </c>
      <c r="K31" s="25">
        <f>'DR Empresa'!K31-DR!$F$32</f>
        <v>3798257.5451653129</v>
      </c>
      <c r="L31" s="25">
        <f>'DR Empresa'!L31-DR!$F$32</f>
        <v>3874602.5218231366</v>
      </c>
    </row>
    <row r="32" spans="2:12" x14ac:dyDescent="0.25">
      <c r="C32" s="609"/>
      <c r="D32" s="62"/>
      <c r="E32" s="62"/>
      <c r="F32" s="62"/>
      <c r="G32" s="62"/>
      <c r="H32" s="62"/>
      <c r="I32" s="62"/>
      <c r="J32" s="62"/>
      <c r="K32" s="62"/>
      <c r="L32" s="610"/>
    </row>
    <row r="33" spans="2:12" x14ac:dyDescent="0.25">
      <c r="B33" s="612" t="s">
        <v>6</v>
      </c>
      <c r="C33" s="613">
        <f>C34+C35</f>
        <v>0</v>
      </c>
      <c r="D33" s="613">
        <f t="shared" ref="D33:L33" si="6">D34+D35</f>
        <v>0</v>
      </c>
      <c r="E33" s="613">
        <f t="shared" si="6"/>
        <v>0</v>
      </c>
      <c r="F33" s="613">
        <f t="shared" si="6"/>
        <v>0</v>
      </c>
      <c r="G33" s="613">
        <f t="shared" si="6"/>
        <v>0</v>
      </c>
      <c r="H33" s="613">
        <f t="shared" si="6"/>
        <v>0</v>
      </c>
      <c r="I33" s="613">
        <f t="shared" si="6"/>
        <v>0</v>
      </c>
      <c r="J33" s="613">
        <f t="shared" si="6"/>
        <v>0</v>
      </c>
      <c r="K33" s="613">
        <f t="shared" si="6"/>
        <v>0</v>
      </c>
      <c r="L33" s="614">
        <f t="shared" si="6"/>
        <v>0</v>
      </c>
    </row>
    <row r="34" spans="2:12" x14ac:dyDescent="0.25">
      <c r="B34" s="615" t="s">
        <v>66</v>
      </c>
      <c r="C34" s="602">
        <f>'DR Empresa'!C36-DR!$F$37</f>
        <v>0</v>
      </c>
      <c r="D34" s="602">
        <f>'DR Empresa'!D36-DR!$F$37</f>
        <v>0</v>
      </c>
      <c r="E34" s="602">
        <f>'DR Empresa'!E36-DR!$F$37</f>
        <v>0</v>
      </c>
      <c r="F34" s="602">
        <f>'DR Empresa'!F36-DR!$F$37</f>
        <v>0</v>
      </c>
      <c r="G34" s="602">
        <f>'DR Empresa'!G36-DR!$F$37</f>
        <v>0</v>
      </c>
      <c r="H34" s="602">
        <f>'DR Empresa'!H36-DR!$F$37</f>
        <v>0</v>
      </c>
      <c r="I34" s="602">
        <f>'DR Empresa'!I36-DR!$F$37</f>
        <v>0</v>
      </c>
      <c r="J34" s="602">
        <f>'DR Empresa'!J36-DR!$F$37</f>
        <v>0</v>
      </c>
      <c r="K34" s="602">
        <f>'DR Empresa'!K36-DR!$F$37</f>
        <v>0</v>
      </c>
      <c r="L34" s="602">
        <f>'DR Empresa'!L36-DR!$F$37</f>
        <v>0</v>
      </c>
    </row>
    <row r="35" spans="2:12" x14ac:dyDescent="0.25">
      <c r="B35" s="615" t="s">
        <v>67</v>
      </c>
      <c r="C35" s="602">
        <f>'DR Empresa'!C37-DR!$F$38</f>
        <v>0</v>
      </c>
      <c r="D35" s="602">
        <f>'DR Empresa'!D37-DR!$F$38</f>
        <v>0</v>
      </c>
      <c r="E35" s="602">
        <f>'DR Empresa'!E37-DR!$F$38</f>
        <v>0</v>
      </c>
      <c r="F35" s="602">
        <f>'DR Empresa'!F37-DR!$F$38</f>
        <v>0</v>
      </c>
      <c r="G35" s="602">
        <f>'DR Empresa'!G37-DR!$F$38</f>
        <v>0</v>
      </c>
      <c r="H35" s="602">
        <f>'DR Empresa'!H37-DR!$F$38</f>
        <v>0</v>
      </c>
      <c r="I35" s="602">
        <f>'DR Empresa'!I37-DR!$F$38</f>
        <v>0</v>
      </c>
      <c r="J35" s="602">
        <f>'DR Empresa'!J37-DR!$F$38</f>
        <v>0</v>
      </c>
      <c r="K35" s="602">
        <f>'DR Empresa'!K37-DR!$F$38</f>
        <v>0</v>
      </c>
      <c r="L35" s="602">
        <f>'DR Empresa'!L37-DR!$F$38</f>
        <v>0</v>
      </c>
    </row>
    <row r="36" spans="2:12" x14ac:dyDescent="0.25">
      <c r="B36" s="616" t="s">
        <v>7</v>
      </c>
      <c r="C36" s="617">
        <f>'DR Empresa'!C38-DR!$F$39</f>
        <v>210511.69447000045</v>
      </c>
      <c r="D36" s="617">
        <f>'DR Empresa'!D38-DR!$F$39</f>
        <v>433759.34645543573</v>
      </c>
      <c r="E36" s="617">
        <f>'DR Empresa'!E38-DR!$F$39</f>
        <v>670513.48138598958</v>
      </c>
      <c r="F36" s="617">
        <f>'DR Empresa'!F38-DR!$F$39</f>
        <v>921591.24147984153</v>
      </c>
      <c r="G36" s="617">
        <f>'DR Empresa'!G38-DR!$F$39</f>
        <v>1010053.8214475862</v>
      </c>
      <c r="H36" s="617">
        <f>'DR Empresa'!H38-DR!$F$39</f>
        <v>1100294.4992726822</v>
      </c>
      <c r="I36" s="617">
        <f>'DR Empresa'!I38-DR!$F$39</f>
        <v>1192349.0147220627</v>
      </c>
      <c r="J36" s="617">
        <f>'DR Empresa'!J38-DR!$F$39</f>
        <v>1286253.8259319761</v>
      </c>
      <c r="K36" s="617">
        <f>'DR Empresa'!K38-DR!$F$39</f>
        <v>1382046.1238472085</v>
      </c>
      <c r="L36" s="617">
        <f>'DR Empresa'!L38-DR!$F$39</f>
        <v>1479763.846950538</v>
      </c>
    </row>
    <row r="37" spans="2:12" x14ac:dyDescent="0.25"/>
    <row r="38" spans="2:12" x14ac:dyDescent="0.25"/>
    <row r="39" spans="2:12" x14ac:dyDescent="0.25"/>
    <row r="40" spans="2:12" x14ac:dyDescent="0.25"/>
    <row r="41" spans="2:12" x14ac:dyDescent="0.25"/>
    <row r="42" spans="2:12" x14ac:dyDescent="0.25"/>
    <row r="43" spans="2:12" x14ac:dyDescent="0.25"/>
    <row r="44" spans="2:12" x14ac:dyDescent="0.25"/>
    <row r="45" spans="2:12" x14ac:dyDescent="0.25"/>
    <row r="46" spans="2:12" x14ac:dyDescent="0.25"/>
    <row r="47" spans="2:12" x14ac:dyDescent="0.25"/>
    <row r="48" spans="2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</sheetData>
  <mergeCells count="2">
    <mergeCell ref="B2:L2"/>
    <mergeCell ref="C3:H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4">
    <tabColor theme="9"/>
  </sheetPr>
  <dimension ref="A1:AL28"/>
  <sheetViews>
    <sheetView tabSelected="1" workbookViewId="0">
      <pane xSplit="1" ySplit="24" topLeftCell="B25" activePane="bottomRight" state="frozen"/>
      <selection pane="topRight" activeCell="B1" sqref="B1"/>
      <selection pane="bottomLeft" activeCell="A25" sqref="A25"/>
      <selection pane="bottomRight" activeCell="E28" sqref="E28"/>
    </sheetView>
  </sheetViews>
  <sheetFormatPr defaultColWidth="9.42578125" defaultRowHeight="11.25" x14ac:dyDescent="0.25"/>
  <cols>
    <col min="1" max="1" width="1.85546875" style="77" customWidth="1"/>
    <col min="2" max="2" width="41.140625" style="77" bestFit="1" customWidth="1"/>
    <col min="3" max="3" width="9.5703125" style="77" customWidth="1"/>
    <col min="4" max="4" width="4.85546875" style="77" customWidth="1"/>
    <col min="5" max="5" width="9.7109375" style="77" bestFit="1" customWidth="1"/>
    <col min="6" max="6" width="11" style="77" customWidth="1"/>
    <col min="7" max="7" width="11.42578125" style="77" customWidth="1"/>
    <col min="8" max="8" width="11.140625" style="77" customWidth="1"/>
    <col min="9" max="38" width="9.42578125" style="77"/>
    <col min="39" max="16384" width="9.42578125" style="13"/>
  </cols>
  <sheetData>
    <row r="1" spans="1:38" s="797" customFormat="1" ht="12" thickBot="1" x14ac:dyDescent="0.3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</row>
    <row r="2" spans="1:38" s="797" customFormat="1" ht="12" thickBot="1" x14ac:dyDescent="0.3">
      <c r="A2" s="75"/>
      <c r="B2" s="1995" t="s">
        <v>366</v>
      </c>
      <c r="C2" s="1996"/>
      <c r="D2" s="1996"/>
      <c r="E2" s="1996"/>
      <c r="F2" s="933"/>
      <c r="G2" s="934"/>
      <c r="H2" s="935"/>
      <c r="I2" s="1150"/>
      <c r="J2" s="1151"/>
      <c r="K2" s="1151"/>
      <c r="L2" s="1151"/>
      <c r="M2" s="1151"/>
      <c r="N2" s="1152" t="s">
        <v>367</v>
      </c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</row>
    <row r="3" spans="1:38" s="797" customFormat="1" ht="12" thickBot="1" x14ac:dyDescent="0.3">
      <c r="A3" s="75"/>
      <c r="B3" s="936" t="s">
        <v>368</v>
      </c>
      <c r="C3" s="937" t="s">
        <v>149</v>
      </c>
      <c r="D3" s="938" t="s">
        <v>275</v>
      </c>
      <c r="E3" s="939">
        <f>Pressupostos!C11</f>
        <v>2020</v>
      </c>
      <c r="F3" s="940">
        <f>E3+1</f>
        <v>2021</v>
      </c>
      <c r="G3" s="940">
        <f>F3+1</f>
        <v>2022</v>
      </c>
      <c r="H3" s="941">
        <f>G3+1</f>
        <v>2023</v>
      </c>
      <c r="I3" s="939">
        <f t="shared" ref="I3:N3" si="0">H3+1</f>
        <v>2024</v>
      </c>
      <c r="J3" s="940">
        <f t="shared" si="0"/>
        <v>2025</v>
      </c>
      <c r="K3" s="940">
        <f t="shared" si="0"/>
        <v>2026</v>
      </c>
      <c r="L3" s="940">
        <f t="shared" si="0"/>
        <v>2027</v>
      </c>
      <c r="M3" s="940">
        <f t="shared" si="0"/>
        <v>2028</v>
      </c>
      <c r="N3" s="941">
        <f t="shared" si="0"/>
        <v>2029</v>
      </c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</row>
    <row r="4" spans="1:38" s="797" customFormat="1" x14ac:dyDescent="0.25">
      <c r="A4" s="75"/>
      <c r="B4" s="954" t="s">
        <v>369</v>
      </c>
      <c r="C4" s="955"/>
      <c r="D4" s="956"/>
      <c r="E4" s="986">
        <f>E5+E6+E7</f>
        <v>5158.8125</v>
      </c>
      <c r="F4" s="987">
        <f t="shared" ref="F4:N4" si="1">F5+F6+F7</f>
        <v>23355.7925</v>
      </c>
      <c r="G4" s="987">
        <f t="shared" si="1"/>
        <v>8572.6450000000004</v>
      </c>
      <c r="H4" s="988">
        <f t="shared" si="1"/>
        <v>0</v>
      </c>
      <c r="I4" s="986">
        <f t="shared" si="1"/>
        <v>0</v>
      </c>
      <c r="J4" s="987">
        <f t="shared" si="1"/>
        <v>0</v>
      </c>
      <c r="K4" s="987">
        <f t="shared" si="1"/>
        <v>0</v>
      </c>
      <c r="L4" s="987">
        <f t="shared" si="1"/>
        <v>0</v>
      </c>
      <c r="M4" s="987">
        <f t="shared" si="1"/>
        <v>0</v>
      </c>
      <c r="N4" s="988">
        <f t="shared" si="1"/>
        <v>0</v>
      </c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</row>
    <row r="5" spans="1:38" s="797" customFormat="1" x14ac:dyDescent="0.25">
      <c r="A5" s="75"/>
      <c r="B5" s="942" t="s">
        <v>370</v>
      </c>
      <c r="C5" s="268">
        <f>E5+F5+G5+H5</f>
        <v>0</v>
      </c>
      <c r="D5" s="957"/>
      <c r="E5" s="943">
        <v>0</v>
      </c>
      <c r="F5" s="274"/>
      <c r="G5" s="274"/>
      <c r="H5" s="944">
        <f>Faturas!G343</f>
        <v>0</v>
      </c>
      <c r="I5" s="943">
        <v>0</v>
      </c>
      <c r="J5" s="274">
        <v>0</v>
      </c>
      <c r="K5" s="274">
        <v>0</v>
      </c>
      <c r="L5" s="274">
        <v>0</v>
      </c>
      <c r="M5" s="274">
        <v>0</v>
      </c>
      <c r="N5" s="944">
        <v>0</v>
      </c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</row>
    <row r="6" spans="1:38" s="797" customFormat="1" x14ac:dyDescent="0.25">
      <c r="A6" s="75"/>
      <c r="B6" s="942" t="s">
        <v>371</v>
      </c>
      <c r="C6" s="268">
        <f t="shared" ref="C6:C7" si="2">E6+F6+G6+H6</f>
        <v>37087.25</v>
      </c>
      <c r="D6" s="957"/>
      <c r="E6" s="943">
        <f>0.25*E27</f>
        <v>5158.8125</v>
      </c>
      <c r="F6" s="943">
        <f t="shared" ref="F6:G6" si="3">0.25*F27</f>
        <v>23355.7925</v>
      </c>
      <c r="G6" s="943">
        <f t="shared" si="3"/>
        <v>8572.6450000000004</v>
      </c>
      <c r="H6" s="944">
        <f>Faturas!H343</f>
        <v>0</v>
      </c>
      <c r="I6" s="943">
        <v>0</v>
      </c>
      <c r="J6" s="274">
        <v>0</v>
      </c>
      <c r="K6" s="274">
        <v>0</v>
      </c>
      <c r="L6" s="274">
        <v>0</v>
      </c>
      <c r="M6" s="274">
        <v>0</v>
      </c>
      <c r="N6" s="944">
        <v>0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</row>
    <row r="7" spans="1:38" s="797" customFormat="1" x14ac:dyDescent="0.25">
      <c r="A7" s="75"/>
      <c r="B7" s="942" t="s">
        <v>372</v>
      </c>
      <c r="C7" s="268">
        <f t="shared" si="2"/>
        <v>0</v>
      </c>
      <c r="D7" s="957"/>
      <c r="E7" s="943">
        <v>0</v>
      </c>
      <c r="F7" s="274">
        <v>0</v>
      </c>
      <c r="G7" s="274">
        <v>0</v>
      </c>
      <c r="H7" s="944">
        <v>0</v>
      </c>
      <c r="I7" s="943">
        <v>0</v>
      </c>
      <c r="J7" s="274">
        <v>0</v>
      </c>
      <c r="K7" s="274">
        <v>0</v>
      </c>
      <c r="L7" s="274">
        <v>0</v>
      </c>
      <c r="M7" s="274">
        <v>0</v>
      </c>
      <c r="N7" s="944">
        <v>0</v>
      </c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</row>
    <row r="8" spans="1:38" s="945" customFormat="1" x14ac:dyDescent="0.25">
      <c r="B8" s="958" t="s">
        <v>373</v>
      </c>
      <c r="C8" s="289">
        <f>E8+F8+G8+H8</f>
        <v>81839.190356957857</v>
      </c>
      <c r="D8" s="959"/>
      <c r="E8" s="960">
        <f>0.3*E27</f>
        <v>6190.5749999999998</v>
      </c>
      <c r="F8" s="960">
        <f t="shared" ref="F8:G8" si="4">0.3*F27</f>
        <v>28026.950999999997</v>
      </c>
      <c r="G8" s="960">
        <f t="shared" si="4"/>
        <v>10287.174000000001</v>
      </c>
      <c r="H8" s="1143">
        <f>'DR Empresa'!F29-'DR Empresa'!F22-'DR Empresa'!F23+'DR Empresa'!F16+'DR Empresa'!F17</f>
        <v>37334.49035695786</v>
      </c>
      <c r="I8" s="960">
        <f>'DR Empresa'!G29-'DR Empresa'!G22-'DR Empresa'!G23+'DR Empresa'!G16+'DR Empresa'!G17</f>
        <v>38941.10098574344</v>
      </c>
      <c r="J8" s="291">
        <f>'DR Empresa'!H29-'DR Empresa'!H22-'DR Empresa'!H23+'DR Empresa'!H16+'DR Empresa'!H17</f>
        <v>55789.222034603183</v>
      </c>
      <c r="K8" s="291">
        <f>'DR Empresa'!I29-'DR Empresa'!I22-'DR Empresa'!I23+'DR Empresa'!I16+'DR Empresa'!I17</f>
        <v>57412.73293562379</v>
      </c>
      <c r="L8" s="291">
        <f>'DR Empresa'!J29-'DR Empresa'!J22-'DR Empresa'!J23+'DR Empresa'!J16+'DR Empresa'!J17</f>
        <v>59069.320463785392</v>
      </c>
      <c r="M8" s="291">
        <f>'DR Empresa'!K29-'DR Empresa'!K22-'DR Empresa'!K23+'DR Empresa'!K16+'DR Empresa'!K17</f>
        <v>69616.520857567113</v>
      </c>
      <c r="N8" s="1143">
        <f>'DR Empresa'!L29-'DR Empresa'!L22-'DR Empresa'!L23+'DR Empresa'!L16+'DR Empresa'!L17</f>
        <v>71341.296523531564</v>
      </c>
    </row>
    <row r="9" spans="1:38" s="797" customFormat="1" x14ac:dyDescent="0.25">
      <c r="A9" s="75"/>
      <c r="B9" s="961" t="s">
        <v>313</v>
      </c>
      <c r="C9" s="962">
        <f>SUM(C5:C8)</f>
        <v>118926.44035695786</v>
      </c>
      <c r="D9" s="963"/>
      <c r="E9" s="964">
        <f>E4+E8</f>
        <v>11349.387500000001</v>
      </c>
      <c r="F9" s="965">
        <f t="shared" ref="F9:N9" si="5">F4+F8</f>
        <v>51382.743499999997</v>
      </c>
      <c r="G9" s="965">
        <f t="shared" si="5"/>
        <v>18859.819000000003</v>
      </c>
      <c r="H9" s="966">
        <f t="shared" si="5"/>
        <v>37334.49035695786</v>
      </c>
      <c r="I9" s="964">
        <f t="shared" si="5"/>
        <v>38941.10098574344</v>
      </c>
      <c r="J9" s="965">
        <f t="shared" si="5"/>
        <v>55789.222034603183</v>
      </c>
      <c r="K9" s="965">
        <f t="shared" si="5"/>
        <v>57412.73293562379</v>
      </c>
      <c r="L9" s="965">
        <f t="shared" si="5"/>
        <v>59069.320463785392</v>
      </c>
      <c r="M9" s="965">
        <f t="shared" si="5"/>
        <v>69616.520857567113</v>
      </c>
      <c r="N9" s="966">
        <f t="shared" si="5"/>
        <v>71341.296523531564</v>
      </c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</row>
    <row r="10" spans="1:38" s="797" customFormat="1" x14ac:dyDescent="0.25">
      <c r="A10" s="75"/>
      <c r="B10" s="946" t="s">
        <v>374</v>
      </c>
      <c r="C10" s="967"/>
      <c r="D10" s="968"/>
      <c r="E10" s="1144">
        <f>E11+E12+E13+E14+E15</f>
        <v>0</v>
      </c>
      <c r="F10" s="1145">
        <f t="shared" ref="F10:N10" si="6">F11+F12+F13+F14+F15</f>
        <v>0</v>
      </c>
      <c r="G10" s="1145">
        <f t="shared" si="6"/>
        <v>0</v>
      </c>
      <c r="H10" s="1146">
        <f t="shared" si="6"/>
        <v>0</v>
      </c>
      <c r="I10" s="1144">
        <f t="shared" si="6"/>
        <v>0</v>
      </c>
      <c r="J10" s="1145">
        <f t="shared" si="6"/>
        <v>0</v>
      </c>
      <c r="K10" s="1145">
        <f t="shared" si="6"/>
        <v>0</v>
      </c>
      <c r="L10" s="1145">
        <f t="shared" si="6"/>
        <v>0</v>
      </c>
      <c r="M10" s="1145">
        <f t="shared" si="6"/>
        <v>0</v>
      </c>
      <c r="N10" s="1146">
        <f t="shared" si="6"/>
        <v>0</v>
      </c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</row>
    <row r="11" spans="1:38" s="797" customFormat="1" x14ac:dyDescent="0.25">
      <c r="A11" s="75"/>
      <c r="B11" s="947" t="s">
        <v>375</v>
      </c>
      <c r="C11" s="969">
        <f>E11+F11+G11+H11</f>
        <v>0</v>
      </c>
      <c r="D11" s="957"/>
      <c r="E11" s="948"/>
      <c r="F11" s="409"/>
      <c r="G11" s="409"/>
      <c r="H11" s="949"/>
      <c r="I11" s="948"/>
      <c r="J11" s="409"/>
      <c r="K11" s="409"/>
      <c r="L11" s="409"/>
      <c r="M11" s="409"/>
      <c r="N11" s="949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</row>
    <row r="12" spans="1:38" s="797" customFormat="1" x14ac:dyDescent="0.25">
      <c r="A12" s="75"/>
      <c r="B12" s="947" t="s">
        <v>376</v>
      </c>
      <c r="C12" s="969">
        <f t="shared" ref="C12:C17" si="7">E12+F12+G12+H12</f>
        <v>0</v>
      </c>
      <c r="D12" s="957"/>
      <c r="E12" s="948"/>
      <c r="F12" s="409"/>
      <c r="G12" s="409"/>
      <c r="H12" s="949"/>
      <c r="I12" s="948"/>
      <c r="J12" s="409"/>
      <c r="K12" s="409"/>
      <c r="L12" s="409"/>
      <c r="M12" s="409"/>
      <c r="N12" s="949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</row>
    <row r="13" spans="1:38" s="797" customFormat="1" x14ac:dyDescent="0.25">
      <c r="A13" s="75"/>
      <c r="B13" s="947" t="s">
        <v>377</v>
      </c>
      <c r="C13" s="969">
        <f t="shared" si="7"/>
        <v>0</v>
      </c>
      <c r="D13" s="957"/>
      <c r="E13" s="943"/>
      <c r="F13" s="274"/>
      <c r="G13" s="274"/>
      <c r="H13" s="944">
        <f>Faturas!I343</f>
        <v>0</v>
      </c>
      <c r="I13" s="943">
        <v>0</v>
      </c>
      <c r="J13" s="274">
        <v>0</v>
      </c>
      <c r="K13" s="274">
        <v>0</v>
      </c>
      <c r="L13" s="274">
        <v>0</v>
      </c>
      <c r="M13" s="274">
        <v>0</v>
      </c>
      <c r="N13" s="944">
        <v>0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</row>
    <row r="14" spans="1:38" s="797" customFormat="1" x14ac:dyDescent="0.25">
      <c r="A14" s="75"/>
      <c r="B14" s="947" t="s">
        <v>378</v>
      </c>
      <c r="C14" s="969">
        <f t="shared" si="7"/>
        <v>0</v>
      </c>
      <c r="D14" s="957"/>
      <c r="E14" s="948"/>
      <c r="F14" s="409"/>
      <c r="G14" s="409"/>
      <c r="H14" s="949"/>
      <c r="I14" s="948"/>
      <c r="J14" s="409"/>
      <c r="K14" s="409"/>
      <c r="L14" s="409"/>
      <c r="M14" s="409"/>
      <c r="N14" s="949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</row>
    <row r="15" spans="1:38" s="797" customFormat="1" x14ac:dyDescent="0.25">
      <c r="A15" s="75"/>
      <c r="B15" s="947" t="s">
        <v>379</v>
      </c>
      <c r="C15" s="969">
        <f t="shared" si="7"/>
        <v>0</v>
      </c>
      <c r="D15" s="957"/>
      <c r="E15" s="943">
        <f>E16+E17</f>
        <v>0</v>
      </c>
      <c r="F15" s="274">
        <f>F16+F17</f>
        <v>0</v>
      </c>
      <c r="G15" s="274">
        <f t="shared" ref="G15:N15" si="8">G16+G17</f>
        <v>0</v>
      </c>
      <c r="H15" s="944">
        <f t="shared" si="8"/>
        <v>0</v>
      </c>
      <c r="I15" s="943">
        <f t="shared" si="8"/>
        <v>0</v>
      </c>
      <c r="J15" s="274">
        <f t="shared" si="8"/>
        <v>0</v>
      </c>
      <c r="K15" s="274">
        <f t="shared" si="8"/>
        <v>0</v>
      </c>
      <c r="L15" s="274">
        <f t="shared" si="8"/>
        <v>0</v>
      </c>
      <c r="M15" s="274">
        <f t="shared" si="8"/>
        <v>0</v>
      </c>
      <c r="N15" s="944">
        <f t="shared" si="8"/>
        <v>0</v>
      </c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</row>
    <row r="16" spans="1:38" s="797" customFormat="1" x14ac:dyDescent="0.25">
      <c r="A16" s="75"/>
      <c r="B16" s="947"/>
      <c r="C16" s="969">
        <f t="shared" si="7"/>
        <v>0</v>
      </c>
      <c r="D16" s="957"/>
      <c r="E16" s="948"/>
      <c r="F16" s="409"/>
      <c r="G16" s="409"/>
      <c r="H16" s="949"/>
      <c r="I16" s="948"/>
      <c r="J16" s="409"/>
      <c r="K16" s="409"/>
      <c r="L16" s="409"/>
      <c r="M16" s="409"/>
      <c r="N16" s="949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</row>
    <row r="17" spans="1:38" s="797" customFormat="1" x14ac:dyDescent="0.25">
      <c r="A17" s="75"/>
      <c r="B17" s="972"/>
      <c r="C17" s="973">
        <f t="shared" si="7"/>
        <v>0</v>
      </c>
      <c r="D17" s="974"/>
      <c r="E17" s="975"/>
      <c r="F17" s="976"/>
      <c r="G17" s="976"/>
      <c r="H17" s="977"/>
      <c r="I17" s="975"/>
      <c r="J17" s="976"/>
      <c r="K17" s="976"/>
      <c r="L17" s="976"/>
      <c r="M17" s="976"/>
      <c r="N17" s="977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</row>
    <row r="18" spans="1:38" s="797" customFormat="1" x14ac:dyDescent="0.25">
      <c r="A18" s="75"/>
      <c r="B18" s="950" t="s">
        <v>313</v>
      </c>
      <c r="C18" s="984"/>
      <c r="D18" s="985"/>
      <c r="E18" s="1147">
        <f>SUM(E11:E17)</f>
        <v>0</v>
      </c>
      <c r="F18" s="1148">
        <f>SUM(F11:F17)</f>
        <v>0</v>
      </c>
      <c r="G18" s="1148">
        <f t="shared" ref="G18:N18" si="9">SUM(G11:G17)</f>
        <v>0</v>
      </c>
      <c r="H18" s="1149">
        <f t="shared" si="9"/>
        <v>0</v>
      </c>
      <c r="I18" s="1147">
        <f t="shared" si="9"/>
        <v>0</v>
      </c>
      <c r="J18" s="1148">
        <f t="shared" si="9"/>
        <v>0</v>
      </c>
      <c r="K18" s="1148">
        <f t="shared" si="9"/>
        <v>0</v>
      </c>
      <c r="L18" s="1148">
        <f t="shared" si="9"/>
        <v>0</v>
      </c>
      <c r="M18" s="1148">
        <f t="shared" si="9"/>
        <v>0</v>
      </c>
      <c r="N18" s="1149">
        <f t="shared" si="9"/>
        <v>0</v>
      </c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</row>
    <row r="19" spans="1:38" s="797" customFormat="1" x14ac:dyDescent="0.25">
      <c r="A19" s="75"/>
      <c r="B19" s="1126" t="s">
        <v>380</v>
      </c>
      <c r="C19" s="1127"/>
      <c r="D19" s="1128"/>
      <c r="E19" s="1140">
        <f>E20+E21</f>
        <v>9285.8625000000011</v>
      </c>
      <c r="F19" s="1141">
        <f t="shared" ref="F19:N19" si="10">F20+F21</f>
        <v>42040.426500000001</v>
      </c>
      <c r="G19" s="1141">
        <f t="shared" si="10"/>
        <v>15430.761</v>
      </c>
      <c r="H19" s="1142">
        <f t="shared" si="10"/>
        <v>0</v>
      </c>
      <c r="I19" s="1129">
        <f t="shared" si="10"/>
        <v>0</v>
      </c>
      <c r="J19" s="278">
        <f t="shared" si="10"/>
        <v>0</v>
      </c>
      <c r="K19" s="278">
        <f t="shared" si="10"/>
        <v>0</v>
      </c>
      <c r="L19" s="278">
        <f t="shared" si="10"/>
        <v>0</v>
      </c>
      <c r="M19" s="278">
        <f t="shared" si="10"/>
        <v>0</v>
      </c>
      <c r="N19" s="1130">
        <f t="shared" si="10"/>
        <v>0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</row>
    <row r="20" spans="1:38" s="797" customFormat="1" x14ac:dyDescent="0.25">
      <c r="A20" s="75"/>
      <c r="B20" s="951" t="s">
        <v>381</v>
      </c>
      <c r="C20" s="1131"/>
      <c r="D20" s="1128"/>
      <c r="E20" s="948"/>
      <c r="F20" s="409"/>
      <c r="G20" s="409"/>
      <c r="H20" s="949"/>
      <c r="I20" s="948"/>
      <c r="J20" s="409"/>
      <c r="K20" s="409"/>
      <c r="L20" s="409"/>
      <c r="M20" s="409"/>
      <c r="N20" s="949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</row>
    <row r="21" spans="1:38" s="797" customFormat="1" x14ac:dyDescent="0.25">
      <c r="A21" s="75"/>
      <c r="B21" s="952" t="s">
        <v>382</v>
      </c>
      <c r="C21" s="1132"/>
      <c r="D21" s="1133"/>
      <c r="E21" s="409">
        <f>0.45*E27</f>
        <v>9285.8625000000011</v>
      </c>
      <c r="F21" s="409">
        <f>0.45*F27</f>
        <v>42040.426500000001</v>
      </c>
      <c r="G21" s="409">
        <f>0.45*G27</f>
        <v>15430.761</v>
      </c>
      <c r="H21" s="949"/>
      <c r="I21" s="948"/>
      <c r="J21" s="409"/>
      <c r="K21" s="409"/>
      <c r="L21" s="409"/>
      <c r="M21" s="409"/>
      <c r="N21" s="949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</row>
    <row r="22" spans="1:38" s="797" customFormat="1" x14ac:dyDescent="0.25">
      <c r="A22" s="75"/>
      <c r="B22" s="1134" t="s">
        <v>313</v>
      </c>
      <c r="C22" s="1135"/>
      <c r="D22" s="1136"/>
      <c r="E22" s="1137">
        <f>E19</f>
        <v>9285.8625000000011</v>
      </c>
      <c r="F22" s="1138">
        <f t="shared" ref="F22:N22" si="11">F19</f>
        <v>42040.426500000001</v>
      </c>
      <c r="G22" s="1138">
        <f t="shared" si="11"/>
        <v>15430.761</v>
      </c>
      <c r="H22" s="1139">
        <f t="shared" si="11"/>
        <v>0</v>
      </c>
      <c r="I22" s="1137">
        <f t="shared" si="11"/>
        <v>0</v>
      </c>
      <c r="J22" s="1138">
        <f t="shared" si="11"/>
        <v>0</v>
      </c>
      <c r="K22" s="1138">
        <f t="shared" si="11"/>
        <v>0</v>
      </c>
      <c r="L22" s="1138">
        <f t="shared" si="11"/>
        <v>0</v>
      </c>
      <c r="M22" s="1138">
        <f t="shared" si="11"/>
        <v>0</v>
      </c>
      <c r="N22" s="1139">
        <f t="shared" si="11"/>
        <v>0</v>
      </c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</row>
    <row r="23" spans="1:38" s="797" customFormat="1" x14ac:dyDescent="0.25">
      <c r="A23" s="75"/>
      <c r="B23" s="978" t="s">
        <v>383</v>
      </c>
      <c r="C23" s="979"/>
      <c r="D23" s="980"/>
      <c r="E23" s="970"/>
      <c r="F23" s="411"/>
      <c r="G23" s="411"/>
      <c r="H23" s="971"/>
      <c r="I23" s="981"/>
      <c r="J23" s="982"/>
      <c r="K23" s="982"/>
      <c r="L23" s="982"/>
      <c r="M23" s="982"/>
      <c r="N23" s="983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</row>
    <row r="24" spans="1:38" s="797" customFormat="1" x14ac:dyDescent="0.25">
      <c r="A24" s="75"/>
      <c r="B24" s="950" t="s">
        <v>384</v>
      </c>
      <c r="C24" s="984"/>
      <c r="D24" s="985"/>
      <c r="E24" s="1148">
        <f>E9+E18+E22</f>
        <v>20635.25</v>
      </c>
      <c r="F24" s="1148">
        <f>F9+F18+F22</f>
        <v>93423.17</v>
      </c>
      <c r="G24" s="1148">
        <f t="shared" ref="G24:N24" si="12">G9+G18+G22</f>
        <v>34290.58</v>
      </c>
      <c r="H24" s="1148">
        <f t="shared" si="12"/>
        <v>37334.49035695786</v>
      </c>
      <c r="I24" s="1148">
        <f t="shared" si="12"/>
        <v>38941.10098574344</v>
      </c>
      <c r="J24" s="1148">
        <f t="shared" si="12"/>
        <v>55789.222034603183</v>
      </c>
      <c r="K24" s="1148">
        <f t="shared" si="12"/>
        <v>57412.73293562379</v>
      </c>
      <c r="L24" s="1148">
        <f t="shared" si="12"/>
        <v>59069.320463785392</v>
      </c>
      <c r="M24" s="1148">
        <f t="shared" si="12"/>
        <v>69616.520857567113</v>
      </c>
      <c r="N24" s="1148">
        <f t="shared" si="12"/>
        <v>71341.296523531564</v>
      </c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</row>
    <row r="26" spans="1:38" x14ac:dyDescent="0.25">
      <c r="K26" s="960">
        <v>11343.887500000001</v>
      </c>
      <c r="L26" s="291">
        <v>51382.743500000004</v>
      </c>
      <c r="M26" s="291">
        <v>18859.819000000003</v>
      </c>
    </row>
    <row r="27" spans="1:38" x14ac:dyDescent="0.25">
      <c r="C27" s="77" t="s">
        <v>1456</v>
      </c>
      <c r="E27" s="1834">
        <v>20635.25</v>
      </c>
      <c r="F27" s="1834">
        <f>+[1]Folha2!H45</f>
        <v>93423.17</v>
      </c>
      <c r="G27" s="1834">
        <f>+[1]Folha2!I45</f>
        <v>34290.58</v>
      </c>
    </row>
    <row r="28" spans="1:38" x14ac:dyDescent="0.25">
      <c r="B28" s="953"/>
      <c r="C28" s="492"/>
    </row>
  </sheetData>
  <mergeCells count="1">
    <mergeCell ref="B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6"/>
  <dimension ref="A1:AI48"/>
  <sheetViews>
    <sheetView workbookViewId="0">
      <selection activeCell="A4" sqref="A4"/>
    </sheetView>
  </sheetViews>
  <sheetFormatPr defaultColWidth="9.140625" defaultRowHeight="11.25" x14ac:dyDescent="0.2"/>
  <cols>
    <col min="1" max="2" width="9.140625" style="451"/>
    <col min="3" max="3" width="12.85546875" style="451" customWidth="1"/>
    <col min="4" max="4" width="9.5703125" style="451" customWidth="1"/>
    <col min="5" max="5" width="11.140625" style="451" customWidth="1"/>
    <col min="6" max="7" width="9.140625" style="451"/>
    <col min="8" max="8" width="9.5703125" style="451" customWidth="1"/>
    <col min="9" max="9" width="9.7109375" style="451" customWidth="1"/>
    <col min="10" max="10" width="16.85546875" style="451" customWidth="1"/>
    <col min="11" max="11" width="15.5703125" style="451" customWidth="1"/>
    <col min="12" max="17" width="9.140625" style="451"/>
    <col min="18" max="18" width="1.85546875" style="451" customWidth="1"/>
    <col min="19" max="26" width="9.140625" style="451"/>
    <col min="27" max="27" width="2.140625" style="451" customWidth="1"/>
    <col min="28" max="16384" width="9.140625" style="451"/>
  </cols>
  <sheetData>
    <row r="1" spans="1:35" ht="12" thickBot="1" x14ac:dyDescent="0.25">
      <c r="A1" s="1081" t="s">
        <v>365</v>
      </c>
      <c r="B1" s="1082"/>
      <c r="C1" s="415"/>
      <c r="D1" s="415"/>
      <c r="E1" s="415"/>
      <c r="F1" s="415"/>
      <c r="G1" s="415"/>
      <c r="H1" s="416" t="s">
        <v>70</v>
      </c>
      <c r="J1" s="1081" t="s">
        <v>365</v>
      </c>
      <c r="K1" s="1082"/>
      <c r="L1" s="415"/>
      <c r="M1" s="415"/>
      <c r="N1" s="415"/>
      <c r="O1" s="415"/>
      <c r="P1" s="415"/>
      <c r="Q1" s="416" t="s">
        <v>70</v>
      </c>
      <c r="S1" s="1081" t="s">
        <v>365</v>
      </c>
      <c r="T1" s="1082"/>
      <c r="U1" s="415"/>
      <c r="V1" s="415"/>
      <c r="W1" s="415"/>
      <c r="X1" s="415"/>
      <c r="Y1" s="415"/>
      <c r="Z1" s="416" t="s">
        <v>70</v>
      </c>
      <c r="AB1" s="1081" t="s">
        <v>365</v>
      </c>
      <c r="AC1" s="1082"/>
      <c r="AD1" s="415"/>
      <c r="AE1" s="415"/>
      <c r="AF1" s="415"/>
      <c r="AG1" s="415"/>
      <c r="AH1" s="415"/>
      <c r="AI1" s="416" t="s">
        <v>70</v>
      </c>
    </row>
    <row r="2" spans="1:35" x14ac:dyDescent="0.2">
      <c r="A2" s="426"/>
      <c r="B2" s="418"/>
      <c r="C2" s="418"/>
      <c r="D2" s="418"/>
      <c r="E2" s="418"/>
      <c r="F2" s="418"/>
      <c r="G2" s="418"/>
      <c r="H2" s="423"/>
      <c r="J2" s="426"/>
      <c r="K2" s="418"/>
      <c r="L2" s="418"/>
      <c r="M2" s="418"/>
      <c r="N2" s="418"/>
      <c r="O2" s="418"/>
      <c r="P2" s="418"/>
      <c r="Q2" s="423"/>
      <c r="S2" s="426"/>
      <c r="T2" s="418"/>
      <c r="U2" s="418"/>
      <c r="V2" s="418"/>
      <c r="W2" s="418"/>
      <c r="X2" s="418"/>
      <c r="Y2" s="418"/>
      <c r="Z2" s="423"/>
      <c r="AB2" s="426"/>
      <c r="AC2" s="418"/>
      <c r="AD2" s="418"/>
      <c r="AE2" s="418"/>
      <c r="AF2" s="418"/>
      <c r="AG2" s="418"/>
      <c r="AH2" s="418"/>
      <c r="AI2" s="423"/>
    </row>
    <row r="3" spans="1:35" x14ac:dyDescent="0.2">
      <c r="A3" s="426" t="s">
        <v>227</v>
      </c>
      <c r="B3" s="418"/>
      <c r="C3" s="418"/>
      <c r="D3" s="429">
        <f>Pressupostos!C11</f>
        <v>2020</v>
      </c>
      <c r="E3" s="418"/>
      <c r="F3" s="418"/>
      <c r="G3" s="418"/>
      <c r="H3" s="423"/>
      <c r="J3" s="426" t="s">
        <v>227</v>
      </c>
      <c r="K3" s="418"/>
      <c r="L3" s="418"/>
      <c r="M3" s="429">
        <f>D3+1</f>
        <v>2021</v>
      </c>
      <c r="N3" s="418"/>
      <c r="O3" s="418"/>
      <c r="P3" s="418"/>
      <c r="Q3" s="423"/>
      <c r="S3" s="426" t="s">
        <v>227</v>
      </c>
      <c r="T3" s="418"/>
      <c r="U3" s="418"/>
      <c r="V3" s="429">
        <f>M3+1</f>
        <v>2022</v>
      </c>
      <c r="W3" s="418"/>
      <c r="X3" s="418"/>
      <c r="Y3" s="418"/>
      <c r="Z3" s="423"/>
      <c r="AB3" s="426" t="s">
        <v>227</v>
      </c>
      <c r="AC3" s="418"/>
      <c r="AD3" s="418"/>
      <c r="AE3" s="429">
        <f>V3+1</f>
        <v>2023</v>
      </c>
      <c r="AF3" s="418"/>
      <c r="AG3" s="418"/>
      <c r="AH3" s="418"/>
      <c r="AI3" s="423"/>
    </row>
    <row r="4" spans="1:35" x14ac:dyDescent="0.2">
      <c r="A4" s="426" t="s">
        <v>226</v>
      </c>
      <c r="B4" s="418"/>
      <c r="C4" s="418"/>
      <c r="D4" s="433">
        <f>Faturas!I340</f>
        <v>5156.3124999999991</v>
      </c>
      <c r="E4" s="428"/>
      <c r="F4" s="428"/>
      <c r="G4" s="428"/>
      <c r="H4" s="434"/>
      <c r="J4" s="426" t="s">
        <v>226</v>
      </c>
      <c r="K4" s="418"/>
      <c r="L4" s="418"/>
      <c r="M4" s="433">
        <v>0</v>
      </c>
      <c r="N4" s="428"/>
      <c r="O4" s="428"/>
      <c r="P4" s="428"/>
      <c r="Q4" s="434"/>
      <c r="S4" s="426" t="s">
        <v>226</v>
      </c>
      <c r="T4" s="418"/>
      <c r="U4" s="418"/>
      <c r="V4" s="433">
        <v>0</v>
      </c>
      <c r="W4" s="428"/>
      <c r="X4" s="428"/>
      <c r="Y4" s="428"/>
      <c r="Z4" s="434"/>
      <c r="AB4" s="426" t="s">
        <v>226</v>
      </c>
      <c r="AC4" s="418"/>
      <c r="AD4" s="418"/>
      <c r="AE4" s="433">
        <f>Faturas!I343</f>
        <v>0</v>
      </c>
      <c r="AF4" s="428"/>
      <c r="AG4" s="428"/>
      <c r="AH4" s="428"/>
      <c r="AI4" s="434"/>
    </row>
    <row r="5" spans="1:35" x14ac:dyDescent="0.2">
      <c r="A5" s="430" t="s">
        <v>231</v>
      </c>
      <c r="B5" s="435"/>
      <c r="C5" s="418"/>
      <c r="D5" s="431">
        <v>5</v>
      </c>
      <c r="E5" s="428" t="s">
        <v>232</v>
      </c>
      <c r="F5" s="428"/>
      <c r="G5" s="428"/>
      <c r="H5" s="434"/>
      <c r="J5" s="430" t="s">
        <v>231</v>
      </c>
      <c r="K5" s="435"/>
      <c r="L5" s="418"/>
      <c r="M5" s="431">
        <v>5</v>
      </c>
      <c r="N5" s="428" t="s">
        <v>232</v>
      </c>
      <c r="O5" s="428"/>
      <c r="P5" s="428"/>
      <c r="Q5" s="434"/>
      <c r="S5" s="430" t="s">
        <v>231</v>
      </c>
      <c r="T5" s="435"/>
      <c r="U5" s="418"/>
      <c r="V5" s="431">
        <v>5</v>
      </c>
      <c r="W5" s="428" t="s">
        <v>232</v>
      </c>
      <c r="X5" s="428"/>
      <c r="Y5" s="428"/>
      <c r="Z5" s="434"/>
      <c r="AB5" s="430" t="s">
        <v>231</v>
      </c>
      <c r="AC5" s="435"/>
      <c r="AD5" s="418"/>
      <c r="AE5" s="431">
        <v>5</v>
      </c>
      <c r="AF5" s="428" t="s">
        <v>232</v>
      </c>
      <c r="AG5" s="428"/>
      <c r="AH5" s="428"/>
      <c r="AI5" s="434"/>
    </row>
    <row r="6" spans="1:35" x14ac:dyDescent="0.2">
      <c r="A6" s="426" t="s">
        <v>230</v>
      </c>
      <c r="B6" s="418"/>
      <c r="C6" s="418"/>
      <c r="D6" s="431">
        <v>1</v>
      </c>
      <c r="E6" s="428" t="s">
        <v>232</v>
      </c>
      <c r="F6" s="428"/>
      <c r="G6" s="428"/>
      <c r="H6" s="434"/>
      <c r="J6" s="426" t="s">
        <v>230</v>
      </c>
      <c r="K6" s="418"/>
      <c r="L6" s="418"/>
      <c r="M6" s="431">
        <v>1</v>
      </c>
      <c r="N6" s="428" t="s">
        <v>232</v>
      </c>
      <c r="O6" s="428"/>
      <c r="P6" s="428"/>
      <c r="Q6" s="434"/>
      <c r="S6" s="426" t="s">
        <v>230</v>
      </c>
      <c r="T6" s="418"/>
      <c r="U6" s="418"/>
      <c r="V6" s="431">
        <v>0</v>
      </c>
      <c r="W6" s="428" t="s">
        <v>232</v>
      </c>
      <c r="X6" s="428"/>
      <c r="Y6" s="428"/>
      <c r="Z6" s="434"/>
      <c r="AB6" s="426" t="s">
        <v>230</v>
      </c>
      <c r="AC6" s="418"/>
      <c r="AD6" s="418"/>
      <c r="AE6" s="431">
        <v>0</v>
      </c>
      <c r="AF6" s="428" t="s">
        <v>232</v>
      </c>
      <c r="AG6" s="428"/>
      <c r="AH6" s="428"/>
      <c r="AI6" s="434"/>
    </row>
    <row r="7" spans="1:35" x14ac:dyDescent="0.2">
      <c r="A7" s="426"/>
      <c r="B7" s="418"/>
      <c r="C7" s="418"/>
      <c r="D7" s="428"/>
      <c r="E7" s="428"/>
      <c r="F7" s="428"/>
      <c r="G7" s="428"/>
      <c r="H7" s="434"/>
      <c r="J7" s="426"/>
      <c r="K7" s="418"/>
      <c r="L7" s="418"/>
      <c r="M7" s="428"/>
      <c r="N7" s="428"/>
      <c r="O7" s="428"/>
      <c r="P7" s="428"/>
      <c r="Q7" s="434"/>
      <c r="S7" s="426"/>
      <c r="T7" s="418"/>
      <c r="U7" s="418"/>
      <c r="V7" s="428"/>
      <c r="W7" s="428"/>
      <c r="X7" s="428"/>
      <c r="Y7" s="428"/>
      <c r="Z7" s="434"/>
      <c r="AB7" s="426"/>
      <c r="AC7" s="418"/>
      <c r="AD7" s="418"/>
      <c r="AE7" s="428"/>
      <c r="AF7" s="428"/>
      <c r="AG7" s="428"/>
      <c r="AH7" s="428"/>
      <c r="AI7" s="434"/>
    </row>
    <row r="8" spans="1:35" x14ac:dyDescent="0.2">
      <c r="A8" s="426" t="s">
        <v>238</v>
      </c>
      <c r="B8" s="418"/>
      <c r="C8" s="418"/>
      <c r="D8" s="428"/>
      <c r="E8" s="428"/>
      <c r="F8" s="428"/>
      <c r="G8" s="428"/>
      <c r="H8" s="434"/>
      <c r="J8" s="426" t="s">
        <v>238</v>
      </c>
      <c r="K8" s="418"/>
      <c r="L8" s="418"/>
      <c r="M8" s="428"/>
      <c r="N8" s="428"/>
      <c r="O8" s="428"/>
      <c r="P8" s="428"/>
      <c r="Q8" s="434"/>
      <c r="S8" s="426" t="s">
        <v>238</v>
      </c>
      <c r="T8" s="418"/>
      <c r="U8" s="418"/>
      <c r="V8" s="428"/>
      <c r="W8" s="428"/>
      <c r="X8" s="428"/>
      <c r="Y8" s="428"/>
      <c r="Z8" s="434"/>
      <c r="AB8" s="426" t="s">
        <v>238</v>
      </c>
      <c r="AC8" s="418"/>
      <c r="AD8" s="418"/>
      <c r="AE8" s="428"/>
      <c r="AF8" s="428"/>
      <c r="AG8" s="428"/>
      <c r="AH8" s="428"/>
      <c r="AI8" s="434"/>
    </row>
    <row r="9" spans="1:35" x14ac:dyDescent="0.2">
      <c r="A9" s="426" t="s">
        <v>244</v>
      </c>
      <c r="B9" s="418"/>
      <c r="C9" s="418"/>
      <c r="D9" s="440" t="s">
        <v>245</v>
      </c>
      <c r="E9" s="427"/>
      <c r="F9" s="428"/>
      <c r="G9" s="428"/>
      <c r="H9" s="434"/>
      <c r="J9" s="426" t="s">
        <v>244</v>
      </c>
      <c r="K9" s="418"/>
      <c r="L9" s="418"/>
      <c r="M9" s="440" t="s">
        <v>245</v>
      </c>
      <c r="N9" s="427"/>
      <c r="O9" s="428"/>
      <c r="P9" s="428"/>
      <c r="Q9" s="434"/>
      <c r="S9" s="426" t="s">
        <v>244</v>
      </c>
      <c r="T9" s="418"/>
      <c r="U9" s="418"/>
      <c r="V9" s="440" t="s">
        <v>245</v>
      </c>
      <c r="W9" s="427"/>
      <c r="X9" s="428"/>
      <c r="Y9" s="428"/>
      <c r="Z9" s="434"/>
      <c r="AB9" s="426" t="s">
        <v>244</v>
      </c>
      <c r="AC9" s="418"/>
      <c r="AD9" s="418"/>
      <c r="AE9" s="440" t="s">
        <v>245</v>
      </c>
      <c r="AF9" s="427"/>
      <c r="AG9" s="428"/>
      <c r="AH9" s="428"/>
      <c r="AI9" s="434"/>
    </row>
    <row r="10" spans="1:35" x14ac:dyDescent="0.2">
      <c r="A10" s="426" t="s">
        <v>247</v>
      </c>
      <c r="B10" s="418"/>
      <c r="C10" s="418"/>
      <c r="D10" s="429">
        <v>10</v>
      </c>
      <c r="E10" s="427"/>
      <c r="F10" s="428"/>
      <c r="G10" s="428"/>
      <c r="H10" s="434"/>
      <c r="J10" s="426" t="s">
        <v>247</v>
      </c>
      <c r="K10" s="418"/>
      <c r="L10" s="418"/>
      <c r="M10" s="429">
        <v>10</v>
      </c>
      <c r="N10" s="427"/>
      <c r="O10" s="428"/>
      <c r="P10" s="428"/>
      <c r="Q10" s="434"/>
      <c r="S10" s="426" t="s">
        <v>247</v>
      </c>
      <c r="T10" s="418"/>
      <c r="U10" s="418"/>
      <c r="V10" s="429">
        <v>10</v>
      </c>
      <c r="W10" s="427"/>
      <c r="X10" s="428"/>
      <c r="Y10" s="428"/>
      <c r="Z10" s="434"/>
      <c r="AB10" s="426" t="s">
        <v>247</v>
      </c>
      <c r="AC10" s="418"/>
      <c r="AD10" s="418"/>
      <c r="AE10" s="429">
        <v>10</v>
      </c>
      <c r="AF10" s="427"/>
      <c r="AG10" s="428"/>
      <c r="AH10" s="428"/>
      <c r="AI10" s="434"/>
    </row>
    <row r="11" spans="1:35" x14ac:dyDescent="0.2">
      <c r="A11" s="426"/>
      <c r="B11" s="418"/>
      <c r="C11" s="418"/>
      <c r="D11" s="443"/>
      <c r="E11" s="428"/>
      <c r="F11" s="428"/>
      <c r="G11" s="428"/>
      <c r="H11" s="434"/>
      <c r="J11" s="426"/>
      <c r="K11" s="418"/>
      <c r="L11" s="418"/>
      <c r="M11" s="443"/>
      <c r="N11" s="428"/>
      <c r="O11" s="428"/>
      <c r="P11" s="428"/>
      <c r="Q11" s="434"/>
      <c r="S11" s="426"/>
      <c r="T11" s="418"/>
      <c r="U11" s="418"/>
      <c r="V11" s="443"/>
      <c r="W11" s="428"/>
      <c r="X11" s="428"/>
      <c r="Y11" s="428"/>
      <c r="Z11" s="434"/>
      <c r="AB11" s="426"/>
      <c r="AC11" s="418"/>
      <c r="AD11" s="418"/>
      <c r="AE11" s="443"/>
      <c r="AF11" s="428"/>
      <c r="AG11" s="428"/>
      <c r="AH11" s="428"/>
      <c r="AI11" s="434"/>
    </row>
    <row r="12" spans="1:35" x14ac:dyDescent="0.2">
      <c r="A12" s="430" t="s">
        <v>251</v>
      </c>
      <c r="B12" s="435"/>
      <c r="C12" s="418"/>
      <c r="D12" s="446">
        <f>IF(D9="Semestral",(1+Pressupostos!$C$46)^(1/2)-1,Pressupostos!$C$46)</f>
        <v>2.3547751695053964E-2</v>
      </c>
      <c r="E12" s="428"/>
      <c r="F12" s="428"/>
      <c r="G12" s="447"/>
      <c r="H12" s="434"/>
      <c r="J12" s="430" t="s">
        <v>251</v>
      </c>
      <c r="K12" s="435"/>
      <c r="L12" s="418"/>
      <c r="M12" s="446">
        <f>IF(M9="Semestral",(1+Pressupostos!$C$46)^(1/2)-1,Pressupostos!$C$46)</f>
        <v>2.3547751695053964E-2</v>
      </c>
      <c r="N12" s="428"/>
      <c r="O12" s="428"/>
      <c r="P12" s="447"/>
      <c r="Q12" s="434"/>
      <c r="S12" s="430" t="s">
        <v>251</v>
      </c>
      <c r="T12" s="435"/>
      <c r="U12" s="418"/>
      <c r="V12" s="446">
        <f>IF(V9="Semestral",(1+Pressupostos!$C$46)^(1/2)-1,Pressupostos!$C$46)</f>
        <v>2.3547751695053964E-2</v>
      </c>
      <c r="W12" s="428"/>
      <c r="X12" s="428"/>
      <c r="Y12" s="447"/>
      <c r="Z12" s="434"/>
      <c r="AB12" s="430" t="s">
        <v>251</v>
      </c>
      <c r="AC12" s="435"/>
      <c r="AD12" s="418"/>
      <c r="AE12" s="446">
        <f>IF(AE9="Semestral",(1+Pressupostos!$C$46)^(1/2)-1,Pressupostos!$C$46)</f>
        <v>2.3547751695053964E-2</v>
      </c>
      <c r="AF12" s="428"/>
      <c r="AG12" s="428"/>
      <c r="AH12" s="447"/>
      <c r="AI12" s="434"/>
    </row>
    <row r="13" spans="1:35" ht="12" thickBot="1" x14ac:dyDescent="0.25">
      <c r="A13" s="437"/>
      <c r="B13" s="438"/>
      <c r="C13" s="438"/>
      <c r="D13" s="438"/>
      <c r="E13" s="438"/>
      <c r="F13" s="438"/>
      <c r="G13" s="438"/>
      <c r="H13" s="448"/>
      <c r="J13" s="426"/>
      <c r="K13" s="418"/>
      <c r="L13" s="418"/>
      <c r="M13" s="418"/>
      <c r="N13" s="418"/>
      <c r="O13" s="418"/>
      <c r="P13" s="418"/>
      <c r="Q13" s="423"/>
      <c r="S13" s="426"/>
      <c r="T13" s="418"/>
      <c r="U13" s="418"/>
      <c r="V13" s="418"/>
      <c r="W13" s="418"/>
      <c r="X13" s="418"/>
      <c r="Y13" s="418"/>
      <c r="Z13" s="423"/>
      <c r="AB13" s="426"/>
      <c r="AC13" s="418"/>
      <c r="AD13" s="418"/>
      <c r="AE13" s="418"/>
      <c r="AF13" s="418"/>
      <c r="AG13" s="418"/>
      <c r="AH13" s="418"/>
      <c r="AI13" s="423"/>
    </row>
    <row r="14" spans="1:35" x14ac:dyDescent="0.2">
      <c r="A14" s="1997" t="s">
        <v>234</v>
      </c>
      <c r="B14" s="1998"/>
      <c r="C14" s="1083" t="s">
        <v>235</v>
      </c>
      <c r="D14" s="1084"/>
      <c r="E14" s="1083" t="s">
        <v>235</v>
      </c>
      <c r="F14" s="1085"/>
      <c r="G14" s="1083" t="s">
        <v>236</v>
      </c>
      <c r="H14" s="1086" t="s">
        <v>237</v>
      </c>
      <c r="J14" s="2001" t="s">
        <v>234</v>
      </c>
      <c r="K14" s="2002"/>
      <c r="L14" s="1087" t="s">
        <v>235</v>
      </c>
      <c r="M14" s="1088"/>
      <c r="N14" s="1087" t="s">
        <v>235</v>
      </c>
      <c r="O14" s="1089"/>
      <c r="P14" s="1087" t="s">
        <v>236</v>
      </c>
      <c r="Q14" s="1090" t="s">
        <v>237</v>
      </c>
      <c r="S14" s="2001" t="s">
        <v>234</v>
      </c>
      <c r="T14" s="2002"/>
      <c r="U14" s="1087" t="s">
        <v>235</v>
      </c>
      <c r="V14" s="1088"/>
      <c r="W14" s="1087" t="s">
        <v>235</v>
      </c>
      <c r="X14" s="1089"/>
      <c r="Y14" s="1087" t="s">
        <v>236</v>
      </c>
      <c r="Z14" s="1090" t="s">
        <v>237</v>
      </c>
      <c r="AB14" s="2001" t="s">
        <v>234</v>
      </c>
      <c r="AC14" s="2002"/>
      <c r="AD14" s="1087" t="s">
        <v>235</v>
      </c>
      <c r="AE14" s="1088"/>
      <c r="AF14" s="1087" t="s">
        <v>235</v>
      </c>
      <c r="AG14" s="1089"/>
      <c r="AH14" s="1087" t="s">
        <v>236</v>
      </c>
      <c r="AI14" s="1090" t="s">
        <v>237</v>
      </c>
    </row>
    <row r="15" spans="1:35" x14ac:dyDescent="0.2">
      <c r="A15" s="1999"/>
      <c r="B15" s="2000"/>
      <c r="C15" s="1091" t="s">
        <v>239</v>
      </c>
      <c r="D15" s="1091" t="s">
        <v>240</v>
      </c>
      <c r="E15" s="1091" t="s">
        <v>239</v>
      </c>
      <c r="F15" s="1091" t="s">
        <v>241</v>
      </c>
      <c r="G15" s="1091" t="s">
        <v>242</v>
      </c>
      <c r="H15" s="1092" t="s">
        <v>243</v>
      </c>
      <c r="J15" s="1999"/>
      <c r="K15" s="2000"/>
      <c r="L15" s="1091" t="s">
        <v>239</v>
      </c>
      <c r="M15" s="1091" t="s">
        <v>240</v>
      </c>
      <c r="N15" s="1091" t="s">
        <v>239</v>
      </c>
      <c r="O15" s="1091" t="s">
        <v>241</v>
      </c>
      <c r="P15" s="1091" t="s">
        <v>242</v>
      </c>
      <c r="Q15" s="1092" t="s">
        <v>243</v>
      </c>
      <c r="S15" s="1999"/>
      <c r="T15" s="2000"/>
      <c r="U15" s="1091" t="s">
        <v>239</v>
      </c>
      <c r="V15" s="1091" t="s">
        <v>240</v>
      </c>
      <c r="W15" s="1091" t="s">
        <v>239</v>
      </c>
      <c r="X15" s="1091" t="s">
        <v>241</v>
      </c>
      <c r="Y15" s="1091" t="s">
        <v>242</v>
      </c>
      <c r="Z15" s="1092" t="s">
        <v>243</v>
      </c>
      <c r="AB15" s="1999"/>
      <c r="AC15" s="2000"/>
      <c r="AD15" s="1091" t="s">
        <v>239</v>
      </c>
      <c r="AE15" s="1091" t="s">
        <v>240</v>
      </c>
      <c r="AF15" s="1091" t="s">
        <v>239</v>
      </c>
      <c r="AG15" s="1091" t="s">
        <v>241</v>
      </c>
      <c r="AH15" s="1091" t="s">
        <v>242</v>
      </c>
      <c r="AI15" s="1092" t="s">
        <v>243</v>
      </c>
    </row>
    <row r="16" spans="1:35" x14ac:dyDescent="0.2">
      <c r="A16" s="1999"/>
      <c r="B16" s="2000"/>
      <c r="C16" s="1093"/>
      <c r="D16" s="1093"/>
      <c r="E16" s="1093"/>
      <c r="F16" s="1093"/>
      <c r="G16" s="1093"/>
      <c r="H16" s="1092" t="s">
        <v>246</v>
      </c>
      <c r="J16" s="1999"/>
      <c r="K16" s="2000"/>
      <c r="L16" s="1093"/>
      <c r="M16" s="1093"/>
      <c r="N16" s="1093"/>
      <c r="O16" s="1093"/>
      <c r="P16" s="1093"/>
      <c r="Q16" s="1092" t="s">
        <v>246</v>
      </c>
      <c r="S16" s="1999"/>
      <c r="T16" s="2000"/>
      <c r="U16" s="1093"/>
      <c r="V16" s="1093"/>
      <c r="W16" s="1093"/>
      <c r="X16" s="1093"/>
      <c r="Y16" s="1093"/>
      <c r="Z16" s="1092" t="s">
        <v>246</v>
      </c>
      <c r="AB16" s="1999"/>
      <c r="AC16" s="2000"/>
      <c r="AD16" s="1093"/>
      <c r="AE16" s="1093"/>
      <c r="AF16" s="1093"/>
      <c r="AG16" s="1093"/>
      <c r="AH16" s="1093"/>
      <c r="AI16" s="1092" t="s">
        <v>246</v>
      </c>
    </row>
    <row r="17" spans="1:35" x14ac:dyDescent="0.2">
      <c r="A17" s="1094" t="s">
        <v>248</v>
      </c>
      <c r="B17" s="1095" t="s">
        <v>249</v>
      </c>
      <c r="C17" s="1096">
        <f>D4</f>
        <v>5156.3124999999991</v>
      </c>
      <c r="D17" s="1097">
        <v>0</v>
      </c>
      <c r="E17" s="1096">
        <f t="shared" ref="E17:E26" si="0">C17-D17</f>
        <v>5156.3124999999991</v>
      </c>
      <c r="F17" s="1096">
        <f>C17*$D$12</f>
        <v>121.41956641210292</v>
      </c>
      <c r="G17" s="1096">
        <f>Pressupostos!$C$30*F17</f>
        <v>0.6070978320605146</v>
      </c>
      <c r="H17" s="1098">
        <f>F17+G17</f>
        <v>122.02666424416344</v>
      </c>
      <c r="J17" s="1094" t="s">
        <v>248</v>
      </c>
      <c r="K17" s="1095" t="s">
        <v>249</v>
      </c>
      <c r="L17" s="1096">
        <f>M4</f>
        <v>0</v>
      </c>
      <c r="M17" s="1097">
        <v>0</v>
      </c>
      <c r="N17" s="1096">
        <f>L17-M17</f>
        <v>0</v>
      </c>
      <c r="O17" s="1096">
        <f>L17*$M$12</f>
        <v>0</v>
      </c>
      <c r="P17" s="1096">
        <f>Pressupostos!$C$30*O17</f>
        <v>0</v>
      </c>
      <c r="Q17" s="1098">
        <f>O17+P17</f>
        <v>0</v>
      </c>
      <c r="S17" s="1094" t="s">
        <v>248</v>
      </c>
      <c r="T17" s="1095" t="s">
        <v>249</v>
      </c>
      <c r="U17" s="1096">
        <f>V4</f>
        <v>0</v>
      </c>
      <c r="V17" s="1097">
        <f>(1/(($V$5-$V$6)*2))*$V$4</f>
        <v>0</v>
      </c>
      <c r="W17" s="1096">
        <f>U17-V17</f>
        <v>0</v>
      </c>
      <c r="X17" s="1096">
        <f>U17*$V$12</f>
        <v>0</v>
      </c>
      <c r="Y17" s="1096">
        <f>Pressupostos!$C$30*X17</f>
        <v>0</v>
      </c>
      <c r="Z17" s="1098">
        <f>X17+Y17</f>
        <v>0</v>
      </c>
      <c r="AB17" s="1094" t="s">
        <v>248</v>
      </c>
      <c r="AC17" s="1095" t="s">
        <v>249</v>
      </c>
      <c r="AD17" s="1096">
        <f>AE4</f>
        <v>0</v>
      </c>
      <c r="AE17" s="1097">
        <f>(1/(($V$5-$V$6)*2))*$V$4</f>
        <v>0</v>
      </c>
      <c r="AF17" s="1096">
        <f>AD17-AE17</f>
        <v>0</v>
      </c>
      <c r="AG17" s="1096">
        <f>AD17*$V$12</f>
        <v>0</v>
      </c>
      <c r="AH17" s="1096">
        <f>Pressupostos!$C$30*AG17</f>
        <v>0</v>
      </c>
      <c r="AI17" s="1098">
        <f>AG17+AH17</f>
        <v>0</v>
      </c>
    </row>
    <row r="18" spans="1:35" x14ac:dyDescent="0.2">
      <c r="A18" s="1094" t="s">
        <v>248</v>
      </c>
      <c r="B18" s="1095" t="s">
        <v>250</v>
      </c>
      <c r="C18" s="1096">
        <f>C17</f>
        <v>5156.3124999999991</v>
      </c>
      <c r="D18" s="1097">
        <v>0</v>
      </c>
      <c r="E18" s="1096">
        <f t="shared" si="0"/>
        <v>5156.3124999999991</v>
      </c>
      <c r="F18" s="1096">
        <f>C18*$D$12</f>
        <v>121.41956641210292</v>
      </c>
      <c r="G18" s="1096">
        <f>Pressupostos!$C$30*F18</f>
        <v>0.6070978320605146</v>
      </c>
      <c r="H18" s="1098">
        <f t="shared" ref="H18:H26" si="1">F18+G18</f>
        <v>122.02666424416344</v>
      </c>
      <c r="J18" s="1094" t="s">
        <v>248</v>
      </c>
      <c r="K18" s="1095" t="s">
        <v>250</v>
      </c>
      <c r="L18" s="1096">
        <f>L17</f>
        <v>0</v>
      </c>
      <c r="M18" s="1097">
        <v>0</v>
      </c>
      <c r="N18" s="1096">
        <f t="shared" ref="N18:N26" si="2">L18-M18</f>
        <v>0</v>
      </c>
      <c r="O18" s="1096">
        <f t="shared" ref="O18:O25" si="3">L18*$M$12</f>
        <v>0</v>
      </c>
      <c r="P18" s="1096">
        <f>Pressupostos!$C$30*O18</f>
        <v>0</v>
      </c>
      <c r="Q18" s="1098">
        <f t="shared" ref="Q18:Q26" si="4">O18+P18</f>
        <v>0</v>
      </c>
      <c r="S18" s="1094" t="s">
        <v>248</v>
      </c>
      <c r="T18" s="1095" t="s">
        <v>250</v>
      </c>
      <c r="U18" s="1096">
        <f>W17</f>
        <v>0</v>
      </c>
      <c r="V18" s="1097">
        <f t="shared" ref="V18:V26" si="5">(1/(($V$5-$V$6)*2))*$V$4</f>
        <v>0</v>
      </c>
      <c r="W18" s="1096">
        <f t="shared" ref="W18:W26" si="6">U18-V18</f>
        <v>0</v>
      </c>
      <c r="X18" s="1096">
        <f>U18*$V$12</f>
        <v>0</v>
      </c>
      <c r="Y18" s="1096">
        <f>Pressupostos!$C$30*X18</f>
        <v>0</v>
      </c>
      <c r="Z18" s="1098">
        <f t="shared" ref="Z18:Z26" si="7">X18+Y18</f>
        <v>0</v>
      </c>
      <c r="AB18" s="1094" t="s">
        <v>248</v>
      </c>
      <c r="AC18" s="1095" t="s">
        <v>250</v>
      </c>
      <c r="AD18" s="1096">
        <f>AF17</f>
        <v>0</v>
      </c>
      <c r="AE18" s="1097">
        <f t="shared" ref="AE18:AE26" si="8">(1/(($V$5-$V$6)*2))*$V$4</f>
        <v>0</v>
      </c>
      <c r="AF18" s="1096">
        <f t="shared" ref="AF18:AF26" si="9">AD18-AE18</f>
        <v>0</v>
      </c>
      <c r="AG18" s="1096">
        <f>AD18*$V$12</f>
        <v>0</v>
      </c>
      <c r="AH18" s="1096">
        <f>Pressupostos!$C$30*AG18</f>
        <v>0</v>
      </c>
      <c r="AI18" s="1098">
        <f t="shared" ref="AI18:AI26" si="10">AG18+AH18</f>
        <v>0</v>
      </c>
    </row>
    <row r="19" spans="1:35" x14ac:dyDescent="0.2">
      <c r="A19" s="1094">
        <v>2</v>
      </c>
      <c r="B19" s="1095" t="s">
        <v>249</v>
      </c>
      <c r="C19" s="1096">
        <f>C18</f>
        <v>5156.3124999999991</v>
      </c>
      <c r="D19" s="1097">
        <f>0.125*$D$4</f>
        <v>644.53906249999989</v>
      </c>
      <c r="E19" s="1096">
        <f t="shared" si="0"/>
        <v>4511.7734374999991</v>
      </c>
      <c r="F19" s="1096">
        <f>C19*$D$12</f>
        <v>121.41956641210292</v>
      </c>
      <c r="G19" s="1096">
        <f>Pressupostos!$C$30*F19</f>
        <v>0.6070978320605146</v>
      </c>
      <c r="H19" s="1098">
        <f t="shared" si="1"/>
        <v>122.02666424416344</v>
      </c>
      <c r="J19" s="1094">
        <v>2</v>
      </c>
      <c r="K19" s="1095" t="s">
        <v>249</v>
      </c>
      <c r="L19" s="1096">
        <f>L18</f>
        <v>0</v>
      </c>
      <c r="M19" s="1097">
        <f>0.125*$M$4</f>
        <v>0</v>
      </c>
      <c r="N19" s="1096">
        <f t="shared" si="2"/>
        <v>0</v>
      </c>
      <c r="O19" s="1096">
        <f t="shared" si="3"/>
        <v>0</v>
      </c>
      <c r="P19" s="1096">
        <f>Pressupostos!$C$30*O19</f>
        <v>0</v>
      </c>
      <c r="Q19" s="1098">
        <f t="shared" si="4"/>
        <v>0</v>
      </c>
      <c r="S19" s="1094">
        <v>2</v>
      </c>
      <c r="T19" s="1095" t="s">
        <v>249</v>
      </c>
      <c r="U19" s="1096">
        <f t="shared" ref="U19:U26" si="11">W18</f>
        <v>0</v>
      </c>
      <c r="V19" s="1097">
        <f t="shared" si="5"/>
        <v>0</v>
      </c>
      <c r="W19" s="1096">
        <f t="shared" si="6"/>
        <v>0</v>
      </c>
      <c r="X19" s="1096">
        <f>U19*$V$12</f>
        <v>0</v>
      </c>
      <c r="Y19" s="1096">
        <f>Pressupostos!$C$30*X19</f>
        <v>0</v>
      </c>
      <c r="Z19" s="1098">
        <f t="shared" si="7"/>
        <v>0</v>
      </c>
      <c r="AB19" s="1094">
        <v>2</v>
      </c>
      <c r="AC19" s="1095" t="s">
        <v>249</v>
      </c>
      <c r="AD19" s="1096">
        <f t="shared" ref="AD19:AD26" si="12">AF18</f>
        <v>0</v>
      </c>
      <c r="AE19" s="1097">
        <f t="shared" si="8"/>
        <v>0</v>
      </c>
      <c r="AF19" s="1096">
        <f t="shared" si="9"/>
        <v>0</v>
      </c>
      <c r="AG19" s="1096">
        <f>AD19*$V$12</f>
        <v>0</v>
      </c>
      <c r="AH19" s="1096">
        <f>Pressupostos!$C$30*AG19</f>
        <v>0</v>
      </c>
      <c r="AI19" s="1098">
        <f t="shared" si="10"/>
        <v>0</v>
      </c>
    </row>
    <row r="20" spans="1:35" x14ac:dyDescent="0.2">
      <c r="A20" s="1094">
        <v>2</v>
      </c>
      <c r="B20" s="1095" t="s">
        <v>250</v>
      </c>
      <c r="C20" s="1096">
        <f t="shared" ref="C20:C26" si="13">E19</f>
        <v>4511.7734374999991</v>
      </c>
      <c r="D20" s="1097">
        <f t="shared" ref="D20:D25" si="14">0.125*$D$4</f>
        <v>644.53906249999989</v>
      </c>
      <c r="E20" s="1096">
        <f t="shared" si="0"/>
        <v>3867.2343749999991</v>
      </c>
      <c r="F20" s="1096">
        <f>C20*$D$12</f>
        <v>106.24212061059005</v>
      </c>
      <c r="G20" s="1096">
        <f>Pressupostos!$C$30*F20</f>
        <v>0.5312106030529502</v>
      </c>
      <c r="H20" s="1098">
        <f t="shared" si="1"/>
        <v>106.773331213643</v>
      </c>
      <c r="J20" s="1094">
        <v>2</v>
      </c>
      <c r="K20" s="1095" t="s">
        <v>250</v>
      </c>
      <c r="L20" s="1096">
        <f>N19</f>
        <v>0</v>
      </c>
      <c r="M20" s="1097">
        <f t="shared" ref="M20:M26" si="15">0.125*$M$4</f>
        <v>0</v>
      </c>
      <c r="N20" s="1096">
        <f t="shared" si="2"/>
        <v>0</v>
      </c>
      <c r="O20" s="1096">
        <f t="shared" si="3"/>
        <v>0</v>
      </c>
      <c r="P20" s="1096">
        <f>Pressupostos!$C$30*O20</f>
        <v>0</v>
      </c>
      <c r="Q20" s="1098">
        <f t="shared" si="4"/>
        <v>0</v>
      </c>
      <c r="S20" s="1094">
        <v>2</v>
      </c>
      <c r="T20" s="1095" t="s">
        <v>250</v>
      </c>
      <c r="U20" s="1096">
        <f t="shared" si="11"/>
        <v>0</v>
      </c>
      <c r="V20" s="1097">
        <f t="shared" si="5"/>
        <v>0</v>
      </c>
      <c r="W20" s="1096">
        <f t="shared" si="6"/>
        <v>0</v>
      </c>
      <c r="X20" s="1096">
        <f>U20*$V$12</f>
        <v>0</v>
      </c>
      <c r="Y20" s="1096">
        <f>Pressupostos!$C$30*X20</f>
        <v>0</v>
      </c>
      <c r="Z20" s="1098">
        <f t="shared" si="7"/>
        <v>0</v>
      </c>
      <c r="AB20" s="1094">
        <v>2</v>
      </c>
      <c r="AC20" s="1095" t="s">
        <v>250</v>
      </c>
      <c r="AD20" s="1096">
        <f t="shared" si="12"/>
        <v>0</v>
      </c>
      <c r="AE20" s="1097">
        <f t="shared" si="8"/>
        <v>0</v>
      </c>
      <c r="AF20" s="1096">
        <f t="shared" si="9"/>
        <v>0</v>
      </c>
      <c r="AG20" s="1096">
        <f>AD20*$V$12</f>
        <v>0</v>
      </c>
      <c r="AH20" s="1096">
        <f>Pressupostos!$C$30*AG20</f>
        <v>0</v>
      </c>
      <c r="AI20" s="1098">
        <f t="shared" si="10"/>
        <v>0</v>
      </c>
    </row>
    <row r="21" spans="1:35" x14ac:dyDescent="0.2">
      <c r="A21" s="1094">
        <v>3</v>
      </c>
      <c r="B21" s="1095" t="s">
        <v>249</v>
      </c>
      <c r="C21" s="1096">
        <f t="shared" si="13"/>
        <v>3867.2343749999991</v>
      </c>
      <c r="D21" s="1097">
        <f t="shared" si="14"/>
        <v>644.53906249999989</v>
      </c>
      <c r="E21" s="1096">
        <f t="shared" si="0"/>
        <v>3222.6953124999991</v>
      </c>
      <c r="F21" s="1096">
        <f t="shared" ref="F21:F26" si="16">C21*$D$12</f>
        <v>91.064674809077189</v>
      </c>
      <c r="G21" s="1096">
        <f>Pressupostos!$C$30*F21</f>
        <v>0.45532337404538598</v>
      </c>
      <c r="H21" s="1098">
        <f>F21+G21</f>
        <v>91.519998183122581</v>
      </c>
      <c r="J21" s="1094">
        <v>3</v>
      </c>
      <c r="K21" s="1095" t="s">
        <v>249</v>
      </c>
      <c r="L21" s="1096">
        <f t="shared" ref="L21:L25" si="17">N20</f>
        <v>0</v>
      </c>
      <c r="M21" s="1097">
        <f t="shared" si="15"/>
        <v>0</v>
      </c>
      <c r="N21" s="1096">
        <f t="shared" si="2"/>
        <v>0</v>
      </c>
      <c r="O21" s="1096">
        <f t="shared" si="3"/>
        <v>0</v>
      </c>
      <c r="P21" s="1096">
        <f>Pressupostos!$C$30*O21</f>
        <v>0</v>
      </c>
      <c r="Q21" s="1098">
        <f t="shared" si="4"/>
        <v>0</v>
      </c>
      <c r="S21" s="1094">
        <v>3</v>
      </c>
      <c r="T21" s="1095" t="s">
        <v>249</v>
      </c>
      <c r="U21" s="1096">
        <f t="shared" si="11"/>
        <v>0</v>
      </c>
      <c r="V21" s="1097">
        <f t="shared" si="5"/>
        <v>0</v>
      </c>
      <c r="W21" s="1096">
        <f t="shared" si="6"/>
        <v>0</v>
      </c>
      <c r="X21" s="1096">
        <f>U21*$V$12</f>
        <v>0</v>
      </c>
      <c r="Y21" s="1096">
        <f>Pressupostos!$C$30*X21</f>
        <v>0</v>
      </c>
      <c r="Z21" s="1098">
        <f t="shared" si="7"/>
        <v>0</v>
      </c>
      <c r="AB21" s="1094">
        <v>3</v>
      </c>
      <c r="AC21" s="1095" t="s">
        <v>249</v>
      </c>
      <c r="AD21" s="1096">
        <f t="shared" si="12"/>
        <v>0</v>
      </c>
      <c r="AE21" s="1097">
        <f t="shared" si="8"/>
        <v>0</v>
      </c>
      <c r="AF21" s="1096">
        <f t="shared" si="9"/>
        <v>0</v>
      </c>
      <c r="AG21" s="1096">
        <f>AD21*$V$12</f>
        <v>0</v>
      </c>
      <c r="AH21" s="1096">
        <f>Pressupostos!$C$30*AG21</f>
        <v>0</v>
      </c>
      <c r="AI21" s="1098">
        <f t="shared" si="10"/>
        <v>0</v>
      </c>
    </row>
    <row r="22" spans="1:35" x14ac:dyDescent="0.2">
      <c r="A22" s="1094">
        <v>3</v>
      </c>
      <c r="B22" s="1095" t="s">
        <v>250</v>
      </c>
      <c r="C22" s="1096">
        <f t="shared" si="13"/>
        <v>3222.6953124999991</v>
      </c>
      <c r="D22" s="1097">
        <f t="shared" si="14"/>
        <v>644.53906249999989</v>
      </c>
      <c r="E22" s="1096">
        <f t="shared" si="0"/>
        <v>2578.1562499999991</v>
      </c>
      <c r="F22" s="1096">
        <f t="shared" si="16"/>
        <v>75.887229007564315</v>
      </c>
      <c r="G22" s="1096">
        <f>Pressupostos!$C$30*F22</f>
        <v>0.37943614503782158</v>
      </c>
      <c r="H22" s="1098">
        <f t="shared" si="1"/>
        <v>76.26666515260213</v>
      </c>
      <c r="J22" s="1094">
        <v>3</v>
      </c>
      <c r="K22" s="1095" t="s">
        <v>250</v>
      </c>
      <c r="L22" s="1096">
        <f t="shared" si="17"/>
        <v>0</v>
      </c>
      <c r="M22" s="1097">
        <f t="shared" si="15"/>
        <v>0</v>
      </c>
      <c r="N22" s="1096">
        <f t="shared" si="2"/>
        <v>0</v>
      </c>
      <c r="O22" s="1096">
        <f t="shared" si="3"/>
        <v>0</v>
      </c>
      <c r="P22" s="1096">
        <f>Pressupostos!$C$30*O22</f>
        <v>0</v>
      </c>
      <c r="Q22" s="1098">
        <f t="shared" si="4"/>
        <v>0</v>
      </c>
      <c r="S22" s="1094">
        <v>3</v>
      </c>
      <c r="T22" s="1095" t="s">
        <v>250</v>
      </c>
      <c r="U22" s="1096">
        <f t="shared" si="11"/>
        <v>0</v>
      </c>
      <c r="V22" s="1097">
        <f t="shared" si="5"/>
        <v>0</v>
      </c>
      <c r="W22" s="1096">
        <f t="shared" si="6"/>
        <v>0</v>
      </c>
      <c r="X22" s="1096">
        <f t="shared" ref="X22:X26" si="18">U22*$V$12</f>
        <v>0</v>
      </c>
      <c r="Y22" s="1096">
        <f>Pressupostos!$C$30*X22</f>
        <v>0</v>
      </c>
      <c r="Z22" s="1098">
        <f t="shared" si="7"/>
        <v>0</v>
      </c>
      <c r="AB22" s="1094">
        <v>3</v>
      </c>
      <c r="AC22" s="1095" t="s">
        <v>250</v>
      </c>
      <c r="AD22" s="1096">
        <f t="shared" si="12"/>
        <v>0</v>
      </c>
      <c r="AE22" s="1097">
        <f t="shared" si="8"/>
        <v>0</v>
      </c>
      <c r="AF22" s="1096">
        <f t="shared" si="9"/>
        <v>0</v>
      </c>
      <c r="AG22" s="1096">
        <f t="shared" ref="AG22:AG26" si="19">AD22*$V$12</f>
        <v>0</v>
      </c>
      <c r="AH22" s="1096">
        <f>Pressupostos!$C$30*AG22</f>
        <v>0</v>
      </c>
      <c r="AI22" s="1098">
        <f t="shared" si="10"/>
        <v>0</v>
      </c>
    </row>
    <row r="23" spans="1:35" x14ac:dyDescent="0.2">
      <c r="A23" s="1094">
        <v>4</v>
      </c>
      <c r="B23" s="1095" t="s">
        <v>249</v>
      </c>
      <c r="C23" s="1096">
        <f t="shared" si="13"/>
        <v>2578.1562499999991</v>
      </c>
      <c r="D23" s="1097">
        <f t="shared" si="14"/>
        <v>644.53906249999989</v>
      </c>
      <c r="E23" s="1096">
        <f t="shared" si="0"/>
        <v>1933.6171874999991</v>
      </c>
      <c r="F23" s="1096">
        <f t="shared" si="16"/>
        <v>60.709783206051448</v>
      </c>
      <c r="G23" s="1096">
        <f>Pressupostos!$C$30*F23</f>
        <v>0.30354891603025724</v>
      </c>
      <c r="H23" s="1098">
        <f>F23+G23</f>
        <v>61.013332122081707</v>
      </c>
      <c r="J23" s="1094">
        <v>4</v>
      </c>
      <c r="K23" s="1095" t="s">
        <v>249</v>
      </c>
      <c r="L23" s="1096">
        <f t="shared" si="17"/>
        <v>0</v>
      </c>
      <c r="M23" s="1097">
        <f t="shared" si="15"/>
        <v>0</v>
      </c>
      <c r="N23" s="1096">
        <f t="shared" si="2"/>
        <v>0</v>
      </c>
      <c r="O23" s="1096">
        <f t="shared" si="3"/>
        <v>0</v>
      </c>
      <c r="P23" s="1096">
        <f>Pressupostos!$C$30*O23</f>
        <v>0</v>
      </c>
      <c r="Q23" s="1098">
        <f t="shared" si="4"/>
        <v>0</v>
      </c>
      <c r="S23" s="1094">
        <v>4</v>
      </c>
      <c r="T23" s="1095" t="s">
        <v>249</v>
      </c>
      <c r="U23" s="1096">
        <f t="shared" si="11"/>
        <v>0</v>
      </c>
      <c r="V23" s="1097">
        <f t="shared" si="5"/>
        <v>0</v>
      </c>
      <c r="W23" s="1096">
        <f t="shared" si="6"/>
        <v>0</v>
      </c>
      <c r="X23" s="1096">
        <f t="shared" si="18"/>
        <v>0</v>
      </c>
      <c r="Y23" s="1096">
        <f>Pressupostos!$C$30*X23</f>
        <v>0</v>
      </c>
      <c r="Z23" s="1098">
        <f t="shared" si="7"/>
        <v>0</v>
      </c>
      <c r="AB23" s="1094">
        <v>4</v>
      </c>
      <c r="AC23" s="1095" t="s">
        <v>249</v>
      </c>
      <c r="AD23" s="1096">
        <f t="shared" si="12"/>
        <v>0</v>
      </c>
      <c r="AE23" s="1097">
        <f t="shared" si="8"/>
        <v>0</v>
      </c>
      <c r="AF23" s="1096">
        <f t="shared" si="9"/>
        <v>0</v>
      </c>
      <c r="AG23" s="1096">
        <f t="shared" si="19"/>
        <v>0</v>
      </c>
      <c r="AH23" s="1096">
        <f>Pressupostos!$C$30*AG23</f>
        <v>0</v>
      </c>
      <c r="AI23" s="1098">
        <f t="shared" si="10"/>
        <v>0</v>
      </c>
    </row>
    <row r="24" spans="1:35" x14ac:dyDescent="0.2">
      <c r="A24" s="1094">
        <v>4</v>
      </c>
      <c r="B24" s="1095" t="s">
        <v>250</v>
      </c>
      <c r="C24" s="1096">
        <f t="shared" si="13"/>
        <v>1933.6171874999991</v>
      </c>
      <c r="D24" s="1097">
        <f t="shared" si="14"/>
        <v>644.53906249999989</v>
      </c>
      <c r="E24" s="1096">
        <f t="shared" si="0"/>
        <v>1289.0781249999991</v>
      </c>
      <c r="F24" s="1096">
        <f t="shared" si="16"/>
        <v>45.53233740453858</v>
      </c>
      <c r="G24" s="1096">
        <f>Pressupostos!$C$30*F24</f>
        <v>0.2276616870226929</v>
      </c>
      <c r="H24" s="1098">
        <f t="shared" si="1"/>
        <v>45.759999091561276</v>
      </c>
      <c r="J24" s="1094">
        <v>4</v>
      </c>
      <c r="K24" s="1095" t="s">
        <v>250</v>
      </c>
      <c r="L24" s="1096">
        <f t="shared" si="17"/>
        <v>0</v>
      </c>
      <c r="M24" s="1097">
        <f t="shared" si="15"/>
        <v>0</v>
      </c>
      <c r="N24" s="1096">
        <f t="shared" si="2"/>
        <v>0</v>
      </c>
      <c r="O24" s="1096">
        <f t="shared" si="3"/>
        <v>0</v>
      </c>
      <c r="P24" s="1096">
        <f>Pressupostos!$C$30*O24</f>
        <v>0</v>
      </c>
      <c r="Q24" s="1098">
        <f t="shared" si="4"/>
        <v>0</v>
      </c>
      <c r="S24" s="1094">
        <v>4</v>
      </c>
      <c r="T24" s="1095" t="s">
        <v>250</v>
      </c>
      <c r="U24" s="1096">
        <f t="shared" si="11"/>
        <v>0</v>
      </c>
      <c r="V24" s="1097">
        <f t="shared" si="5"/>
        <v>0</v>
      </c>
      <c r="W24" s="1096">
        <f t="shared" si="6"/>
        <v>0</v>
      </c>
      <c r="X24" s="1096">
        <f t="shared" si="18"/>
        <v>0</v>
      </c>
      <c r="Y24" s="1096">
        <f>Pressupostos!$C$30*X24</f>
        <v>0</v>
      </c>
      <c r="Z24" s="1098">
        <f t="shared" si="7"/>
        <v>0</v>
      </c>
      <c r="AB24" s="1094">
        <v>4</v>
      </c>
      <c r="AC24" s="1095" t="s">
        <v>250</v>
      </c>
      <c r="AD24" s="1096">
        <f t="shared" si="12"/>
        <v>0</v>
      </c>
      <c r="AE24" s="1097">
        <f t="shared" si="8"/>
        <v>0</v>
      </c>
      <c r="AF24" s="1096">
        <f t="shared" si="9"/>
        <v>0</v>
      </c>
      <c r="AG24" s="1096">
        <f t="shared" si="19"/>
        <v>0</v>
      </c>
      <c r="AH24" s="1096">
        <f>Pressupostos!$C$30*AG24</f>
        <v>0</v>
      </c>
      <c r="AI24" s="1098">
        <f t="shared" si="10"/>
        <v>0</v>
      </c>
    </row>
    <row r="25" spans="1:35" x14ac:dyDescent="0.2">
      <c r="A25" s="1094">
        <v>5</v>
      </c>
      <c r="B25" s="1095" t="s">
        <v>249</v>
      </c>
      <c r="C25" s="1096">
        <f t="shared" si="13"/>
        <v>1289.0781249999991</v>
      </c>
      <c r="D25" s="1097">
        <f t="shared" si="14"/>
        <v>644.53906249999989</v>
      </c>
      <c r="E25" s="1096">
        <f t="shared" si="0"/>
        <v>644.5390624999992</v>
      </c>
      <c r="F25" s="1096">
        <f>C25*$D$12</f>
        <v>30.354891603025713</v>
      </c>
      <c r="G25" s="1096">
        <f>Pressupostos!$C$30*F25</f>
        <v>0.15177445801512857</v>
      </c>
      <c r="H25" s="1098">
        <f>F25+G25</f>
        <v>30.506666061040843</v>
      </c>
      <c r="J25" s="1094">
        <v>5</v>
      </c>
      <c r="K25" s="1095" t="s">
        <v>249</v>
      </c>
      <c r="L25" s="1096">
        <f t="shared" si="17"/>
        <v>0</v>
      </c>
      <c r="M25" s="1097">
        <f t="shared" si="15"/>
        <v>0</v>
      </c>
      <c r="N25" s="1096">
        <f t="shared" si="2"/>
        <v>0</v>
      </c>
      <c r="O25" s="1096">
        <f t="shared" si="3"/>
        <v>0</v>
      </c>
      <c r="P25" s="1096">
        <f>Pressupostos!$C$30*O25</f>
        <v>0</v>
      </c>
      <c r="Q25" s="1098">
        <f t="shared" si="4"/>
        <v>0</v>
      </c>
      <c r="S25" s="1094">
        <v>5</v>
      </c>
      <c r="T25" s="1095" t="s">
        <v>249</v>
      </c>
      <c r="U25" s="1096">
        <f t="shared" si="11"/>
        <v>0</v>
      </c>
      <c r="V25" s="1097">
        <f t="shared" si="5"/>
        <v>0</v>
      </c>
      <c r="W25" s="1096">
        <f t="shared" si="6"/>
        <v>0</v>
      </c>
      <c r="X25" s="1096">
        <f t="shared" si="18"/>
        <v>0</v>
      </c>
      <c r="Y25" s="1096">
        <f>Pressupostos!$C$30*X25</f>
        <v>0</v>
      </c>
      <c r="Z25" s="1098">
        <f t="shared" si="7"/>
        <v>0</v>
      </c>
      <c r="AB25" s="1094">
        <v>5</v>
      </c>
      <c r="AC25" s="1095" t="s">
        <v>249</v>
      </c>
      <c r="AD25" s="1096">
        <f t="shared" si="12"/>
        <v>0</v>
      </c>
      <c r="AE25" s="1097">
        <f t="shared" si="8"/>
        <v>0</v>
      </c>
      <c r="AF25" s="1096">
        <f t="shared" si="9"/>
        <v>0</v>
      </c>
      <c r="AG25" s="1096">
        <f t="shared" si="19"/>
        <v>0</v>
      </c>
      <c r="AH25" s="1096">
        <f>Pressupostos!$C$30*AG25</f>
        <v>0</v>
      </c>
      <c r="AI25" s="1098">
        <f t="shared" si="10"/>
        <v>0</v>
      </c>
    </row>
    <row r="26" spans="1:35" ht="12" thickBot="1" x14ac:dyDescent="0.25">
      <c r="A26" s="1099">
        <v>5</v>
      </c>
      <c r="B26" s="1100" t="s">
        <v>250</v>
      </c>
      <c r="C26" s="1101">
        <f t="shared" si="13"/>
        <v>644.5390624999992</v>
      </c>
      <c r="D26" s="1102">
        <f>0.125*$D$4</f>
        <v>644.53906249999989</v>
      </c>
      <c r="E26" s="1101">
        <f t="shared" si="0"/>
        <v>0</v>
      </c>
      <c r="F26" s="1101">
        <f t="shared" si="16"/>
        <v>15.177445801512849</v>
      </c>
      <c r="G26" s="1101">
        <f>Pressupostos!$C$30*F26</f>
        <v>7.5887229007564255E-2</v>
      </c>
      <c r="H26" s="1103">
        <f t="shared" si="1"/>
        <v>15.253333030520414</v>
      </c>
      <c r="J26" s="1099">
        <v>5</v>
      </c>
      <c r="K26" s="1100" t="s">
        <v>250</v>
      </c>
      <c r="L26" s="1101">
        <f>N25</f>
        <v>0</v>
      </c>
      <c r="M26" s="1102">
        <f t="shared" si="15"/>
        <v>0</v>
      </c>
      <c r="N26" s="1101">
        <f t="shared" si="2"/>
        <v>0</v>
      </c>
      <c r="O26" s="1101">
        <f>L26*$M$12</f>
        <v>0</v>
      </c>
      <c r="P26" s="1101">
        <f>Pressupostos!$C$30*O26</f>
        <v>0</v>
      </c>
      <c r="Q26" s="1103">
        <f t="shared" si="4"/>
        <v>0</v>
      </c>
      <c r="S26" s="1099">
        <v>5</v>
      </c>
      <c r="T26" s="1100" t="s">
        <v>250</v>
      </c>
      <c r="U26" s="1101">
        <f t="shared" si="11"/>
        <v>0</v>
      </c>
      <c r="V26" s="1102">
        <f t="shared" si="5"/>
        <v>0</v>
      </c>
      <c r="W26" s="1101">
        <f t="shared" si="6"/>
        <v>0</v>
      </c>
      <c r="X26" s="1101">
        <f t="shared" si="18"/>
        <v>0</v>
      </c>
      <c r="Y26" s="1101">
        <f>Pressupostos!$C$30*X26</f>
        <v>0</v>
      </c>
      <c r="Z26" s="1103">
        <f t="shared" si="7"/>
        <v>0</v>
      </c>
      <c r="AB26" s="1099">
        <v>5</v>
      </c>
      <c r="AC26" s="1100" t="s">
        <v>250</v>
      </c>
      <c r="AD26" s="1101">
        <f t="shared" si="12"/>
        <v>0</v>
      </c>
      <c r="AE26" s="1102">
        <f t="shared" si="8"/>
        <v>0</v>
      </c>
      <c r="AF26" s="1101">
        <f t="shared" si="9"/>
        <v>0</v>
      </c>
      <c r="AG26" s="1101">
        <f t="shared" si="19"/>
        <v>0</v>
      </c>
      <c r="AH26" s="1101">
        <f>Pressupostos!$C$30*AG26</f>
        <v>0</v>
      </c>
      <c r="AI26" s="1103">
        <f t="shared" si="10"/>
        <v>0</v>
      </c>
    </row>
    <row r="27" spans="1:35" ht="12" thickBot="1" x14ac:dyDescent="0.25"/>
    <row r="28" spans="1:35" ht="23.25" thickBot="1" x14ac:dyDescent="0.25">
      <c r="H28" s="1104"/>
      <c r="I28" s="1760" t="s">
        <v>1206</v>
      </c>
      <c r="J28" s="1759" t="s">
        <v>434</v>
      </c>
      <c r="K28" s="1759" t="s">
        <v>435</v>
      </c>
    </row>
    <row r="29" spans="1:35" x14ac:dyDescent="0.2">
      <c r="A29" s="1105">
        <f>D4</f>
        <v>5156.3124999999991</v>
      </c>
      <c r="B29" s="1106" t="s">
        <v>252</v>
      </c>
      <c r="C29" s="1106" t="s">
        <v>253</v>
      </c>
      <c r="D29" s="1106" t="s">
        <v>254</v>
      </c>
      <c r="E29" s="1106" t="s">
        <v>1205</v>
      </c>
      <c r="H29" s="1107">
        <f>D3</f>
        <v>2020</v>
      </c>
      <c r="I29" s="1108">
        <f>E30</f>
        <v>244.05332848832688</v>
      </c>
      <c r="J29" s="1109">
        <f>D30</f>
        <v>5156.3124999999991</v>
      </c>
      <c r="K29" s="1109">
        <f>C30</f>
        <v>0</v>
      </c>
    </row>
    <row r="30" spans="1:35" x14ac:dyDescent="0.2">
      <c r="A30" s="1110">
        <v>1</v>
      </c>
      <c r="B30" s="1111">
        <f>D3</f>
        <v>2020</v>
      </c>
      <c r="C30" s="1112">
        <f>D17+D18</f>
        <v>0</v>
      </c>
      <c r="D30" s="1112">
        <f>E18</f>
        <v>5156.3124999999991</v>
      </c>
      <c r="E30" s="1112">
        <f>H17+H18</f>
        <v>244.05332848832688</v>
      </c>
      <c r="H30" s="1113">
        <f>H29+1</f>
        <v>2021</v>
      </c>
      <c r="I30" s="1114">
        <f>E31+E37</f>
        <v>228.79999545780646</v>
      </c>
      <c r="J30" s="1115">
        <f>D31+D37</f>
        <v>3867.2343749999991</v>
      </c>
      <c r="K30" s="1115">
        <f>C31+C37</f>
        <v>1289.0781249999998</v>
      </c>
    </row>
    <row r="31" spans="1:35" x14ac:dyDescent="0.2">
      <c r="A31" s="1110">
        <f>A30+1</f>
        <v>2</v>
      </c>
      <c r="B31" s="1111">
        <f>B30+1</f>
        <v>2021</v>
      </c>
      <c r="C31" s="1112">
        <f>D19+D20</f>
        <v>1289.0781249999998</v>
      </c>
      <c r="D31" s="1112">
        <f>E20</f>
        <v>3867.2343749999991</v>
      </c>
      <c r="E31" s="1112">
        <f>H19+H20</f>
        <v>228.79999545780646</v>
      </c>
      <c r="H31" s="1113">
        <f>H30+1</f>
        <v>2022</v>
      </c>
      <c r="I31" s="1114">
        <f>E32+E38+E44</f>
        <v>167.78666333572471</v>
      </c>
      <c r="J31" s="1115">
        <f>D32+D38+D44</f>
        <v>2578.1562499999991</v>
      </c>
      <c r="K31" s="1115">
        <f>C32+C38+C44</f>
        <v>1289.0781249999998</v>
      </c>
    </row>
    <row r="32" spans="1:35" x14ac:dyDescent="0.2">
      <c r="A32" s="1110">
        <f t="shared" ref="A32:A34" si="20">A31+1</f>
        <v>3</v>
      </c>
      <c r="B32" s="1111">
        <f>B31+1</f>
        <v>2022</v>
      </c>
      <c r="C32" s="1112">
        <f>D21+D22</f>
        <v>1289.0781249999998</v>
      </c>
      <c r="D32" s="1112">
        <f>E22</f>
        <v>2578.1562499999991</v>
      </c>
      <c r="E32" s="1112">
        <f>H21+H22</f>
        <v>167.78666333572471</v>
      </c>
      <c r="H32" s="1113">
        <f t="shared" ref="H32:H35" si="21">H31+1</f>
        <v>2023</v>
      </c>
      <c r="I32" s="1114">
        <f>E33+E39+E45</f>
        <v>106.77333121364299</v>
      </c>
      <c r="J32" s="1115">
        <f>D33+D39+D45</f>
        <v>1289.0781249999991</v>
      </c>
      <c r="K32" s="1115">
        <f>C33+C39+C45</f>
        <v>1289.0781249999998</v>
      </c>
    </row>
    <row r="33" spans="1:11" x14ac:dyDescent="0.2">
      <c r="A33" s="1110">
        <f t="shared" si="20"/>
        <v>4</v>
      </c>
      <c r="B33" s="1111">
        <f>B32+1</f>
        <v>2023</v>
      </c>
      <c r="C33" s="1112">
        <f>D23+D24</f>
        <v>1289.0781249999998</v>
      </c>
      <c r="D33" s="1112">
        <f>E24</f>
        <v>1289.0781249999991</v>
      </c>
      <c r="E33" s="1112">
        <f>H23+H24</f>
        <v>106.77333121364299</v>
      </c>
      <c r="H33" s="1113">
        <f t="shared" si="21"/>
        <v>2024</v>
      </c>
      <c r="I33" s="1114">
        <f>E34+E40+E46</f>
        <v>45.759999091561255</v>
      </c>
      <c r="J33" s="1115">
        <f>D34+D40+D46</f>
        <v>0</v>
      </c>
      <c r="K33" s="1115">
        <f>C34+C40+C46</f>
        <v>1289.0781249999998</v>
      </c>
    </row>
    <row r="34" spans="1:11" x14ac:dyDescent="0.2">
      <c r="A34" s="1110">
        <f t="shared" si="20"/>
        <v>5</v>
      </c>
      <c r="B34" s="1111">
        <f>B33+1</f>
        <v>2024</v>
      </c>
      <c r="C34" s="1112">
        <f>D25+D26</f>
        <v>1289.0781249999998</v>
      </c>
      <c r="D34" s="1112">
        <f>E26</f>
        <v>0</v>
      </c>
      <c r="E34" s="1112">
        <f>H25+H26</f>
        <v>45.759999091561255</v>
      </c>
      <c r="H34" s="1113">
        <f t="shared" si="21"/>
        <v>2025</v>
      </c>
      <c r="I34" s="1114">
        <f>E41+E47</f>
        <v>0</v>
      </c>
      <c r="J34" s="1115">
        <f>D41+D47</f>
        <v>0</v>
      </c>
      <c r="K34" s="1115">
        <f>C41+C47</f>
        <v>0</v>
      </c>
    </row>
    <row r="35" spans="1:11" ht="12" thickBot="1" x14ac:dyDescent="0.25">
      <c r="H35" s="1116">
        <f t="shared" si="21"/>
        <v>2026</v>
      </c>
      <c r="I35" s="1654">
        <f>E48</f>
        <v>0</v>
      </c>
      <c r="J35" s="1655">
        <f>D48</f>
        <v>0</v>
      </c>
      <c r="K35" s="1655">
        <f>C48</f>
        <v>0</v>
      </c>
    </row>
    <row r="36" spans="1:11" x14ac:dyDescent="0.2">
      <c r="A36" s="1105">
        <f>M4</f>
        <v>0</v>
      </c>
      <c r="B36" s="1106" t="s">
        <v>252</v>
      </c>
      <c r="C36" s="1106" t="s">
        <v>253</v>
      </c>
      <c r="D36" s="1106" t="s">
        <v>254</v>
      </c>
      <c r="E36" s="1106" t="s">
        <v>255</v>
      </c>
      <c r="H36" s="1650"/>
      <c r="I36" s="1651"/>
      <c r="J36" s="1651"/>
      <c r="K36" s="1651"/>
    </row>
    <row r="37" spans="1:11" x14ac:dyDescent="0.2">
      <c r="A37" s="1110">
        <v>1</v>
      </c>
      <c r="B37" s="1111">
        <f>B30+1</f>
        <v>2021</v>
      </c>
      <c r="C37" s="1112">
        <f>M17+M18</f>
        <v>0</v>
      </c>
      <c r="D37" s="1112">
        <f>N18</f>
        <v>0</v>
      </c>
      <c r="E37" s="1112">
        <f>Q17+Q18</f>
        <v>0</v>
      </c>
      <c r="H37" s="1652"/>
      <c r="I37" s="1652"/>
      <c r="J37" s="1652"/>
      <c r="K37" s="1653"/>
    </row>
    <row r="38" spans="1:11" x14ac:dyDescent="0.2">
      <c r="A38" s="1110">
        <f>A37+1</f>
        <v>2</v>
      </c>
      <c r="B38" s="1111">
        <f>B37+1</f>
        <v>2022</v>
      </c>
      <c r="C38" s="1112">
        <f>M19+M20</f>
        <v>0</v>
      </c>
      <c r="D38" s="1112">
        <f>N20</f>
        <v>0</v>
      </c>
      <c r="E38" s="1112">
        <f>Q19+Q20</f>
        <v>0</v>
      </c>
      <c r="K38" s="1117"/>
    </row>
    <row r="39" spans="1:11" x14ac:dyDescent="0.2">
      <c r="A39" s="1110">
        <f t="shared" ref="A39:A41" si="22">A38+1</f>
        <v>3</v>
      </c>
      <c r="B39" s="1111">
        <f>B38+1</f>
        <v>2023</v>
      </c>
      <c r="C39" s="1112">
        <f>M21+M22</f>
        <v>0</v>
      </c>
      <c r="D39" s="1112">
        <f>N22</f>
        <v>0</v>
      </c>
      <c r="E39" s="1112">
        <f>Q21+Q22</f>
        <v>0</v>
      </c>
    </row>
    <row r="40" spans="1:11" x14ac:dyDescent="0.2">
      <c r="A40" s="1110">
        <f t="shared" si="22"/>
        <v>4</v>
      </c>
      <c r="B40" s="1111">
        <f>B39+1</f>
        <v>2024</v>
      </c>
      <c r="C40" s="1112">
        <f>M23+M24</f>
        <v>0</v>
      </c>
      <c r="D40" s="1112">
        <f>N24</f>
        <v>0</v>
      </c>
      <c r="E40" s="1112">
        <f>Q23+Q24</f>
        <v>0</v>
      </c>
    </row>
    <row r="41" spans="1:11" x14ac:dyDescent="0.2">
      <c r="A41" s="1110">
        <f t="shared" si="22"/>
        <v>5</v>
      </c>
      <c r="B41" s="1111">
        <f>B40+1</f>
        <v>2025</v>
      </c>
      <c r="C41" s="1112">
        <f>M25+M26</f>
        <v>0</v>
      </c>
      <c r="D41" s="1112">
        <f>N26</f>
        <v>0</v>
      </c>
      <c r="E41" s="1112">
        <f>Q25+Q26</f>
        <v>0</v>
      </c>
    </row>
    <row r="43" spans="1:11" x14ac:dyDescent="0.2">
      <c r="A43" s="1105">
        <f>V4</f>
        <v>0</v>
      </c>
      <c r="B43" s="1106" t="s">
        <v>252</v>
      </c>
      <c r="C43" s="1106" t="s">
        <v>253</v>
      </c>
      <c r="D43" s="1106" t="s">
        <v>254</v>
      </c>
      <c r="E43" s="1106" t="s">
        <v>255</v>
      </c>
    </row>
    <row r="44" spans="1:11" x14ac:dyDescent="0.2">
      <c r="A44" s="1110">
        <v>1</v>
      </c>
      <c r="B44" s="1111">
        <f>B37+1</f>
        <v>2022</v>
      </c>
      <c r="C44" s="1112">
        <f>V17+V18</f>
        <v>0</v>
      </c>
      <c r="D44" s="1112">
        <f>W18</f>
        <v>0</v>
      </c>
      <c r="E44" s="1112">
        <f>Z17+Z18</f>
        <v>0</v>
      </c>
    </row>
    <row r="45" spans="1:11" x14ac:dyDescent="0.2">
      <c r="A45" s="1110">
        <f>A44+1</f>
        <v>2</v>
      </c>
      <c r="B45" s="1111">
        <f>B44+1</f>
        <v>2023</v>
      </c>
      <c r="C45" s="1112">
        <f>V19+V20</f>
        <v>0</v>
      </c>
      <c r="D45" s="1112">
        <f>W20</f>
        <v>0</v>
      </c>
      <c r="E45" s="1112">
        <f>Z19+Z20</f>
        <v>0</v>
      </c>
    </row>
    <row r="46" spans="1:11" x14ac:dyDescent="0.2">
      <c r="A46" s="1110">
        <f t="shared" ref="A46:A48" si="23">A45+1</f>
        <v>3</v>
      </c>
      <c r="B46" s="1111">
        <f>B45+1</f>
        <v>2024</v>
      </c>
      <c r="C46" s="1112">
        <f>V21+V22</f>
        <v>0</v>
      </c>
      <c r="D46" s="1112">
        <f>W22</f>
        <v>0</v>
      </c>
      <c r="E46" s="1112">
        <f>Z21+Z22</f>
        <v>0</v>
      </c>
    </row>
    <row r="47" spans="1:11" x14ac:dyDescent="0.2">
      <c r="A47" s="1110">
        <f t="shared" si="23"/>
        <v>4</v>
      </c>
      <c r="B47" s="1111">
        <f>B46+1</f>
        <v>2025</v>
      </c>
      <c r="C47" s="1112">
        <f>V23+V24</f>
        <v>0</v>
      </c>
      <c r="D47" s="1112">
        <f>W24</f>
        <v>0</v>
      </c>
      <c r="E47" s="1112">
        <f>Z23+Z24</f>
        <v>0</v>
      </c>
    </row>
    <row r="48" spans="1:11" x14ac:dyDescent="0.2">
      <c r="A48" s="1110">
        <f t="shared" si="23"/>
        <v>5</v>
      </c>
      <c r="B48" s="1111">
        <f>B47+1</f>
        <v>2026</v>
      </c>
      <c r="C48" s="1112">
        <f>V25+V26</f>
        <v>0</v>
      </c>
      <c r="D48" s="1112">
        <f>W26</f>
        <v>0</v>
      </c>
      <c r="E48" s="1112">
        <f>Z25+Z26</f>
        <v>0</v>
      </c>
    </row>
  </sheetData>
  <mergeCells count="4">
    <mergeCell ref="A14:B16"/>
    <mergeCell ref="J14:K16"/>
    <mergeCell ref="S14:T16"/>
    <mergeCell ref="AB14:AC16"/>
  </mergeCells>
  <dataValidations disablePrompts="1" count="1">
    <dataValidation type="list" allowBlank="1" showInputMessage="1" showErrorMessage="1" sqref="D9 M9 V9 AE9">
      <formula1>"Semestral,Anual"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3"/>
  <dimension ref="A1:AJ89"/>
  <sheetViews>
    <sheetView workbookViewId="0">
      <selection activeCell="E6" sqref="E6"/>
    </sheetView>
  </sheetViews>
  <sheetFormatPr defaultColWidth="9.140625" defaultRowHeight="11.25" x14ac:dyDescent="0.2"/>
  <cols>
    <col min="1" max="1" width="0.85546875" style="450" customWidth="1"/>
    <col min="2" max="3" width="8.85546875" style="450" customWidth="1"/>
    <col min="4" max="4" width="10.85546875" style="450" customWidth="1"/>
    <col min="5" max="5" width="13" style="450" customWidth="1"/>
    <col min="6" max="6" width="10.85546875" style="450" customWidth="1"/>
    <col min="7" max="7" width="11" style="450" customWidth="1"/>
    <col min="8" max="8" width="13.85546875" style="450" customWidth="1"/>
    <col min="9" max="9" width="9.140625" style="450"/>
    <col min="10" max="10" width="1.85546875" style="450" customWidth="1"/>
    <col min="11" max="12" width="8.85546875" style="450" customWidth="1"/>
    <col min="13" max="13" width="10.85546875" style="450" customWidth="1"/>
    <col min="14" max="14" width="13" style="450" customWidth="1"/>
    <col min="15" max="15" width="10.85546875" style="450" customWidth="1"/>
    <col min="16" max="16" width="11" style="450" customWidth="1"/>
    <col min="17" max="17" width="13.85546875" style="450" customWidth="1"/>
    <col min="18" max="18" width="9.140625" style="450"/>
    <col min="19" max="19" width="1.85546875" style="450" customWidth="1"/>
    <col min="20" max="21" width="8.85546875" style="450" customWidth="1"/>
    <col min="22" max="22" width="10.85546875" style="450" customWidth="1"/>
    <col min="23" max="23" width="13" style="450" customWidth="1"/>
    <col min="24" max="24" width="10.85546875" style="450" customWidth="1"/>
    <col min="25" max="25" width="11" style="450" customWidth="1"/>
    <col min="26" max="26" width="13.85546875" style="450" customWidth="1"/>
    <col min="27" max="27" width="9.140625" style="450"/>
    <col min="28" max="28" width="1.140625" style="450" customWidth="1"/>
    <col min="29" max="29" width="6.140625" style="450" customWidth="1"/>
    <col min="30" max="30" width="6" style="450" customWidth="1"/>
    <col min="31" max="31" width="11.85546875" style="450" customWidth="1"/>
    <col min="32" max="32" width="12" style="450" bestFit="1" customWidth="1"/>
    <col min="33" max="33" width="13.140625" style="450" customWidth="1"/>
    <col min="34" max="34" width="13" style="450" bestFit="1" customWidth="1"/>
    <col min="35" max="35" width="12.85546875" style="450" customWidth="1"/>
    <col min="36" max="36" width="8.42578125" style="450" bestFit="1" customWidth="1"/>
    <col min="37" max="16384" width="9.140625" style="451"/>
  </cols>
  <sheetData>
    <row r="1" spans="1:36" s="413" customFormat="1" ht="12" thickBot="1" x14ac:dyDescent="0.25">
      <c r="A1" s="412"/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2"/>
    </row>
    <row r="2" spans="1:36" s="413" customFormat="1" ht="12" thickBot="1" x14ac:dyDescent="0.25">
      <c r="A2" s="412"/>
      <c r="B2" s="414" t="s">
        <v>222</v>
      </c>
      <c r="C2" s="415"/>
      <c r="D2" s="415"/>
      <c r="E2" s="415"/>
      <c r="F2" s="415"/>
      <c r="G2" s="415"/>
      <c r="H2" s="415"/>
      <c r="I2" s="416" t="s">
        <v>70</v>
      </c>
      <c r="J2" s="417"/>
      <c r="K2" s="414" t="s">
        <v>223</v>
      </c>
      <c r="L2" s="415"/>
      <c r="M2" s="415"/>
      <c r="N2" s="415"/>
      <c r="O2" s="415"/>
      <c r="P2" s="415"/>
      <c r="Q2" s="415"/>
      <c r="R2" s="416" t="s">
        <v>70</v>
      </c>
      <c r="S2" s="418"/>
      <c r="T2" s="414" t="s">
        <v>224</v>
      </c>
      <c r="U2" s="415"/>
      <c r="V2" s="415"/>
      <c r="W2" s="415"/>
      <c r="X2" s="415"/>
      <c r="Y2" s="415"/>
      <c r="Z2" s="415"/>
      <c r="AA2" s="416" t="s">
        <v>70</v>
      </c>
      <c r="AB2" s="412"/>
      <c r="AC2" s="414" t="s">
        <v>225</v>
      </c>
      <c r="AD2" s="419"/>
      <c r="AE2" s="420"/>
      <c r="AF2" s="420"/>
      <c r="AG2" s="420"/>
      <c r="AH2" s="420"/>
      <c r="AI2" s="420"/>
      <c r="AJ2" s="416" t="s">
        <v>70</v>
      </c>
    </row>
    <row r="3" spans="1:36" s="413" customFormat="1" ht="15" customHeight="1" x14ac:dyDescent="0.2">
      <c r="A3" s="412"/>
      <c r="B3" s="421"/>
      <c r="C3" s="422"/>
      <c r="D3" s="422"/>
      <c r="E3" s="422"/>
      <c r="F3" s="422"/>
      <c r="G3" s="422"/>
      <c r="H3" s="422"/>
      <c r="I3" s="423"/>
      <c r="J3" s="418"/>
      <c r="K3" s="421"/>
      <c r="L3" s="422"/>
      <c r="M3" s="422"/>
      <c r="N3" s="422"/>
      <c r="O3" s="422"/>
      <c r="P3" s="422"/>
      <c r="Q3" s="422"/>
      <c r="R3" s="423"/>
      <c r="S3" s="412"/>
      <c r="T3" s="421"/>
      <c r="U3" s="422"/>
      <c r="V3" s="422"/>
      <c r="W3" s="422"/>
      <c r="X3" s="422"/>
      <c r="Y3" s="422"/>
      <c r="Z3" s="422"/>
      <c r="AA3" s="423"/>
      <c r="AB3" s="412"/>
      <c r="AC3" s="424"/>
      <c r="AD3" s="418"/>
      <c r="AE3" s="418"/>
      <c r="AF3" s="418"/>
      <c r="AG3" s="418"/>
      <c r="AH3" s="418"/>
      <c r="AI3" s="418"/>
      <c r="AJ3" s="425"/>
    </row>
    <row r="4" spans="1:36" s="413" customFormat="1" ht="15" customHeight="1" x14ac:dyDescent="0.2">
      <c r="A4" s="412"/>
      <c r="B4" s="426" t="s">
        <v>226</v>
      </c>
      <c r="C4" s="418"/>
      <c r="D4" s="427"/>
      <c r="E4" s="1641">
        <f>+Balanço!E65</f>
        <v>241453.05</v>
      </c>
      <c r="F4" s="428"/>
      <c r="G4" s="428"/>
      <c r="H4" s="428"/>
      <c r="I4" s="423"/>
      <c r="J4" s="418"/>
      <c r="K4" s="426" t="s">
        <v>226</v>
      </c>
      <c r="L4" s="418"/>
      <c r="M4" s="427"/>
      <c r="N4" s="1641">
        <f>Balanço!E57</f>
        <v>0</v>
      </c>
      <c r="O4" s="428"/>
      <c r="P4" s="428"/>
      <c r="Q4" s="428"/>
      <c r="R4" s="423"/>
      <c r="S4" s="412"/>
      <c r="T4" s="426" t="s">
        <v>226</v>
      </c>
      <c r="U4" s="418"/>
      <c r="V4" s="427"/>
      <c r="W4" s="1641">
        <f>Balanço!E64</f>
        <v>0</v>
      </c>
      <c r="X4" s="428"/>
      <c r="Y4" s="428"/>
      <c r="Z4" s="428"/>
      <c r="AA4" s="423"/>
      <c r="AB4" s="412"/>
      <c r="AC4" s="426" t="s">
        <v>227</v>
      </c>
      <c r="AD4" s="418"/>
      <c r="AE4" s="418"/>
      <c r="AF4" s="1642">
        <f>Balanço!E4</f>
        <v>2019</v>
      </c>
      <c r="AG4" s="418"/>
      <c r="AH4" s="418"/>
      <c r="AI4" s="418"/>
      <c r="AJ4" s="423"/>
    </row>
    <row r="5" spans="1:36" s="413" customFormat="1" ht="15" customHeight="1" x14ac:dyDescent="0.2">
      <c r="A5" s="412"/>
      <c r="B5" s="430" t="s">
        <v>228</v>
      </c>
      <c r="C5" s="418"/>
      <c r="D5" s="427"/>
      <c r="E5" s="1639">
        <v>0</v>
      </c>
      <c r="F5" s="432" t="s">
        <v>229</v>
      </c>
      <c r="G5" s="428"/>
      <c r="H5" s="428"/>
      <c r="I5" s="423"/>
      <c r="J5" s="418"/>
      <c r="K5" s="430" t="s">
        <v>228</v>
      </c>
      <c r="L5" s="418"/>
      <c r="M5" s="427"/>
      <c r="N5" s="1639">
        <v>14</v>
      </c>
      <c r="O5" s="432" t="s">
        <v>229</v>
      </c>
      <c r="P5" s="428"/>
      <c r="Q5" s="428"/>
      <c r="R5" s="423"/>
      <c r="S5" s="412"/>
      <c r="T5" s="430" t="s">
        <v>228</v>
      </c>
      <c r="U5" s="418"/>
      <c r="V5" s="427"/>
      <c r="W5" s="1643">
        <v>14</v>
      </c>
      <c r="X5" s="432" t="s">
        <v>229</v>
      </c>
      <c r="Y5" s="428"/>
      <c r="Z5" s="428"/>
      <c r="AA5" s="423"/>
      <c r="AB5" s="412"/>
      <c r="AC5" s="426" t="s">
        <v>226</v>
      </c>
      <c r="AD5" s="418"/>
      <c r="AE5" s="418"/>
      <c r="AF5" s="1649">
        <f>Balanço!E54</f>
        <v>0</v>
      </c>
      <c r="AG5" s="428"/>
      <c r="AH5" s="428"/>
      <c r="AI5" s="428"/>
      <c r="AJ5" s="434"/>
    </row>
    <row r="6" spans="1:36" s="413" customFormat="1" ht="15" customHeight="1" x14ac:dyDescent="0.2">
      <c r="A6" s="412"/>
      <c r="B6" s="426" t="s">
        <v>230</v>
      </c>
      <c r="C6" s="418"/>
      <c r="D6" s="427"/>
      <c r="E6" s="1639">
        <v>0</v>
      </c>
      <c r="F6" s="428" t="str">
        <f>F5</f>
        <v>semestres</v>
      </c>
      <c r="G6" s="428"/>
      <c r="H6" s="428"/>
      <c r="I6" s="423"/>
      <c r="J6" s="418"/>
      <c r="K6" s="426" t="s">
        <v>230</v>
      </c>
      <c r="L6" s="418"/>
      <c r="M6" s="427"/>
      <c r="N6" s="1639">
        <v>0</v>
      </c>
      <c r="O6" s="428" t="str">
        <f>O5</f>
        <v>semestres</v>
      </c>
      <c r="P6" s="428"/>
      <c r="Q6" s="428"/>
      <c r="R6" s="423"/>
      <c r="S6" s="412"/>
      <c r="T6" s="426" t="s">
        <v>230</v>
      </c>
      <c r="U6" s="418"/>
      <c r="V6" s="427"/>
      <c r="W6" s="1643">
        <v>0</v>
      </c>
      <c r="X6" s="428" t="str">
        <f>X5</f>
        <v>semestres</v>
      </c>
      <c r="Y6" s="428"/>
      <c r="Z6" s="428"/>
      <c r="AA6" s="423"/>
      <c r="AB6" s="412"/>
      <c r="AC6" s="430" t="s">
        <v>231</v>
      </c>
      <c r="AD6" s="435"/>
      <c r="AE6" s="418"/>
      <c r="AF6" s="1643">
        <v>15</v>
      </c>
      <c r="AG6" s="428" t="s">
        <v>232</v>
      </c>
      <c r="AH6" s="428"/>
      <c r="AI6" s="428"/>
      <c r="AJ6" s="434"/>
    </row>
    <row r="7" spans="1:36" s="413" customFormat="1" ht="15" customHeight="1" x14ac:dyDescent="0.2">
      <c r="A7" s="412"/>
      <c r="B7" s="436" t="s">
        <v>233</v>
      </c>
      <c r="C7" s="418"/>
      <c r="D7" s="427"/>
      <c r="E7" s="1640">
        <f>(1+Pressupostos!$C$46)^(1/2)-1</f>
        <v>2.3547751695053964E-2</v>
      </c>
      <c r="F7" s="428"/>
      <c r="G7" s="428"/>
      <c r="H7" s="428"/>
      <c r="I7" s="423"/>
      <c r="J7" s="418"/>
      <c r="K7" s="436" t="s">
        <v>233</v>
      </c>
      <c r="L7" s="418"/>
      <c r="M7" s="427"/>
      <c r="N7" s="1640">
        <f>E7</f>
        <v>2.3547751695053964E-2</v>
      </c>
      <c r="O7" s="428"/>
      <c r="P7" s="428"/>
      <c r="Q7" s="428"/>
      <c r="R7" s="423"/>
      <c r="S7" s="412"/>
      <c r="T7" s="436" t="s">
        <v>233</v>
      </c>
      <c r="U7" s="418"/>
      <c r="V7" s="427"/>
      <c r="W7" s="1648">
        <f>N7</f>
        <v>2.3547751695053964E-2</v>
      </c>
      <c r="X7" s="428"/>
      <c r="Y7" s="428"/>
      <c r="Z7" s="428"/>
      <c r="AA7" s="423"/>
      <c r="AB7" s="412"/>
      <c r="AC7" s="426" t="s">
        <v>230</v>
      </c>
      <c r="AD7" s="418"/>
      <c r="AE7" s="418"/>
      <c r="AF7" s="1643">
        <v>0</v>
      </c>
      <c r="AG7" s="428" t="s">
        <v>232</v>
      </c>
      <c r="AH7" s="428"/>
      <c r="AI7" s="428"/>
      <c r="AJ7" s="434"/>
    </row>
    <row r="8" spans="1:36" s="413" customFormat="1" ht="11.25" customHeight="1" x14ac:dyDescent="0.2">
      <c r="A8" s="412"/>
      <c r="B8" s="437"/>
      <c r="C8" s="438"/>
      <c r="D8" s="438"/>
      <c r="E8" s="438"/>
      <c r="F8" s="438"/>
      <c r="G8" s="438"/>
      <c r="H8" s="438"/>
      <c r="I8" s="423"/>
      <c r="J8" s="418"/>
      <c r="K8" s="437"/>
      <c r="L8" s="438"/>
      <c r="M8" s="438"/>
      <c r="N8" s="438"/>
      <c r="O8" s="438"/>
      <c r="P8" s="438"/>
      <c r="Q8" s="438"/>
      <c r="R8" s="423"/>
      <c r="S8" s="412"/>
      <c r="T8" s="437"/>
      <c r="U8" s="438"/>
      <c r="V8" s="438"/>
      <c r="W8" s="438"/>
      <c r="X8" s="438"/>
      <c r="Y8" s="438"/>
      <c r="Z8" s="438"/>
      <c r="AA8" s="423"/>
      <c r="AB8" s="412"/>
      <c r="AC8" s="426"/>
      <c r="AD8" s="418"/>
      <c r="AE8" s="418"/>
      <c r="AF8" s="1644"/>
      <c r="AG8" s="428"/>
      <c r="AH8" s="428"/>
      <c r="AI8" s="428"/>
      <c r="AJ8" s="434"/>
    </row>
    <row r="9" spans="1:36" s="413" customFormat="1" ht="12.95" customHeight="1" x14ac:dyDescent="0.2">
      <c r="A9" s="412"/>
      <c r="B9" s="2003" t="s">
        <v>234</v>
      </c>
      <c r="C9" s="2004"/>
      <c r="D9" s="477" t="s">
        <v>235</v>
      </c>
      <c r="E9" s="478"/>
      <c r="F9" s="477" t="s">
        <v>235</v>
      </c>
      <c r="G9" s="479"/>
      <c r="H9" s="477" t="s">
        <v>236</v>
      </c>
      <c r="I9" s="480" t="s">
        <v>237</v>
      </c>
      <c r="J9" s="439"/>
      <c r="K9" s="2003" t="s">
        <v>234</v>
      </c>
      <c r="L9" s="2004"/>
      <c r="M9" s="477" t="s">
        <v>235</v>
      </c>
      <c r="N9" s="478"/>
      <c r="O9" s="477" t="s">
        <v>235</v>
      </c>
      <c r="P9" s="479"/>
      <c r="Q9" s="477" t="s">
        <v>236</v>
      </c>
      <c r="R9" s="480" t="s">
        <v>237</v>
      </c>
      <c r="S9" s="412"/>
      <c r="T9" s="2003" t="s">
        <v>234</v>
      </c>
      <c r="U9" s="2004"/>
      <c r="V9" s="477" t="s">
        <v>235</v>
      </c>
      <c r="W9" s="478"/>
      <c r="X9" s="477" t="s">
        <v>235</v>
      </c>
      <c r="Y9" s="479"/>
      <c r="Z9" s="477" t="s">
        <v>236</v>
      </c>
      <c r="AA9" s="480" t="s">
        <v>237</v>
      </c>
      <c r="AB9" s="412"/>
      <c r="AC9" s="426" t="s">
        <v>238</v>
      </c>
      <c r="AD9" s="418"/>
      <c r="AE9" s="418"/>
      <c r="AF9" s="1644"/>
      <c r="AG9" s="428"/>
      <c r="AH9" s="428"/>
      <c r="AI9" s="428"/>
      <c r="AJ9" s="434"/>
    </row>
    <row r="10" spans="1:36" s="413" customFormat="1" ht="12.95" customHeight="1" x14ac:dyDescent="0.2">
      <c r="A10" s="412"/>
      <c r="B10" s="2005"/>
      <c r="C10" s="2006"/>
      <c r="D10" s="481" t="s">
        <v>239</v>
      </c>
      <c r="E10" s="481" t="s">
        <v>240</v>
      </c>
      <c r="F10" s="481" t="s">
        <v>239</v>
      </c>
      <c r="G10" s="481" t="s">
        <v>241</v>
      </c>
      <c r="H10" s="481" t="s">
        <v>242</v>
      </c>
      <c r="I10" s="482" t="s">
        <v>243</v>
      </c>
      <c r="J10" s="439"/>
      <c r="K10" s="2005"/>
      <c r="L10" s="2006"/>
      <c r="M10" s="481" t="s">
        <v>239</v>
      </c>
      <c r="N10" s="481" t="s">
        <v>240</v>
      </c>
      <c r="O10" s="481" t="s">
        <v>239</v>
      </c>
      <c r="P10" s="481" t="s">
        <v>241</v>
      </c>
      <c r="Q10" s="481" t="s">
        <v>242</v>
      </c>
      <c r="R10" s="482" t="s">
        <v>243</v>
      </c>
      <c r="S10" s="412"/>
      <c r="T10" s="2005"/>
      <c r="U10" s="2006"/>
      <c r="V10" s="481" t="s">
        <v>239</v>
      </c>
      <c r="W10" s="481" t="s">
        <v>240</v>
      </c>
      <c r="X10" s="481" t="s">
        <v>239</v>
      </c>
      <c r="Y10" s="481" t="s">
        <v>241</v>
      </c>
      <c r="Z10" s="481" t="s">
        <v>242</v>
      </c>
      <c r="AA10" s="482" t="s">
        <v>243</v>
      </c>
      <c r="AB10" s="412"/>
      <c r="AC10" s="426" t="s">
        <v>244</v>
      </c>
      <c r="AD10" s="418"/>
      <c r="AE10" s="418"/>
      <c r="AF10" s="1645" t="s">
        <v>245</v>
      </c>
      <c r="AG10" s="488"/>
      <c r="AH10" s="428"/>
      <c r="AI10" s="428"/>
      <c r="AJ10" s="434"/>
    </row>
    <row r="11" spans="1:36" s="413" customFormat="1" ht="12.95" customHeight="1" x14ac:dyDescent="0.2">
      <c r="A11" s="412"/>
      <c r="B11" s="2005"/>
      <c r="C11" s="2006"/>
      <c r="D11" s="483"/>
      <c r="E11" s="483"/>
      <c r="F11" s="483"/>
      <c r="G11" s="483"/>
      <c r="H11" s="483"/>
      <c r="I11" s="482" t="s">
        <v>246</v>
      </c>
      <c r="J11" s="439"/>
      <c r="K11" s="2005"/>
      <c r="L11" s="2006"/>
      <c r="M11" s="483"/>
      <c r="N11" s="483"/>
      <c r="O11" s="483"/>
      <c r="P11" s="483"/>
      <c r="Q11" s="483"/>
      <c r="R11" s="482" t="s">
        <v>246</v>
      </c>
      <c r="S11" s="412"/>
      <c r="T11" s="2005"/>
      <c r="U11" s="2006"/>
      <c r="V11" s="483"/>
      <c r="W11" s="483"/>
      <c r="X11" s="483"/>
      <c r="Y11" s="483"/>
      <c r="Z11" s="483"/>
      <c r="AA11" s="482" t="s">
        <v>246</v>
      </c>
      <c r="AB11" s="412"/>
      <c r="AC11" s="426" t="s">
        <v>247</v>
      </c>
      <c r="AD11" s="418"/>
      <c r="AE11" s="418"/>
      <c r="AF11" s="1645">
        <f>IF(AF10="Semestral",AF6*2,AF6)</f>
        <v>30</v>
      </c>
      <c r="AG11" s="427"/>
      <c r="AH11" s="428"/>
      <c r="AI11" s="428"/>
      <c r="AJ11" s="434"/>
    </row>
    <row r="12" spans="1:36" s="444" customFormat="1" ht="12.75" customHeight="1" x14ac:dyDescent="0.2">
      <c r="A12" s="441"/>
      <c r="B12" s="452" t="s">
        <v>248</v>
      </c>
      <c r="C12" s="453" t="s">
        <v>249</v>
      </c>
      <c r="D12" s="454">
        <f>E4</f>
        <v>241453.05</v>
      </c>
      <c r="E12" s="455">
        <f>IF(OR(ROWS(B$12:B12)&lt;E$6,ROWS(B$12:B12)&gt;E$5),0,E$4/(E$5-E$6))</f>
        <v>0</v>
      </c>
      <c r="F12" s="454">
        <f>D12-E12</f>
        <v>241453.05</v>
      </c>
      <c r="G12" s="454">
        <f t="shared" ref="G12:G27" si="0">D12*E$7</f>
        <v>5685.6764674134492</v>
      </c>
      <c r="H12" s="454">
        <f>G12*Pressupostos!$C$30</f>
        <v>28.428382337067248</v>
      </c>
      <c r="I12" s="456">
        <f t="shared" ref="I12:I27" si="1">SUM(G12:H12)</f>
        <v>5714.1048497505162</v>
      </c>
      <c r="J12" s="442"/>
      <c r="K12" s="452" t="s">
        <v>248</v>
      </c>
      <c r="L12" s="453" t="s">
        <v>249</v>
      </c>
      <c r="M12" s="454">
        <f>N4</f>
        <v>0</v>
      </c>
      <c r="N12" s="455">
        <f>IF(OR(ROWS(K$12:K12)&lt;N$6,ROWS(K$12:K12)&gt;N$5),0,N$4/(N$5-N$6))</f>
        <v>0</v>
      </c>
      <c r="O12" s="454">
        <f>M12-N12</f>
        <v>0</v>
      </c>
      <c r="P12" s="454">
        <f t="shared" ref="P12:P27" si="2">M12*N$7</f>
        <v>0</v>
      </c>
      <c r="Q12" s="454">
        <f>P12*Pressupostos!$C$30</f>
        <v>0</v>
      </c>
      <c r="R12" s="456">
        <f t="shared" ref="R12:R27" si="3">SUM(P12:Q12)</f>
        <v>0</v>
      </c>
      <c r="S12" s="441"/>
      <c r="T12" s="452" t="s">
        <v>248</v>
      </c>
      <c r="U12" s="453" t="s">
        <v>249</v>
      </c>
      <c r="V12" s="454">
        <f>W4</f>
        <v>0</v>
      </c>
      <c r="W12" s="455">
        <f>IF(OR(ROWS(T$12:T12)&lt;W$6,ROWS(T$12:T12)&gt;W$5),0,W$4/(W$5-W$6))</f>
        <v>0</v>
      </c>
      <c r="X12" s="454">
        <f>V12-W12</f>
        <v>0</v>
      </c>
      <c r="Y12" s="454">
        <f t="shared" ref="Y12:Y27" si="4">V12*W$7</f>
        <v>0</v>
      </c>
      <c r="Z12" s="454">
        <f>Y12*Pressupostos!$C$30</f>
        <v>0</v>
      </c>
      <c r="AA12" s="456">
        <f t="shared" ref="AA12:AA27" si="5">SUM(Y12:Z12)</f>
        <v>0</v>
      </c>
      <c r="AB12" s="441"/>
      <c r="AC12" s="426"/>
      <c r="AD12" s="418"/>
      <c r="AE12" s="418"/>
      <c r="AF12" s="1646"/>
      <c r="AG12" s="428"/>
      <c r="AH12" s="428"/>
      <c r="AI12" s="428"/>
      <c r="AJ12" s="434"/>
    </row>
    <row r="13" spans="1:36" s="444" customFormat="1" ht="12.75" customHeight="1" x14ac:dyDescent="0.2">
      <c r="A13" s="441"/>
      <c r="B13" s="457" t="s">
        <v>248</v>
      </c>
      <c r="C13" s="458" t="s">
        <v>250</v>
      </c>
      <c r="D13" s="459">
        <f>F12</f>
        <v>241453.05</v>
      </c>
      <c r="E13" s="460">
        <f>IF(OR(ROWS(B$12:B13)&lt;E$6,ROWS(B$12:B13)&gt;E$5),0,E$4/(E$5-E$6))</f>
        <v>0</v>
      </c>
      <c r="F13" s="459">
        <f>D13-E13</f>
        <v>241453.05</v>
      </c>
      <c r="G13" s="459">
        <f t="shared" si="0"/>
        <v>5685.6764674134492</v>
      </c>
      <c r="H13" s="459">
        <f>G13*Pressupostos!$C$30</f>
        <v>28.428382337067248</v>
      </c>
      <c r="I13" s="461">
        <f t="shared" si="1"/>
        <v>5714.1048497505162</v>
      </c>
      <c r="J13" s="442"/>
      <c r="K13" s="457" t="s">
        <v>248</v>
      </c>
      <c r="L13" s="458" t="s">
        <v>250</v>
      </c>
      <c r="M13" s="459">
        <f t="shared" ref="M13:M27" si="6">O12</f>
        <v>0</v>
      </c>
      <c r="N13" s="460">
        <f>IF(OR(ROWS(K$12:K13)&lt;N$6,ROWS(K$12:K13)&gt;N$5),0,N$4/(N$5-N$6))</f>
        <v>0</v>
      </c>
      <c r="O13" s="459">
        <f>M13-N13</f>
        <v>0</v>
      </c>
      <c r="P13" s="459">
        <f t="shared" si="2"/>
        <v>0</v>
      </c>
      <c r="Q13" s="459">
        <f>P13*Pressupostos!$C$30</f>
        <v>0</v>
      </c>
      <c r="R13" s="461">
        <f t="shared" si="3"/>
        <v>0</v>
      </c>
      <c r="S13" s="445"/>
      <c r="T13" s="457" t="s">
        <v>248</v>
      </c>
      <c r="U13" s="458" t="s">
        <v>250</v>
      </c>
      <c r="V13" s="459">
        <f t="shared" ref="V13:V27" si="7">X12</f>
        <v>0</v>
      </c>
      <c r="W13" s="460">
        <f>IF(OR(ROWS(T$12:T13)&lt;W$6,ROWS(T$12:T13)&gt;W$5),0,W$4/(W$5-W$6))</f>
        <v>0</v>
      </c>
      <c r="X13" s="459">
        <f>V13-W13</f>
        <v>0</v>
      </c>
      <c r="Y13" s="459">
        <f t="shared" si="4"/>
        <v>0</v>
      </c>
      <c r="Z13" s="459">
        <f>Y13*Pressupostos!$C$30</f>
        <v>0</v>
      </c>
      <c r="AA13" s="461">
        <f t="shared" si="5"/>
        <v>0</v>
      </c>
      <c r="AB13" s="441"/>
      <c r="AC13" s="430" t="s">
        <v>251</v>
      </c>
      <c r="AD13" s="435"/>
      <c r="AE13" s="418"/>
      <c r="AF13" s="1647">
        <f>IF(AF10="Semestral",(1+Pressupostos!$C$46)^(1/2)-1,Pressupostos!$C$46)</f>
        <v>2.3547751695053964E-2</v>
      </c>
      <c r="AG13" s="428"/>
      <c r="AH13" s="428"/>
      <c r="AI13" s="447"/>
      <c r="AJ13" s="434"/>
    </row>
    <row r="14" spans="1:36" s="444" customFormat="1" ht="12.75" customHeight="1" x14ac:dyDescent="0.2">
      <c r="A14" s="441"/>
      <c r="B14" s="452">
        <f>B13+1</f>
        <v>2</v>
      </c>
      <c r="C14" s="453" t="s">
        <v>249</v>
      </c>
      <c r="D14" s="454">
        <f t="shared" ref="D14:D27" si="8">F13</f>
        <v>241453.05</v>
      </c>
      <c r="E14" s="455">
        <f>IF(OR(ROWS(B$12:B14)&lt;E$6,ROWS(B$12:B14)&gt;E$5),0,E$4/(E$5-E$6))</f>
        <v>0</v>
      </c>
      <c r="F14" s="454">
        <f>D14-E14</f>
        <v>241453.05</v>
      </c>
      <c r="G14" s="454">
        <f t="shared" si="0"/>
        <v>5685.6764674134492</v>
      </c>
      <c r="H14" s="454">
        <f>G14*Pressupostos!$C$30</f>
        <v>28.428382337067248</v>
      </c>
      <c r="I14" s="456">
        <f t="shared" si="1"/>
        <v>5714.1048497505162</v>
      </c>
      <c r="J14" s="442"/>
      <c r="K14" s="452">
        <f>K13+1</f>
        <v>2</v>
      </c>
      <c r="L14" s="453" t="s">
        <v>249</v>
      </c>
      <c r="M14" s="454">
        <f t="shared" si="6"/>
        <v>0</v>
      </c>
      <c r="N14" s="455">
        <f>IF(OR(ROWS(K$12:K14)&lt;N$6,ROWS(K$12:K14)&gt;N$5),0,N$4/(N$5-N$6))</f>
        <v>0</v>
      </c>
      <c r="O14" s="454">
        <f>M14-N14</f>
        <v>0</v>
      </c>
      <c r="P14" s="454">
        <f t="shared" si="2"/>
        <v>0</v>
      </c>
      <c r="Q14" s="454">
        <f>P14*Pressupostos!$C$30</f>
        <v>0</v>
      </c>
      <c r="R14" s="456">
        <f t="shared" si="3"/>
        <v>0</v>
      </c>
      <c r="S14" s="445"/>
      <c r="T14" s="452">
        <f>T13+1</f>
        <v>2</v>
      </c>
      <c r="U14" s="453" t="s">
        <v>249</v>
      </c>
      <c r="V14" s="454">
        <f t="shared" si="7"/>
        <v>0</v>
      </c>
      <c r="W14" s="455">
        <f>IF(OR(ROWS(T$12:T14)&lt;W$6,ROWS(T$12:T14)&gt;W$5),0,W$4/(W$5-W$6))</f>
        <v>0</v>
      </c>
      <c r="X14" s="454">
        <f>V14-W14</f>
        <v>0</v>
      </c>
      <c r="Y14" s="454">
        <f t="shared" si="4"/>
        <v>0</v>
      </c>
      <c r="Z14" s="454">
        <f>Y14*Pressupostos!$C$30</f>
        <v>0</v>
      </c>
      <c r="AA14" s="456">
        <f t="shared" si="5"/>
        <v>0</v>
      </c>
      <c r="AB14" s="441"/>
      <c r="AC14" s="437"/>
      <c r="AD14" s="438"/>
      <c r="AE14" s="438"/>
      <c r="AF14" s="438"/>
      <c r="AG14" s="438"/>
      <c r="AH14" s="438"/>
      <c r="AI14" s="438"/>
      <c r="AJ14" s="448"/>
    </row>
    <row r="15" spans="1:36" s="444" customFormat="1" ht="12.75" customHeight="1" x14ac:dyDescent="0.2">
      <c r="A15" s="449"/>
      <c r="B15" s="457">
        <f>B14</f>
        <v>2</v>
      </c>
      <c r="C15" s="458" t="s">
        <v>250</v>
      </c>
      <c r="D15" s="459">
        <f t="shared" si="8"/>
        <v>241453.05</v>
      </c>
      <c r="E15" s="460">
        <f>IF(OR(ROWS(B$12:B15)&lt;E$6,ROWS(B$12:B15)&gt;E$5),0,E$4/(E$5-E$6))</f>
        <v>0</v>
      </c>
      <c r="F15" s="459">
        <f>D14-E14-E15</f>
        <v>241453.05</v>
      </c>
      <c r="G15" s="459">
        <f t="shared" si="0"/>
        <v>5685.6764674134492</v>
      </c>
      <c r="H15" s="459">
        <f>G15*Pressupostos!$C$30</f>
        <v>28.428382337067248</v>
      </c>
      <c r="I15" s="461">
        <f t="shared" si="1"/>
        <v>5714.1048497505162</v>
      </c>
      <c r="J15" s="442"/>
      <c r="K15" s="457">
        <f>K14</f>
        <v>2</v>
      </c>
      <c r="L15" s="458" t="s">
        <v>250</v>
      </c>
      <c r="M15" s="459">
        <f t="shared" si="6"/>
        <v>0</v>
      </c>
      <c r="N15" s="460">
        <f>IF(OR(ROWS(K$12:K15)&lt;N$6,ROWS(K$12:K15)&gt;N$5),0,N$4/(N$5-N$6))</f>
        <v>0</v>
      </c>
      <c r="O15" s="459">
        <f>M14-N14-N15</f>
        <v>0</v>
      </c>
      <c r="P15" s="459">
        <f t="shared" si="2"/>
        <v>0</v>
      </c>
      <c r="Q15" s="459">
        <f>P15*Pressupostos!$C$30</f>
        <v>0</v>
      </c>
      <c r="R15" s="461">
        <f t="shared" si="3"/>
        <v>0</v>
      </c>
      <c r="S15" s="445"/>
      <c r="T15" s="457">
        <f>T14</f>
        <v>2</v>
      </c>
      <c r="U15" s="458" t="s">
        <v>250</v>
      </c>
      <c r="V15" s="459">
        <f t="shared" si="7"/>
        <v>0</v>
      </c>
      <c r="W15" s="460">
        <f>IF(OR(ROWS(T$12:T15)&lt;W$6,ROWS(T$12:T15)&gt;W$5),0,W$4/(W$5-W$6))</f>
        <v>0</v>
      </c>
      <c r="X15" s="459">
        <f>V14-W14-W15</f>
        <v>0</v>
      </c>
      <c r="Y15" s="459">
        <f t="shared" si="4"/>
        <v>0</v>
      </c>
      <c r="Z15" s="459">
        <f>Y15*Pressupostos!$C$30</f>
        <v>0</v>
      </c>
      <c r="AA15" s="461">
        <f t="shared" si="5"/>
        <v>0</v>
      </c>
      <c r="AB15" s="441"/>
      <c r="AC15" s="2003" t="s">
        <v>234</v>
      </c>
      <c r="AD15" s="2004"/>
      <c r="AE15" s="477" t="s">
        <v>235</v>
      </c>
      <c r="AF15" s="478"/>
      <c r="AG15" s="477" t="s">
        <v>235</v>
      </c>
      <c r="AH15" s="479"/>
      <c r="AI15" s="477" t="s">
        <v>236</v>
      </c>
      <c r="AJ15" s="480" t="s">
        <v>237</v>
      </c>
    </row>
    <row r="16" spans="1:36" s="444" customFormat="1" ht="12.75" customHeight="1" x14ac:dyDescent="0.2">
      <c r="A16" s="449"/>
      <c r="B16" s="452">
        <f>B15+1</f>
        <v>3</v>
      </c>
      <c r="C16" s="453" t="s">
        <v>249</v>
      </c>
      <c r="D16" s="454">
        <f t="shared" si="8"/>
        <v>241453.05</v>
      </c>
      <c r="E16" s="455">
        <f>IF(OR(ROWS(B$12:B16)&lt;E$6,ROWS(B$12:B16)&gt;E$5),0,E$4/(E$5-E$6))</f>
        <v>0</v>
      </c>
      <c r="F16" s="454">
        <f>D16-E16</f>
        <v>241453.05</v>
      </c>
      <c r="G16" s="454">
        <f t="shared" si="0"/>
        <v>5685.6764674134492</v>
      </c>
      <c r="H16" s="454">
        <f>G16*Pressupostos!$C$30</f>
        <v>28.428382337067248</v>
      </c>
      <c r="I16" s="456">
        <f t="shared" si="1"/>
        <v>5714.1048497505162</v>
      </c>
      <c r="J16" s="442"/>
      <c r="K16" s="452">
        <f>K15+1</f>
        <v>3</v>
      </c>
      <c r="L16" s="453" t="s">
        <v>249</v>
      </c>
      <c r="M16" s="454">
        <f t="shared" si="6"/>
        <v>0</v>
      </c>
      <c r="N16" s="455">
        <f>IF(OR(ROWS(K$12:K16)&lt;N$6,ROWS(K$12:K16)&gt;N$5),0,N$4/(N$5-N$6))</f>
        <v>0</v>
      </c>
      <c r="O16" s="454">
        <f>M16-N16</f>
        <v>0</v>
      </c>
      <c r="P16" s="454">
        <f t="shared" si="2"/>
        <v>0</v>
      </c>
      <c r="Q16" s="454">
        <f>P16*Pressupostos!$C$30</f>
        <v>0</v>
      </c>
      <c r="R16" s="456">
        <f t="shared" si="3"/>
        <v>0</v>
      </c>
      <c r="S16" s="445"/>
      <c r="T16" s="452">
        <f>T15+1</f>
        <v>3</v>
      </c>
      <c r="U16" s="453" t="s">
        <v>249</v>
      </c>
      <c r="V16" s="454">
        <f t="shared" si="7"/>
        <v>0</v>
      </c>
      <c r="W16" s="455">
        <f>IF(OR(ROWS(T$12:T16)&lt;W$6,ROWS(T$12:T16)&gt;W$5),0,W$4/(W$5-W$6))</f>
        <v>0</v>
      </c>
      <c r="X16" s="454">
        <f>V16-W16</f>
        <v>0</v>
      </c>
      <c r="Y16" s="454">
        <f t="shared" si="4"/>
        <v>0</v>
      </c>
      <c r="Z16" s="454">
        <f>Y16*Pressupostos!$C$30</f>
        <v>0</v>
      </c>
      <c r="AA16" s="456">
        <f t="shared" si="5"/>
        <v>0</v>
      </c>
      <c r="AB16" s="441"/>
      <c r="AC16" s="2005"/>
      <c r="AD16" s="2006"/>
      <c r="AE16" s="481" t="s">
        <v>239</v>
      </c>
      <c r="AF16" s="481" t="s">
        <v>240</v>
      </c>
      <c r="AG16" s="481" t="s">
        <v>239</v>
      </c>
      <c r="AH16" s="481" t="s">
        <v>241</v>
      </c>
      <c r="AI16" s="481" t="s">
        <v>242</v>
      </c>
      <c r="AJ16" s="482" t="s">
        <v>243</v>
      </c>
    </row>
    <row r="17" spans="1:36" s="444" customFormat="1" ht="12.75" customHeight="1" thickBot="1" x14ac:dyDescent="0.25">
      <c r="A17" s="449"/>
      <c r="B17" s="457">
        <f>B16</f>
        <v>3</v>
      </c>
      <c r="C17" s="458" t="s">
        <v>250</v>
      </c>
      <c r="D17" s="459">
        <f t="shared" si="8"/>
        <v>241453.05</v>
      </c>
      <c r="E17" s="460">
        <f>IF(OR(ROWS(B$12:B17)&lt;E$6,ROWS(B$12:B17)&gt;E$5),0,E$4/(E$5-E$6))</f>
        <v>0</v>
      </c>
      <c r="F17" s="459">
        <f>D16-E16-E17</f>
        <v>241453.05</v>
      </c>
      <c r="G17" s="459">
        <f t="shared" si="0"/>
        <v>5685.6764674134492</v>
      </c>
      <c r="H17" s="459">
        <f>G17*Pressupostos!$C$30</f>
        <v>28.428382337067248</v>
      </c>
      <c r="I17" s="461">
        <f t="shared" si="1"/>
        <v>5714.1048497505162</v>
      </c>
      <c r="J17" s="442"/>
      <c r="K17" s="457">
        <f>K16</f>
        <v>3</v>
      </c>
      <c r="L17" s="458" t="s">
        <v>250</v>
      </c>
      <c r="M17" s="459">
        <f t="shared" si="6"/>
        <v>0</v>
      </c>
      <c r="N17" s="460">
        <f>IF(OR(ROWS(K$12:K17)&lt;N$6,ROWS(K$12:K17)&gt;N$5),0,N$4/(N$5-N$6))</f>
        <v>0</v>
      </c>
      <c r="O17" s="459">
        <f>M16-N16-N17</f>
        <v>0</v>
      </c>
      <c r="P17" s="459">
        <f t="shared" si="2"/>
        <v>0</v>
      </c>
      <c r="Q17" s="459">
        <f>P17*Pressupostos!$C$30</f>
        <v>0</v>
      </c>
      <c r="R17" s="461">
        <f t="shared" si="3"/>
        <v>0</v>
      </c>
      <c r="S17" s="445"/>
      <c r="T17" s="457">
        <f>T16</f>
        <v>3</v>
      </c>
      <c r="U17" s="458" t="s">
        <v>250</v>
      </c>
      <c r="V17" s="459">
        <f t="shared" si="7"/>
        <v>0</v>
      </c>
      <c r="W17" s="460">
        <f>IF(OR(ROWS(T$12:T17)&lt;W$6,ROWS(T$12:T17)&gt;W$5),0,W$4/(W$5-W$6))</f>
        <v>0</v>
      </c>
      <c r="X17" s="459">
        <f>V16-W16-W17</f>
        <v>0</v>
      </c>
      <c r="Y17" s="459">
        <f t="shared" si="4"/>
        <v>0</v>
      </c>
      <c r="Z17" s="459">
        <f>Y17*Pressupostos!$C$30</f>
        <v>0</v>
      </c>
      <c r="AA17" s="461">
        <f t="shared" si="5"/>
        <v>0</v>
      </c>
      <c r="AB17" s="441"/>
      <c r="AC17" s="2005"/>
      <c r="AD17" s="2006"/>
      <c r="AE17" s="483"/>
      <c r="AF17" s="483"/>
      <c r="AG17" s="483"/>
      <c r="AH17" s="483"/>
      <c r="AI17" s="483"/>
      <c r="AJ17" s="482" t="s">
        <v>246</v>
      </c>
    </row>
    <row r="18" spans="1:36" s="444" customFormat="1" ht="12.75" customHeight="1" x14ac:dyDescent="0.2">
      <c r="A18" s="449"/>
      <c r="B18" s="452">
        <f>B17+1</f>
        <v>4</v>
      </c>
      <c r="C18" s="453" t="s">
        <v>249</v>
      </c>
      <c r="D18" s="454">
        <f t="shared" si="8"/>
        <v>241453.05</v>
      </c>
      <c r="E18" s="455">
        <f>IF(OR(ROWS(B$12:B18)&lt;E$6,ROWS(B$12:B18)&gt;E$5),0,E$4/(E$5-E$6))</f>
        <v>0</v>
      </c>
      <c r="F18" s="454">
        <f>D18-E18</f>
        <v>241453.05</v>
      </c>
      <c r="G18" s="454">
        <f t="shared" si="0"/>
        <v>5685.6764674134492</v>
      </c>
      <c r="H18" s="454">
        <f>G18*Pressupostos!$C$30</f>
        <v>28.428382337067248</v>
      </c>
      <c r="I18" s="456">
        <f t="shared" si="1"/>
        <v>5714.1048497505162</v>
      </c>
      <c r="J18" s="442"/>
      <c r="K18" s="452">
        <f>K17+1</f>
        <v>4</v>
      </c>
      <c r="L18" s="453" t="s">
        <v>249</v>
      </c>
      <c r="M18" s="454">
        <f t="shared" si="6"/>
        <v>0</v>
      </c>
      <c r="N18" s="455">
        <f>IF(OR(ROWS(K$12:K18)&lt;N$6,ROWS(K$12:K18)&gt;N$5),0,N$4/(N$5-N$6))</f>
        <v>0</v>
      </c>
      <c r="O18" s="454">
        <f>M18-N18</f>
        <v>0</v>
      </c>
      <c r="P18" s="454">
        <f t="shared" si="2"/>
        <v>0</v>
      </c>
      <c r="Q18" s="454">
        <f>P18*Pressupostos!$C$30</f>
        <v>0</v>
      </c>
      <c r="R18" s="456">
        <f t="shared" si="3"/>
        <v>0</v>
      </c>
      <c r="S18" s="445"/>
      <c r="T18" s="452">
        <f>T17+1</f>
        <v>4</v>
      </c>
      <c r="U18" s="453" t="s">
        <v>249</v>
      </c>
      <c r="V18" s="454">
        <f t="shared" si="7"/>
        <v>0</v>
      </c>
      <c r="W18" s="455">
        <f>IF(OR(ROWS(T$12:T18)&lt;W$6,ROWS(T$12:T18)&gt;W$5),0,W$4/(W$5-W$6))</f>
        <v>0</v>
      </c>
      <c r="X18" s="454">
        <f>V18-W18</f>
        <v>0</v>
      </c>
      <c r="Y18" s="454">
        <f t="shared" si="4"/>
        <v>0</v>
      </c>
      <c r="Z18" s="454">
        <f>Y18*Pressupostos!$C$30</f>
        <v>0</v>
      </c>
      <c r="AA18" s="456">
        <f t="shared" si="5"/>
        <v>0</v>
      </c>
      <c r="AB18" s="441"/>
      <c r="AC18" s="546" t="s">
        <v>248</v>
      </c>
      <c r="AD18" s="547" t="s">
        <v>249</v>
      </c>
      <c r="AE18" s="548">
        <f>AF5</f>
        <v>0</v>
      </c>
      <c r="AF18" s="549">
        <f t="shared" ref="AF18:AF49" si="9">IF(OR(AC18-AC$18&lt;AF$7,AC18-AC$18&gt;=AF$6),0,IF(AF$10="Semestral",AF$5/(AF$11-AF$7*2),IF(AD18="II",AF$5/(AF$11-AF$7),0)))</f>
        <v>0</v>
      </c>
      <c r="AG18" s="548">
        <f>AE18-AF18</f>
        <v>0</v>
      </c>
      <c r="AH18" s="548">
        <f t="shared" ref="AH18:AH49" si="10">IF(AF$10="Semestral",AE18*AF$13,IF(AD18="II",AE18*AF$13,0))</f>
        <v>0</v>
      </c>
      <c r="AI18" s="548">
        <f>AH18*Pressupostos!$C$30</f>
        <v>0</v>
      </c>
      <c r="AJ18" s="550">
        <f t="shared" ref="AJ18:AJ49" si="11">SUM(AH18:AI18)</f>
        <v>0</v>
      </c>
    </row>
    <row r="19" spans="1:36" s="444" customFormat="1" ht="12.75" customHeight="1" x14ac:dyDescent="0.2">
      <c r="A19" s="449"/>
      <c r="B19" s="462">
        <f>B18</f>
        <v>4</v>
      </c>
      <c r="C19" s="463" t="s">
        <v>250</v>
      </c>
      <c r="D19" s="464">
        <f t="shared" si="8"/>
        <v>241453.05</v>
      </c>
      <c r="E19" s="465">
        <f>IF(OR(ROWS(B$12:B19)&lt;E$6,ROWS(B$12:B19)&gt;E$5),0,E$4/(E$5-E$6))</f>
        <v>0</v>
      </c>
      <c r="F19" s="464">
        <f>D18-E18-E19</f>
        <v>241453.05</v>
      </c>
      <c r="G19" s="464">
        <f t="shared" si="0"/>
        <v>5685.6764674134492</v>
      </c>
      <c r="H19" s="464">
        <f>G19*Pressupostos!$C$30</f>
        <v>28.428382337067248</v>
      </c>
      <c r="I19" s="466">
        <f t="shared" si="1"/>
        <v>5714.1048497505162</v>
      </c>
      <c r="J19" s="442"/>
      <c r="K19" s="457">
        <f>K18</f>
        <v>4</v>
      </c>
      <c r="L19" s="458" t="s">
        <v>250</v>
      </c>
      <c r="M19" s="459">
        <f t="shared" si="6"/>
        <v>0</v>
      </c>
      <c r="N19" s="460">
        <f>IF(OR(ROWS(K$12:K19)&lt;N$6,ROWS(K$12:K19)&gt;N$5),0,N$4/(N$5-N$6))</f>
        <v>0</v>
      </c>
      <c r="O19" s="459">
        <f>M18-N18-N19</f>
        <v>0</v>
      </c>
      <c r="P19" s="459">
        <f t="shared" si="2"/>
        <v>0</v>
      </c>
      <c r="Q19" s="459">
        <f>P19*Pressupostos!$C$30</f>
        <v>0</v>
      </c>
      <c r="R19" s="461">
        <f t="shared" si="3"/>
        <v>0</v>
      </c>
      <c r="S19" s="445"/>
      <c r="T19" s="457">
        <f>T18</f>
        <v>4</v>
      </c>
      <c r="U19" s="458" t="s">
        <v>250</v>
      </c>
      <c r="V19" s="459">
        <f t="shared" si="7"/>
        <v>0</v>
      </c>
      <c r="W19" s="460">
        <f>IF(OR(ROWS(T$12:T19)&lt;W$6,ROWS(T$12:T19)&gt;W$5),0,W$4/(W$5-W$6))</f>
        <v>0</v>
      </c>
      <c r="X19" s="459">
        <f>V18-W18-W19</f>
        <v>0</v>
      </c>
      <c r="Y19" s="459">
        <f t="shared" si="4"/>
        <v>0</v>
      </c>
      <c r="Z19" s="459">
        <f>Y19*Pressupostos!$C$30</f>
        <v>0</v>
      </c>
      <c r="AA19" s="461">
        <f t="shared" si="5"/>
        <v>0</v>
      </c>
      <c r="AB19" s="441"/>
      <c r="AC19" s="551" t="s">
        <v>248</v>
      </c>
      <c r="AD19" s="552" t="s">
        <v>250</v>
      </c>
      <c r="AE19" s="553">
        <f>AG18</f>
        <v>0</v>
      </c>
      <c r="AF19" s="554">
        <f t="shared" si="9"/>
        <v>0</v>
      </c>
      <c r="AG19" s="553">
        <f>AE19-AF19</f>
        <v>0</v>
      </c>
      <c r="AH19" s="553">
        <f t="shared" si="10"/>
        <v>0</v>
      </c>
      <c r="AI19" s="553">
        <f>AH19*Pressupostos!$C$30</f>
        <v>0</v>
      </c>
      <c r="AJ19" s="555">
        <f t="shared" si="11"/>
        <v>0</v>
      </c>
    </row>
    <row r="20" spans="1:36" s="444" customFormat="1" ht="12.75" customHeight="1" x14ac:dyDescent="0.2">
      <c r="A20" s="449"/>
      <c r="B20" s="452">
        <f>B19+1</f>
        <v>5</v>
      </c>
      <c r="C20" s="453" t="s">
        <v>249</v>
      </c>
      <c r="D20" s="454">
        <f t="shared" si="8"/>
        <v>241453.05</v>
      </c>
      <c r="E20" s="455">
        <f>IF(OR(ROWS(B$12:B20)&lt;E$6,ROWS(B$12:B20)&gt;E$5),0,E$4/(E$5-E$6))</f>
        <v>0</v>
      </c>
      <c r="F20" s="454">
        <f>D20-E20</f>
        <v>241453.05</v>
      </c>
      <c r="G20" s="454">
        <f t="shared" si="0"/>
        <v>5685.6764674134492</v>
      </c>
      <c r="H20" s="454">
        <f>G20*Pressupostos!$C$30</f>
        <v>28.428382337067248</v>
      </c>
      <c r="I20" s="456">
        <f t="shared" si="1"/>
        <v>5714.1048497505162</v>
      </c>
      <c r="J20" s="442"/>
      <c r="K20" s="452">
        <f>K19+1</f>
        <v>5</v>
      </c>
      <c r="L20" s="453" t="s">
        <v>249</v>
      </c>
      <c r="M20" s="454">
        <f t="shared" si="6"/>
        <v>0</v>
      </c>
      <c r="N20" s="455">
        <f>IF(OR(ROWS(K$12:K20)&lt;N$6,ROWS(K$12:K20)&gt;N$5),0,N$4/(N$5-N$6))</f>
        <v>0</v>
      </c>
      <c r="O20" s="454">
        <f>M20-N20</f>
        <v>0</v>
      </c>
      <c r="P20" s="454">
        <f t="shared" si="2"/>
        <v>0</v>
      </c>
      <c r="Q20" s="454">
        <f>P20*Pressupostos!$C$30</f>
        <v>0</v>
      </c>
      <c r="R20" s="456">
        <f t="shared" si="3"/>
        <v>0</v>
      </c>
      <c r="S20" s="445"/>
      <c r="T20" s="452">
        <f>T19+1</f>
        <v>5</v>
      </c>
      <c r="U20" s="453" t="s">
        <v>249</v>
      </c>
      <c r="V20" s="454">
        <f t="shared" si="7"/>
        <v>0</v>
      </c>
      <c r="W20" s="455">
        <f>IF(OR(ROWS(T$12:T20)&lt;W$6,ROWS(T$12:T20)&gt;W$5),0,W$4/(W$5-W$6))</f>
        <v>0</v>
      </c>
      <c r="X20" s="454">
        <f>V20-W20</f>
        <v>0</v>
      </c>
      <c r="Y20" s="454">
        <f t="shared" si="4"/>
        <v>0</v>
      </c>
      <c r="Z20" s="454">
        <f>Y20*Pressupostos!$C$30</f>
        <v>0</v>
      </c>
      <c r="AA20" s="456">
        <f t="shared" si="5"/>
        <v>0</v>
      </c>
      <c r="AB20" s="441"/>
      <c r="AC20" s="556">
        <f>AC19+1</f>
        <v>2</v>
      </c>
      <c r="AD20" s="557" t="s">
        <v>249</v>
      </c>
      <c r="AE20" s="558">
        <f t="shared" ref="AE20:AE49" si="12">AG19</f>
        <v>0</v>
      </c>
      <c r="AF20" s="559">
        <f t="shared" si="9"/>
        <v>0</v>
      </c>
      <c r="AG20" s="558">
        <f t="shared" ref="AG20:AG49" si="13">AE20-AF20</f>
        <v>0</v>
      </c>
      <c r="AH20" s="558">
        <f t="shared" si="10"/>
        <v>0</v>
      </c>
      <c r="AI20" s="558">
        <f>AH20*Pressupostos!$C$30</f>
        <v>0</v>
      </c>
      <c r="AJ20" s="560">
        <f t="shared" si="11"/>
        <v>0</v>
      </c>
    </row>
    <row r="21" spans="1:36" s="444" customFormat="1" ht="12.75" customHeight="1" x14ac:dyDescent="0.2">
      <c r="A21" s="449"/>
      <c r="B21" s="457">
        <f>B20</f>
        <v>5</v>
      </c>
      <c r="C21" s="458" t="s">
        <v>250</v>
      </c>
      <c r="D21" s="459">
        <f t="shared" si="8"/>
        <v>241453.05</v>
      </c>
      <c r="E21" s="460">
        <f>IF(OR(ROWS(B$12:B21)&lt;E$6,ROWS(B$12:B21)&gt;E$5),0,E$4/(E$5-E$6))</f>
        <v>0</v>
      </c>
      <c r="F21" s="459">
        <f>D20-E20-E21</f>
        <v>241453.05</v>
      </c>
      <c r="G21" s="459">
        <f t="shared" si="0"/>
        <v>5685.6764674134492</v>
      </c>
      <c r="H21" s="459">
        <f>G21*Pressupostos!$C$30</f>
        <v>28.428382337067248</v>
      </c>
      <c r="I21" s="461">
        <f t="shared" si="1"/>
        <v>5714.1048497505162</v>
      </c>
      <c r="J21" s="442"/>
      <c r="K21" s="457">
        <f>K20</f>
        <v>5</v>
      </c>
      <c r="L21" s="458" t="s">
        <v>250</v>
      </c>
      <c r="M21" s="459">
        <f t="shared" si="6"/>
        <v>0</v>
      </c>
      <c r="N21" s="460">
        <f>IF(OR(ROWS(K$12:K21)&lt;N$6,ROWS(K$12:K21)&gt;N$5),0,N$4/(N$5-N$6))</f>
        <v>0</v>
      </c>
      <c r="O21" s="459">
        <f>M20-N20-N21</f>
        <v>0</v>
      </c>
      <c r="P21" s="459">
        <f t="shared" si="2"/>
        <v>0</v>
      </c>
      <c r="Q21" s="459">
        <f>P21*Pressupostos!$C$30</f>
        <v>0</v>
      </c>
      <c r="R21" s="461">
        <f t="shared" si="3"/>
        <v>0</v>
      </c>
      <c r="S21" s="445"/>
      <c r="T21" s="457">
        <f>T20</f>
        <v>5</v>
      </c>
      <c r="U21" s="458" t="s">
        <v>250</v>
      </c>
      <c r="V21" s="459">
        <f t="shared" si="7"/>
        <v>0</v>
      </c>
      <c r="W21" s="460">
        <f>IF(OR(ROWS(T$12:T21)&lt;W$6,ROWS(T$12:T21)&gt;W$5),0,W$4/(W$5-W$6))</f>
        <v>0</v>
      </c>
      <c r="X21" s="459">
        <f>V20-W20-W21</f>
        <v>0</v>
      </c>
      <c r="Y21" s="459">
        <f t="shared" si="4"/>
        <v>0</v>
      </c>
      <c r="Z21" s="459">
        <f>Y21*Pressupostos!$C$30</f>
        <v>0</v>
      </c>
      <c r="AA21" s="461">
        <f t="shared" si="5"/>
        <v>0</v>
      </c>
      <c r="AB21" s="441"/>
      <c r="AC21" s="551">
        <f>AC20</f>
        <v>2</v>
      </c>
      <c r="AD21" s="552" t="s">
        <v>250</v>
      </c>
      <c r="AE21" s="553">
        <f t="shared" si="12"/>
        <v>0</v>
      </c>
      <c r="AF21" s="554">
        <f t="shared" si="9"/>
        <v>0</v>
      </c>
      <c r="AG21" s="553">
        <f t="shared" si="13"/>
        <v>0</v>
      </c>
      <c r="AH21" s="553">
        <f t="shared" si="10"/>
        <v>0</v>
      </c>
      <c r="AI21" s="553">
        <f>AH21*Pressupostos!$C$30</f>
        <v>0</v>
      </c>
      <c r="AJ21" s="555">
        <f t="shared" si="11"/>
        <v>0</v>
      </c>
    </row>
    <row r="22" spans="1:36" s="444" customFormat="1" ht="12.75" customHeight="1" x14ac:dyDescent="0.2">
      <c r="A22" s="449"/>
      <c r="B22" s="452">
        <f>B21+1</f>
        <v>6</v>
      </c>
      <c r="C22" s="453" t="s">
        <v>249</v>
      </c>
      <c r="D22" s="454">
        <f t="shared" si="8"/>
        <v>241453.05</v>
      </c>
      <c r="E22" s="455">
        <f>IF(OR(ROWS(B$12:B22)&lt;E$6,ROWS(B$12:B22)&gt;E$5),0,E$4/(E$5-E$6))</f>
        <v>0</v>
      </c>
      <c r="F22" s="454">
        <f>D22-E22</f>
        <v>241453.05</v>
      </c>
      <c r="G22" s="454">
        <f t="shared" si="0"/>
        <v>5685.6764674134492</v>
      </c>
      <c r="H22" s="454">
        <f>G22*Pressupostos!$C$30</f>
        <v>28.428382337067248</v>
      </c>
      <c r="I22" s="456">
        <f t="shared" si="1"/>
        <v>5714.1048497505162</v>
      </c>
      <c r="J22" s="442"/>
      <c r="K22" s="452">
        <f>K21+1</f>
        <v>6</v>
      </c>
      <c r="L22" s="453" t="s">
        <v>249</v>
      </c>
      <c r="M22" s="454">
        <f t="shared" si="6"/>
        <v>0</v>
      </c>
      <c r="N22" s="455">
        <f>IF(OR(ROWS(K$12:K22)&lt;N$6,ROWS(K$12:K22)&gt;N$5),0,N$4/(N$5-N$6))</f>
        <v>0</v>
      </c>
      <c r="O22" s="454">
        <f>M22-N22</f>
        <v>0</v>
      </c>
      <c r="P22" s="454">
        <f t="shared" si="2"/>
        <v>0</v>
      </c>
      <c r="Q22" s="454">
        <f>P22*Pressupostos!$C$30</f>
        <v>0</v>
      </c>
      <c r="R22" s="456">
        <f t="shared" si="3"/>
        <v>0</v>
      </c>
      <c r="S22" s="445"/>
      <c r="T22" s="452">
        <f>T21+1</f>
        <v>6</v>
      </c>
      <c r="U22" s="453" t="s">
        <v>249</v>
      </c>
      <c r="V22" s="454">
        <f t="shared" si="7"/>
        <v>0</v>
      </c>
      <c r="W22" s="455">
        <f>IF(OR(ROWS(T$12:T22)&lt;W$6,ROWS(T$12:T22)&gt;W$5),0,W$4/(W$5-W$6))</f>
        <v>0</v>
      </c>
      <c r="X22" s="454">
        <f>V22-W22</f>
        <v>0</v>
      </c>
      <c r="Y22" s="454">
        <f t="shared" si="4"/>
        <v>0</v>
      </c>
      <c r="Z22" s="454">
        <f>Y22*Pressupostos!$C$30</f>
        <v>0</v>
      </c>
      <c r="AA22" s="456">
        <f t="shared" si="5"/>
        <v>0</v>
      </c>
      <c r="AB22" s="441"/>
      <c r="AC22" s="556">
        <f>AC21+1</f>
        <v>3</v>
      </c>
      <c r="AD22" s="557" t="s">
        <v>249</v>
      </c>
      <c r="AE22" s="558">
        <f t="shared" si="12"/>
        <v>0</v>
      </c>
      <c r="AF22" s="559">
        <f t="shared" si="9"/>
        <v>0</v>
      </c>
      <c r="AG22" s="558">
        <f t="shared" si="13"/>
        <v>0</v>
      </c>
      <c r="AH22" s="558">
        <f t="shared" si="10"/>
        <v>0</v>
      </c>
      <c r="AI22" s="558">
        <f>AH22*Pressupostos!$C$30</f>
        <v>0</v>
      </c>
      <c r="AJ22" s="560">
        <f t="shared" si="11"/>
        <v>0</v>
      </c>
    </row>
    <row r="23" spans="1:36" s="444" customFormat="1" ht="12.75" customHeight="1" x14ac:dyDescent="0.2">
      <c r="A23" s="441"/>
      <c r="B23" s="457">
        <f>B22</f>
        <v>6</v>
      </c>
      <c r="C23" s="458" t="s">
        <v>250</v>
      </c>
      <c r="D23" s="459">
        <f t="shared" si="8"/>
        <v>241453.05</v>
      </c>
      <c r="E23" s="460">
        <f>IF(OR(ROWS(B$12:B23)&lt;E$6,ROWS(B$12:B23)&gt;E$5),0,E$4/(E$5-E$6))</f>
        <v>0</v>
      </c>
      <c r="F23" s="459">
        <f>D22-E22-E23</f>
        <v>241453.05</v>
      </c>
      <c r="G23" s="459">
        <f t="shared" si="0"/>
        <v>5685.6764674134492</v>
      </c>
      <c r="H23" s="459">
        <f>G23*Pressupostos!$C$30</f>
        <v>28.428382337067248</v>
      </c>
      <c r="I23" s="461">
        <f t="shared" si="1"/>
        <v>5714.1048497505162</v>
      </c>
      <c r="J23" s="442"/>
      <c r="K23" s="457">
        <f>K22</f>
        <v>6</v>
      </c>
      <c r="L23" s="458" t="s">
        <v>250</v>
      </c>
      <c r="M23" s="459">
        <f t="shared" si="6"/>
        <v>0</v>
      </c>
      <c r="N23" s="460">
        <f>IF(OR(ROWS(K$12:K23)&lt;N$6,ROWS(K$12:K23)&gt;N$5),0,N$4/(N$5-N$6))</f>
        <v>0</v>
      </c>
      <c r="O23" s="459">
        <f>M22-N22-N23</f>
        <v>0</v>
      </c>
      <c r="P23" s="459">
        <f t="shared" si="2"/>
        <v>0</v>
      </c>
      <c r="Q23" s="459">
        <f>P23*Pressupostos!$C$30</f>
        <v>0</v>
      </c>
      <c r="R23" s="461">
        <f t="shared" si="3"/>
        <v>0</v>
      </c>
      <c r="S23" s="445"/>
      <c r="T23" s="457">
        <f>T22</f>
        <v>6</v>
      </c>
      <c r="U23" s="458" t="s">
        <v>250</v>
      </c>
      <c r="V23" s="459">
        <f t="shared" si="7"/>
        <v>0</v>
      </c>
      <c r="W23" s="460">
        <f>IF(OR(ROWS(T$12:T23)&lt;W$6,ROWS(T$12:T23)&gt;W$5),0,W$4/(W$5-W$6))</f>
        <v>0</v>
      </c>
      <c r="X23" s="459">
        <f>V22-W22-W23</f>
        <v>0</v>
      </c>
      <c r="Y23" s="459">
        <f t="shared" si="4"/>
        <v>0</v>
      </c>
      <c r="Z23" s="459">
        <f>Y23*Pressupostos!$C$30</f>
        <v>0</v>
      </c>
      <c r="AA23" s="461">
        <f t="shared" si="5"/>
        <v>0</v>
      </c>
      <c r="AB23" s="441"/>
      <c r="AC23" s="551">
        <f>AC22</f>
        <v>3</v>
      </c>
      <c r="AD23" s="552" t="s">
        <v>250</v>
      </c>
      <c r="AE23" s="553">
        <f t="shared" si="12"/>
        <v>0</v>
      </c>
      <c r="AF23" s="554">
        <f t="shared" si="9"/>
        <v>0</v>
      </c>
      <c r="AG23" s="553">
        <f t="shared" si="13"/>
        <v>0</v>
      </c>
      <c r="AH23" s="553">
        <f t="shared" si="10"/>
        <v>0</v>
      </c>
      <c r="AI23" s="553">
        <f>AH23*Pressupostos!$C$30</f>
        <v>0</v>
      </c>
      <c r="AJ23" s="555">
        <f t="shared" si="11"/>
        <v>0</v>
      </c>
    </row>
    <row r="24" spans="1:36" s="444" customFormat="1" ht="12.75" customHeight="1" x14ac:dyDescent="0.2">
      <c r="A24" s="441"/>
      <c r="B24" s="452">
        <f>B23+1</f>
        <v>7</v>
      </c>
      <c r="C24" s="453" t="s">
        <v>249</v>
      </c>
      <c r="D24" s="454">
        <f t="shared" si="8"/>
        <v>241453.05</v>
      </c>
      <c r="E24" s="455">
        <f>IF(OR(ROWS(B$12:B24)&lt;E$6,ROWS(B$12:B24)&gt;E$5),0,E$4/(E$5-E$6))</f>
        <v>0</v>
      </c>
      <c r="F24" s="454">
        <f>D24-E24</f>
        <v>241453.05</v>
      </c>
      <c r="G24" s="454">
        <f t="shared" si="0"/>
        <v>5685.6764674134492</v>
      </c>
      <c r="H24" s="454">
        <f>G24*Pressupostos!$C$30</f>
        <v>28.428382337067248</v>
      </c>
      <c r="I24" s="456">
        <f t="shared" si="1"/>
        <v>5714.1048497505162</v>
      </c>
      <c r="J24" s="442"/>
      <c r="K24" s="452">
        <f>K23+1</f>
        <v>7</v>
      </c>
      <c r="L24" s="453" t="s">
        <v>249</v>
      </c>
      <c r="M24" s="454">
        <f t="shared" si="6"/>
        <v>0</v>
      </c>
      <c r="N24" s="455">
        <f>IF(OR(ROWS(K$12:K24)&lt;N$6,ROWS(K$12:K24)&gt;N$5),0,N$4/(N$5-N$6))</f>
        <v>0</v>
      </c>
      <c r="O24" s="454">
        <f>M24-N24</f>
        <v>0</v>
      </c>
      <c r="P24" s="454">
        <f t="shared" si="2"/>
        <v>0</v>
      </c>
      <c r="Q24" s="454">
        <f>P24*Pressupostos!$C$30</f>
        <v>0</v>
      </c>
      <c r="R24" s="456">
        <f t="shared" si="3"/>
        <v>0</v>
      </c>
      <c r="S24" s="445"/>
      <c r="T24" s="452">
        <f>T23+1</f>
        <v>7</v>
      </c>
      <c r="U24" s="453" t="s">
        <v>249</v>
      </c>
      <c r="V24" s="454">
        <f t="shared" si="7"/>
        <v>0</v>
      </c>
      <c r="W24" s="455">
        <f>IF(OR(ROWS(T$12:T24)&lt;W$6,ROWS(T$12:T24)&gt;W$5),0,W$4/(W$5-W$6))</f>
        <v>0</v>
      </c>
      <c r="X24" s="454">
        <f>V24-W24</f>
        <v>0</v>
      </c>
      <c r="Y24" s="454">
        <f t="shared" si="4"/>
        <v>0</v>
      </c>
      <c r="Z24" s="454">
        <f>Y24*Pressupostos!$C$30</f>
        <v>0</v>
      </c>
      <c r="AA24" s="456">
        <f t="shared" si="5"/>
        <v>0</v>
      </c>
      <c r="AB24" s="441"/>
      <c r="AC24" s="556">
        <f>AC23+1</f>
        <v>4</v>
      </c>
      <c r="AD24" s="557" t="s">
        <v>249</v>
      </c>
      <c r="AE24" s="558">
        <f t="shared" si="12"/>
        <v>0</v>
      </c>
      <c r="AF24" s="559">
        <f t="shared" si="9"/>
        <v>0</v>
      </c>
      <c r="AG24" s="558">
        <f t="shared" si="13"/>
        <v>0</v>
      </c>
      <c r="AH24" s="558">
        <f t="shared" si="10"/>
        <v>0</v>
      </c>
      <c r="AI24" s="558">
        <f>AH24*Pressupostos!$C$30</f>
        <v>0</v>
      </c>
      <c r="AJ24" s="560">
        <f t="shared" si="11"/>
        <v>0</v>
      </c>
    </row>
    <row r="25" spans="1:36" s="444" customFormat="1" ht="12.75" customHeight="1" x14ac:dyDescent="0.2">
      <c r="A25" s="441"/>
      <c r="B25" s="457">
        <f>B24</f>
        <v>7</v>
      </c>
      <c r="C25" s="458" t="s">
        <v>250</v>
      </c>
      <c r="D25" s="459">
        <f t="shared" si="8"/>
        <v>241453.05</v>
      </c>
      <c r="E25" s="460">
        <f>IF(OR(ROWS(B$12:B25)&lt;E$6,ROWS(B$12:B25)&gt;E$5),0,E$4/(E$5-E$6))</f>
        <v>0</v>
      </c>
      <c r="F25" s="459">
        <f>D24-E24-E25</f>
        <v>241453.05</v>
      </c>
      <c r="G25" s="459">
        <f t="shared" si="0"/>
        <v>5685.6764674134492</v>
      </c>
      <c r="H25" s="459">
        <f>G25*Pressupostos!$C$30</f>
        <v>28.428382337067248</v>
      </c>
      <c r="I25" s="461">
        <f t="shared" si="1"/>
        <v>5714.1048497505162</v>
      </c>
      <c r="J25" s="442"/>
      <c r="K25" s="457">
        <f>K24</f>
        <v>7</v>
      </c>
      <c r="L25" s="458" t="s">
        <v>250</v>
      </c>
      <c r="M25" s="459">
        <f t="shared" si="6"/>
        <v>0</v>
      </c>
      <c r="N25" s="460">
        <f>IF(OR(ROWS(K$12:K25)&lt;N$6,ROWS(K$12:K25)&gt;N$5),0,N$4/(N$5-N$6))</f>
        <v>0</v>
      </c>
      <c r="O25" s="459">
        <f>M24-N24-N25</f>
        <v>0</v>
      </c>
      <c r="P25" s="459">
        <f t="shared" si="2"/>
        <v>0</v>
      </c>
      <c r="Q25" s="459">
        <f>P25*Pressupostos!$C$30</f>
        <v>0</v>
      </c>
      <c r="R25" s="461">
        <f t="shared" si="3"/>
        <v>0</v>
      </c>
      <c r="S25" s="445"/>
      <c r="T25" s="457">
        <f>T24</f>
        <v>7</v>
      </c>
      <c r="U25" s="458" t="s">
        <v>250</v>
      </c>
      <c r="V25" s="459">
        <f t="shared" si="7"/>
        <v>0</v>
      </c>
      <c r="W25" s="460">
        <f>IF(OR(ROWS(T$12:T25)&lt;W$6,ROWS(T$12:T25)&gt;W$5),0,W$4/(W$5-W$6))</f>
        <v>0</v>
      </c>
      <c r="X25" s="459">
        <f>V24-W24-W25</f>
        <v>0</v>
      </c>
      <c r="Y25" s="459">
        <f t="shared" si="4"/>
        <v>0</v>
      </c>
      <c r="Z25" s="459">
        <f>Y25*Pressupostos!$C$30</f>
        <v>0</v>
      </c>
      <c r="AA25" s="461">
        <f t="shared" si="5"/>
        <v>0</v>
      </c>
      <c r="AB25" s="441"/>
      <c r="AC25" s="551">
        <f>AC24</f>
        <v>4</v>
      </c>
      <c r="AD25" s="552" t="s">
        <v>250</v>
      </c>
      <c r="AE25" s="553">
        <f t="shared" si="12"/>
        <v>0</v>
      </c>
      <c r="AF25" s="554">
        <f t="shared" si="9"/>
        <v>0</v>
      </c>
      <c r="AG25" s="553">
        <f t="shared" si="13"/>
        <v>0</v>
      </c>
      <c r="AH25" s="553">
        <f t="shared" si="10"/>
        <v>0</v>
      </c>
      <c r="AI25" s="553">
        <f>AH25*Pressupostos!$C$30</f>
        <v>0</v>
      </c>
      <c r="AJ25" s="555">
        <f t="shared" si="11"/>
        <v>0</v>
      </c>
    </row>
    <row r="26" spans="1:36" s="444" customFormat="1" ht="12.75" customHeight="1" x14ac:dyDescent="0.2">
      <c r="A26" s="441"/>
      <c r="B26" s="467">
        <f>B25+1</f>
        <v>8</v>
      </c>
      <c r="C26" s="468" t="s">
        <v>249</v>
      </c>
      <c r="D26" s="469">
        <f t="shared" si="8"/>
        <v>241453.05</v>
      </c>
      <c r="E26" s="470">
        <f>IF(OR(ROWS(B$12:B26)&lt;E$6,ROWS(B$12:B26)&gt;E$5),0,E$4/(E$5-E$6))</f>
        <v>0</v>
      </c>
      <c r="F26" s="469">
        <f>D26-E26</f>
        <v>241453.05</v>
      </c>
      <c r="G26" s="469">
        <f t="shared" si="0"/>
        <v>5685.6764674134492</v>
      </c>
      <c r="H26" s="469">
        <f>G26*Pressupostos!$C$30</f>
        <v>28.428382337067248</v>
      </c>
      <c r="I26" s="471">
        <f t="shared" si="1"/>
        <v>5714.1048497505162</v>
      </c>
      <c r="J26" s="442"/>
      <c r="K26" s="467">
        <f>K25+1</f>
        <v>8</v>
      </c>
      <c r="L26" s="468" t="s">
        <v>249</v>
      </c>
      <c r="M26" s="469">
        <f t="shared" si="6"/>
        <v>0</v>
      </c>
      <c r="N26" s="470">
        <f>IF(OR(ROWS(K$12:K26)&lt;N$6,ROWS(K$12:K26)&gt;N$5),0,N$4/(N$5-N$6))</f>
        <v>0</v>
      </c>
      <c r="O26" s="469">
        <f>M26-N26</f>
        <v>0</v>
      </c>
      <c r="P26" s="469">
        <f t="shared" si="2"/>
        <v>0</v>
      </c>
      <c r="Q26" s="469">
        <f>P26*Pressupostos!$C$30</f>
        <v>0</v>
      </c>
      <c r="R26" s="471">
        <f t="shared" si="3"/>
        <v>0</v>
      </c>
      <c r="S26" s="445"/>
      <c r="T26" s="467">
        <f>T25+1</f>
        <v>8</v>
      </c>
      <c r="U26" s="468" t="s">
        <v>249</v>
      </c>
      <c r="V26" s="469">
        <f t="shared" si="7"/>
        <v>0</v>
      </c>
      <c r="W26" s="470">
        <f>IF(OR(ROWS(T$12:T26)&lt;W$6,ROWS(T$12:T26)&gt;W$5),0,W$4/(W$5-W$6))</f>
        <v>0</v>
      </c>
      <c r="X26" s="469">
        <f>V26-W26</f>
        <v>0</v>
      </c>
      <c r="Y26" s="469">
        <f t="shared" si="4"/>
        <v>0</v>
      </c>
      <c r="Z26" s="469">
        <f>Y26*Pressupostos!$C$30</f>
        <v>0</v>
      </c>
      <c r="AA26" s="471">
        <f t="shared" si="5"/>
        <v>0</v>
      </c>
      <c r="AB26" s="441"/>
      <c r="AC26" s="556">
        <f>AC25+1</f>
        <v>5</v>
      </c>
      <c r="AD26" s="557" t="s">
        <v>249</v>
      </c>
      <c r="AE26" s="558">
        <f t="shared" si="12"/>
        <v>0</v>
      </c>
      <c r="AF26" s="559">
        <f t="shared" si="9"/>
        <v>0</v>
      </c>
      <c r="AG26" s="558">
        <f t="shared" si="13"/>
        <v>0</v>
      </c>
      <c r="AH26" s="558">
        <f t="shared" si="10"/>
        <v>0</v>
      </c>
      <c r="AI26" s="558">
        <f>AH26*Pressupostos!$C$30</f>
        <v>0</v>
      </c>
      <c r="AJ26" s="560">
        <f t="shared" si="11"/>
        <v>0</v>
      </c>
    </row>
    <row r="27" spans="1:36" s="444" customFormat="1" ht="12.75" customHeight="1" thickBot="1" x14ac:dyDescent="0.25">
      <c r="A27" s="441"/>
      <c r="B27" s="472">
        <f>B26</f>
        <v>8</v>
      </c>
      <c r="C27" s="473" t="s">
        <v>250</v>
      </c>
      <c r="D27" s="474">
        <f t="shared" si="8"/>
        <v>241453.05</v>
      </c>
      <c r="E27" s="475">
        <f>IF(OR(ROWS(B$12:B27)&lt;E$6,ROWS(B$12:B27)&gt;E$5),0,E$4/(E$5-E$6))</f>
        <v>0</v>
      </c>
      <c r="F27" s="474">
        <f>D26-E26-E27</f>
        <v>241453.05</v>
      </c>
      <c r="G27" s="474">
        <f t="shared" si="0"/>
        <v>5685.6764674134492</v>
      </c>
      <c r="H27" s="474">
        <f>G27*Pressupostos!$C$30</f>
        <v>28.428382337067248</v>
      </c>
      <c r="I27" s="476">
        <f t="shared" si="1"/>
        <v>5714.1048497505162</v>
      </c>
      <c r="J27" s="442"/>
      <c r="K27" s="472">
        <f>K26</f>
        <v>8</v>
      </c>
      <c r="L27" s="473" t="s">
        <v>250</v>
      </c>
      <c r="M27" s="474">
        <f t="shared" si="6"/>
        <v>0</v>
      </c>
      <c r="N27" s="475">
        <f>IF(OR(ROWS(K$12:K27)&lt;N$6,ROWS(K$12:K27)&gt;N$5),0,N$4/(N$5-N$6))</f>
        <v>0</v>
      </c>
      <c r="O27" s="474">
        <f>M26-N26-N27</f>
        <v>0</v>
      </c>
      <c r="P27" s="474">
        <f t="shared" si="2"/>
        <v>0</v>
      </c>
      <c r="Q27" s="474">
        <f>P27*Pressupostos!$C$30</f>
        <v>0</v>
      </c>
      <c r="R27" s="476">
        <f t="shared" si="3"/>
        <v>0</v>
      </c>
      <c r="S27" s="445"/>
      <c r="T27" s="472">
        <f>T26</f>
        <v>8</v>
      </c>
      <c r="U27" s="473" t="s">
        <v>250</v>
      </c>
      <c r="V27" s="474">
        <f t="shared" si="7"/>
        <v>0</v>
      </c>
      <c r="W27" s="475">
        <f>IF(OR(ROWS(T$12:T27)&lt;W$6,ROWS(T$12:T27)&gt;W$5),0,W$4/(W$5-W$6))</f>
        <v>0</v>
      </c>
      <c r="X27" s="474">
        <f>V26-W26-W27</f>
        <v>0</v>
      </c>
      <c r="Y27" s="474">
        <f t="shared" si="4"/>
        <v>0</v>
      </c>
      <c r="Z27" s="474">
        <f>Y27*Pressupostos!$C$30</f>
        <v>0</v>
      </c>
      <c r="AA27" s="476">
        <f t="shared" si="5"/>
        <v>0</v>
      </c>
      <c r="AB27" s="441"/>
      <c r="AC27" s="551">
        <f>AC26</f>
        <v>5</v>
      </c>
      <c r="AD27" s="552" t="s">
        <v>250</v>
      </c>
      <c r="AE27" s="553">
        <f t="shared" si="12"/>
        <v>0</v>
      </c>
      <c r="AF27" s="554">
        <f t="shared" si="9"/>
        <v>0</v>
      </c>
      <c r="AG27" s="553">
        <f t="shared" si="13"/>
        <v>0</v>
      </c>
      <c r="AH27" s="553">
        <f t="shared" si="10"/>
        <v>0</v>
      </c>
      <c r="AI27" s="553">
        <f>AH27*Pressupostos!$C$30</f>
        <v>0</v>
      </c>
      <c r="AJ27" s="555">
        <f t="shared" si="11"/>
        <v>0</v>
      </c>
    </row>
    <row r="28" spans="1:36" x14ac:dyDescent="0.2">
      <c r="AC28" s="556">
        <f>AC27+1</f>
        <v>6</v>
      </c>
      <c r="AD28" s="557" t="s">
        <v>249</v>
      </c>
      <c r="AE28" s="558">
        <f t="shared" si="12"/>
        <v>0</v>
      </c>
      <c r="AF28" s="559">
        <f t="shared" si="9"/>
        <v>0</v>
      </c>
      <c r="AG28" s="558">
        <f t="shared" si="13"/>
        <v>0</v>
      </c>
      <c r="AH28" s="558">
        <f t="shared" si="10"/>
        <v>0</v>
      </c>
      <c r="AI28" s="558">
        <f>AH28*Pressupostos!$C$30</f>
        <v>0</v>
      </c>
      <c r="AJ28" s="560">
        <f t="shared" si="11"/>
        <v>0</v>
      </c>
    </row>
    <row r="29" spans="1:36" x14ac:dyDescent="0.2">
      <c r="AC29" s="551">
        <f>AC28</f>
        <v>6</v>
      </c>
      <c r="AD29" s="552" t="s">
        <v>250</v>
      </c>
      <c r="AE29" s="553">
        <f t="shared" si="12"/>
        <v>0</v>
      </c>
      <c r="AF29" s="554">
        <f t="shared" si="9"/>
        <v>0</v>
      </c>
      <c r="AG29" s="553">
        <f t="shared" si="13"/>
        <v>0</v>
      </c>
      <c r="AH29" s="553">
        <f t="shared" si="10"/>
        <v>0</v>
      </c>
      <c r="AI29" s="553">
        <f>AH29*Pressupostos!$C$30</f>
        <v>0</v>
      </c>
      <c r="AJ29" s="555">
        <f t="shared" si="11"/>
        <v>0</v>
      </c>
    </row>
    <row r="30" spans="1:36" x14ac:dyDescent="0.2">
      <c r="D30" s="487" t="s">
        <v>252</v>
      </c>
      <c r="E30" s="487" t="s">
        <v>253</v>
      </c>
      <c r="F30" s="487" t="s">
        <v>254</v>
      </c>
      <c r="G30" s="487" t="s">
        <v>255</v>
      </c>
      <c r="H30" s="487" t="s">
        <v>256</v>
      </c>
      <c r="M30" s="487" t="s">
        <v>252</v>
      </c>
      <c r="N30" s="487" t="s">
        <v>253</v>
      </c>
      <c r="O30" s="487" t="s">
        <v>254</v>
      </c>
      <c r="P30" s="487" t="s">
        <v>255</v>
      </c>
      <c r="Q30" s="487" t="s">
        <v>256</v>
      </c>
      <c r="V30" s="487" t="s">
        <v>252</v>
      </c>
      <c r="W30" s="487" t="s">
        <v>253</v>
      </c>
      <c r="X30" s="487" t="s">
        <v>254</v>
      </c>
      <c r="Y30" s="487" t="s">
        <v>255</v>
      </c>
      <c r="Z30" s="487" t="s">
        <v>256</v>
      </c>
      <c r="AC30" s="556">
        <f>AC29+1</f>
        <v>7</v>
      </c>
      <c r="AD30" s="557" t="s">
        <v>249</v>
      </c>
      <c r="AE30" s="558">
        <f t="shared" si="12"/>
        <v>0</v>
      </c>
      <c r="AF30" s="559">
        <f t="shared" si="9"/>
        <v>0</v>
      </c>
      <c r="AG30" s="558">
        <f t="shared" si="13"/>
        <v>0</v>
      </c>
      <c r="AH30" s="558">
        <f t="shared" si="10"/>
        <v>0</v>
      </c>
      <c r="AI30" s="558">
        <f>AH30*Pressupostos!$C$30</f>
        <v>0</v>
      </c>
      <c r="AJ30" s="560">
        <f t="shared" si="11"/>
        <v>0</v>
      </c>
    </row>
    <row r="31" spans="1:36" x14ac:dyDescent="0.2">
      <c r="C31" s="484">
        <v>1</v>
      </c>
      <c r="D31" s="485">
        <f>Pressupostos!C11</f>
        <v>2020</v>
      </c>
      <c r="E31" s="486">
        <f>SUMIF(B$12:B$27,C31,E$12:E$27)</f>
        <v>0</v>
      </c>
      <c r="F31" s="486">
        <f>INDEX(F$12:F$27,C31*2)</f>
        <v>241453.05</v>
      </c>
      <c r="G31" s="486">
        <f>SUMIF(B$12:B$27,C31,G$12:G$27)</f>
        <v>11371.352934826898</v>
      </c>
      <c r="H31" s="486">
        <f>SUMIF(B$12:B$27,C31,H$12:H$27)</f>
        <v>56.856764674134496</v>
      </c>
      <c r="L31" s="484">
        <v>1</v>
      </c>
      <c r="M31" s="485">
        <f>Pressupostos!C11</f>
        <v>2020</v>
      </c>
      <c r="N31" s="486">
        <f>SUMIF(K$12:K$27,L31,N$12:N$27)</f>
        <v>0</v>
      </c>
      <c r="O31" s="486">
        <f>INDEX(O$12:O$27,L31*2)</f>
        <v>0</v>
      </c>
      <c r="P31" s="486">
        <f>SUMIF(K$12:K$27,L31,P$12:P$27)</f>
        <v>0</v>
      </c>
      <c r="Q31" s="486">
        <f>SUMIF(K$12:K$27,L31,Q$12:Q$27)</f>
        <v>0</v>
      </c>
      <c r="U31" s="484">
        <v>1</v>
      </c>
      <c r="V31" s="485">
        <f>Pressupostos!C11</f>
        <v>2020</v>
      </c>
      <c r="W31" s="486">
        <f>SUMIF(T$12:T$27,U31,W$12:W$27)</f>
        <v>0</v>
      </c>
      <c r="X31" s="486">
        <f>INDEX(X$12:X$27,U31*2)</f>
        <v>0</v>
      </c>
      <c r="Y31" s="486">
        <f>SUMIF(T$12:T$27,U31,Y$12:Y$27)</f>
        <v>0</v>
      </c>
      <c r="Z31" s="486">
        <f>SUMIF(T$12:T$27,U31,Z$12:Z$27)</f>
        <v>0</v>
      </c>
      <c r="AC31" s="551">
        <f>AC30</f>
        <v>7</v>
      </c>
      <c r="AD31" s="552" t="s">
        <v>250</v>
      </c>
      <c r="AE31" s="553">
        <f t="shared" si="12"/>
        <v>0</v>
      </c>
      <c r="AF31" s="554">
        <f t="shared" si="9"/>
        <v>0</v>
      </c>
      <c r="AG31" s="553">
        <f t="shared" si="13"/>
        <v>0</v>
      </c>
      <c r="AH31" s="553">
        <f t="shared" si="10"/>
        <v>0</v>
      </c>
      <c r="AI31" s="553">
        <f>AH31*Pressupostos!$C$30</f>
        <v>0</v>
      </c>
      <c r="AJ31" s="555">
        <f t="shared" si="11"/>
        <v>0</v>
      </c>
    </row>
    <row r="32" spans="1:36" x14ac:dyDescent="0.2">
      <c r="C32" s="484">
        <f>C31+1</f>
        <v>2</v>
      </c>
      <c r="D32" s="485">
        <f>D31+1</f>
        <v>2021</v>
      </c>
      <c r="E32" s="486">
        <f t="shared" ref="E32:E38" si="14">SUMIF(B$12:B$27,C32,E$12:E$27)</f>
        <v>0</v>
      </c>
      <c r="F32" s="486">
        <f t="shared" ref="F32:F38" si="15">INDEX(F$12:F$27,C32*2)</f>
        <v>241453.05</v>
      </c>
      <c r="G32" s="486">
        <f t="shared" ref="G32:G38" si="16">SUMIF(B$12:B$27,C32,G$12:G$27)</f>
        <v>11371.352934826898</v>
      </c>
      <c r="H32" s="486">
        <f t="shared" ref="H32:H38" si="17">SUMIF(B$12:B$27,C32,H$12:H$27)</f>
        <v>56.856764674134496</v>
      </c>
      <c r="L32" s="484">
        <f>L31+1</f>
        <v>2</v>
      </c>
      <c r="M32" s="485">
        <f>M31+1</f>
        <v>2021</v>
      </c>
      <c r="N32" s="486">
        <f t="shared" ref="N32:N38" si="18">SUMIF(K$12:K$27,L32,N$12:N$27)</f>
        <v>0</v>
      </c>
      <c r="O32" s="486">
        <f t="shared" ref="O32:O38" si="19">INDEX(O$12:O$27,L32*2)</f>
        <v>0</v>
      </c>
      <c r="P32" s="486">
        <f t="shared" ref="P32:P38" si="20">SUMIF(K$12:K$27,L32,P$12:P$27)</f>
        <v>0</v>
      </c>
      <c r="Q32" s="486">
        <f t="shared" ref="Q32:Q38" si="21">SUMIF(K$12:K$27,L32,Q$12:Q$27)</f>
        <v>0</v>
      </c>
      <c r="U32" s="484">
        <f>U31+1</f>
        <v>2</v>
      </c>
      <c r="V32" s="485">
        <f>V31+1</f>
        <v>2021</v>
      </c>
      <c r="W32" s="486">
        <f t="shared" ref="W32:W38" si="22">SUMIF(T$12:T$27,U32,W$12:W$27)</f>
        <v>0</v>
      </c>
      <c r="X32" s="486">
        <f t="shared" ref="X32:X38" si="23">INDEX(X$12:X$27,U32*2)</f>
        <v>0</v>
      </c>
      <c r="Y32" s="486">
        <f t="shared" ref="Y32:Y38" si="24">SUMIF(T$12:T$27,U32,Y$12:Y$27)</f>
        <v>0</v>
      </c>
      <c r="Z32" s="486">
        <f t="shared" ref="Z32:Z38" si="25">SUMIF(T$12:T$27,U32,Z$12:Z$27)</f>
        <v>0</v>
      </c>
      <c r="AC32" s="556">
        <f>AC31+1</f>
        <v>8</v>
      </c>
      <c r="AD32" s="557" t="s">
        <v>249</v>
      </c>
      <c r="AE32" s="558">
        <f t="shared" si="12"/>
        <v>0</v>
      </c>
      <c r="AF32" s="559">
        <f t="shared" si="9"/>
        <v>0</v>
      </c>
      <c r="AG32" s="558">
        <f t="shared" si="13"/>
        <v>0</v>
      </c>
      <c r="AH32" s="558">
        <f t="shared" si="10"/>
        <v>0</v>
      </c>
      <c r="AI32" s="558">
        <f>AH32*Pressupostos!$C$30</f>
        <v>0</v>
      </c>
      <c r="AJ32" s="560">
        <f t="shared" si="11"/>
        <v>0</v>
      </c>
    </row>
    <row r="33" spans="3:36" x14ac:dyDescent="0.2">
      <c r="C33" s="484">
        <f t="shared" ref="C33:D38" si="26">C32+1</f>
        <v>3</v>
      </c>
      <c r="D33" s="485">
        <f t="shared" si="26"/>
        <v>2022</v>
      </c>
      <c r="E33" s="486">
        <f t="shared" si="14"/>
        <v>0</v>
      </c>
      <c r="F33" s="486">
        <f t="shared" si="15"/>
        <v>241453.05</v>
      </c>
      <c r="G33" s="486">
        <f t="shared" si="16"/>
        <v>11371.352934826898</v>
      </c>
      <c r="H33" s="486">
        <f t="shared" si="17"/>
        <v>56.856764674134496</v>
      </c>
      <c r="L33" s="484">
        <f t="shared" ref="L33:M38" si="27">L32+1</f>
        <v>3</v>
      </c>
      <c r="M33" s="485">
        <f t="shared" si="27"/>
        <v>2022</v>
      </c>
      <c r="N33" s="486">
        <f t="shared" si="18"/>
        <v>0</v>
      </c>
      <c r="O33" s="486">
        <f t="shared" si="19"/>
        <v>0</v>
      </c>
      <c r="P33" s="486">
        <f t="shared" si="20"/>
        <v>0</v>
      </c>
      <c r="Q33" s="486">
        <f t="shared" si="21"/>
        <v>0</v>
      </c>
      <c r="U33" s="484">
        <f t="shared" ref="U33:V38" si="28">U32+1</f>
        <v>3</v>
      </c>
      <c r="V33" s="485">
        <f t="shared" si="28"/>
        <v>2022</v>
      </c>
      <c r="W33" s="486">
        <f t="shared" si="22"/>
        <v>0</v>
      </c>
      <c r="X33" s="486">
        <f t="shared" si="23"/>
        <v>0</v>
      </c>
      <c r="Y33" s="486">
        <f t="shared" si="24"/>
        <v>0</v>
      </c>
      <c r="Z33" s="486">
        <f t="shared" si="25"/>
        <v>0</v>
      </c>
      <c r="AC33" s="551">
        <f>AC32</f>
        <v>8</v>
      </c>
      <c r="AD33" s="552" t="s">
        <v>250</v>
      </c>
      <c r="AE33" s="553">
        <f t="shared" si="12"/>
        <v>0</v>
      </c>
      <c r="AF33" s="554">
        <f t="shared" si="9"/>
        <v>0</v>
      </c>
      <c r="AG33" s="553">
        <f t="shared" si="13"/>
        <v>0</v>
      </c>
      <c r="AH33" s="553">
        <f t="shared" si="10"/>
        <v>0</v>
      </c>
      <c r="AI33" s="553">
        <f>AH33*Pressupostos!$C$30</f>
        <v>0</v>
      </c>
      <c r="AJ33" s="555">
        <f t="shared" si="11"/>
        <v>0</v>
      </c>
    </row>
    <row r="34" spans="3:36" x14ac:dyDescent="0.2">
      <c r="C34" s="484">
        <f t="shared" si="26"/>
        <v>4</v>
      </c>
      <c r="D34" s="485">
        <f t="shared" si="26"/>
        <v>2023</v>
      </c>
      <c r="E34" s="486">
        <f t="shared" si="14"/>
        <v>0</v>
      </c>
      <c r="F34" s="486">
        <f t="shared" si="15"/>
        <v>241453.05</v>
      </c>
      <c r="G34" s="486">
        <f t="shared" si="16"/>
        <v>11371.352934826898</v>
      </c>
      <c r="H34" s="486">
        <f t="shared" si="17"/>
        <v>56.856764674134496</v>
      </c>
      <c r="L34" s="484">
        <f t="shared" si="27"/>
        <v>4</v>
      </c>
      <c r="M34" s="485">
        <f t="shared" si="27"/>
        <v>2023</v>
      </c>
      <c r="N34" s="486">
        <f t="shared" si="18"/>
        <v>0</v>
      </c>
      <c r="O34" s="486">
        <f t="shared" si="19"/>
        <v>0</v>
      </c>
      <c r="P34" s="486">
        <f t="shared" si="20"/>
        <v>0</v>
      </c>
      <c r="Q34" s="486">
        <f t="shared" si="21"/>
        <v>0</v>
      </c>
      <c r="U34" s="484">
        <f t="shared" si="28"/>
        <v>4</v>
      </c>
      <c r="V34" s="485">
        <f t="shared" si="28"/>
        <v>2023</v>
      </c>
      <c r="W34" s="486">
        <f t="shared" si="22"/>
        <v>0</v>
      </c>
      <c r="X34" s="486">
        <f t="shared" si="23"/>
        <v>0</v>
      </c>
      <c r="Y34" s="486">
        <f t="shared" si="24"/>
        <v>0</v>
      </c>
      <c r="Z34" s="486">
        <f t="shared" si="25"/>
        <v>0</v>
      </c>
      <c r="AC34" s="556">
        <f>AC33+1</f>
        <v>9</v>
      </c>
      <c r="AD34" s="557" t="s">
        <v>249</v>
      </c>
      <c r="AE34" s="558">
        <f t="shared" si="12"/>
        <v>0</v>
      </c>
      <c r="AF34" s="559">
        <f t="shared" si="9"/>
        <v>0</v>
      </c>
      <c r="AG34" s="558">
        <f t="shared" si="13"/>
        <v>0</v>
      </c>
      <c r="AH34" s="558">
        <f t="shared" si="10"/>
        <v>0</v>
      </c>
      <c r="AI34" s="558">
        <f>AH34*Pressupostos!$C$30</f>
        <v>0</v>
      </c>
      <c r="AJ34" s="560">
        <f t="shared" si="11"/>
        <v>0</v>
      </c>
    </row>
    <row r="35" spans="3:36" x14ac:dyDescent="0.2">
      <c r="C35" s="484">
        <f t="shared" si="26"/>
        <v>5</v>
      </c>
      <c r="D35" s="485">
        <f t="shared" si="26"/>
        <v>2024</v>
      </c>
      <c r="E35" s="486">
        <f t="shared" si="14"/>
        <v>0</v>
      </c>
      <c r="F35" s="486">
        <f t="shared" si="15"/>
        <v>241453.05</v>
      </c>
      <c r="G35" s="486">
        <f t="shared" si="16"/>
        <v>11371.352934826898</v>
      </c>
      <c r="H35" s="486">
        <f t="shared" si="17"/>
        <v>56.856764674134496</v>
      </c>
      <c r="L35" s="484">
        <f t="shared" si="27"/>
        <v>5</v>
      </c>
      <c r="M35" s="485">
        <f t="shared" si="27"/>
        <v>2024</v>
      </c>
      <c r="N35" s="486">
        <f t="shared" si="18"/>
        <v>0</v>
      </c>
      <c r="O35" s="486">
        <f t="shared" si="19"/>
        <v>0</v>
      </c>
      <c r="P35" s="486">
        <f t="shared" si="20"/>
        <v>0</v>
      </c>
      <c r="Q35" s="486">
        <f t="shared" si="21"/>
        <v>0</v>
      </c>
      <c r="U35" s="484">
        <f t="shared" si="28"/>
        <v>5</v>
      </c>
      <c r="V35" s="485">
        <f t="shared" si="28"/>
        <v>2024</v>
      </c>
      <c r="W35" s="486">
        <f t="shared" si="22"/>
        <v>0</v>
      </c>
      <c r="X35" s="486">
        <f t="shared" si="23"/>
        <v>0</v>
      </c>
      <c r="Y35" s="486">
        <f t="shared" si="24"/>
        <v>0</v>
      </c>
      <c r="Z35" s="486">
        <f t="shared" si="25"/>
        <v>0</v>
      </c>
      <c r="AC35" s="551">
        <f>AC34</f>
        <v>9</v>
      </c>
      <c r="AD35" s="552" t="s">
        <v>250</v>
      </c>
      <c r="AE35" s="553">
        <f t="shared" si="12"/>
        <v>0</v>
      </c>
      <c r="AF35" s="554">
        <f t="shared" si="9"/>
        <v>0</v>
      </c>
      <c r="AG35" s="553">
        <f t="shared" si="13"/>
        <v>0</v>
      </c>
      <c r="AH35" s="553">
        <f t="shared" si="10"/>
        <v>0</v>
      </c>
      <c r="AI35" s="553">
        <f>AH35*Pressupostos!$C$30</f>
        <v>0</v>
      </c>
      <c r="AJ35" s="555">
        <f t="shared" si="11"/>
        <v>0</v>
      </c>
    </row>
    <row r="36" spans="3:36" x14ac:dyDescent="0.2">
      <c r="C36" s="484">
        <f t="shared" si="26"/>
        <v>6</v>
      </c>
      <c r="D36" s="485">
        <f t="shared" si="26"/>
        <v>2025</v>
      </c>
      <c r="E36" s="486">
        <f t="shared" si="14"/>
        <v>0</v>
      </c>
      <c r="F36" s="486">
        <f t="shared" si="15"/>
        <v>241453.05</v>
      </c>
      <c r="G36" s="486">
        <f t="shared" si="16"/>
        <v>11371.352934826898</v>
      </c>
      <c r="H36" s="486">
        <f t="shared" si="17"/>
        <v>56.856764674134496</v>
      </c>
      <c r="L36" s="484">
        <f t="shared" si="27"/>
        <v>6</v>
      </c>
      <c r="M36" s="485">
        <f t="shared" si="27"/>
        <v>2025</v>
      </c>
      <c r="N36" s="486">
        <f t="shared" si="18"/>
        <v>0</v>
      </c>
      <c r="O36" s="486">
        <f t="shared" si="19"/>
        <v>0</v>
      </c>
      <c r="P36" s="486">
        <f t="shared" si="20"/>
        <v>0</v>
      </c>
      <c r="Q36" s="486">
        <f t="shared" si="21"/>
        <v>0</v>
      </c>
      <c r="U36" s="484">
        <f t="shared" si="28"/>
        <v>6</v>
      </c>
      <c r="V36" s="485">
        <f t="shared" si="28"/>
        <v>2025</v>
      </c>
      <c r="W36" s="486">
        <f t="shared" si="22"/>
        <v>0</v>
      </c>
      <c r="X36" s="486">
        <f t="shared" si="23"/>
        <v>0</v>
      </c>
      <c r="Y36" s="486">
        <f t="shared" si="24"/>
        <v>0</v>
      </c>
      <c r="Z36" s="486">
        <f t="shared" si="25"/>
        <v>0</v>
      </c>
      <c r="AC36" s="556">
        <f>AC35+1</f>
        <v>10</v>
      </c>
      <c r="AD36" s="557" t="s">
        <v>249</v>
      </c>
      <c r="AE36" s="558">
        <f t="shared" si="12"/>
        <v>0</v>
      </c>
      <c r="AF36" s="559">
        <f t="shared" si="9"/>
        <v>0</v>
      </c>
      <c r="AG36" s="558">
        <f t="shared" si="13"/>
        <v>0</v>
      </c>
      <c r="AH36" s="558">
        <f t="shared" si="10"/>
        <v>0</v>
      </c>
      <c r="AI36" s="558">
        <f>AH36*Pressupostos!$C$30</f>
        <v>0</v>
      </c>
      <c r="AJ36" s="560">
        <f t="shared" si="11"/>
        <v>0</v>
      </c>
    </row>
    <row r="37" spans="3:36" x14ac:dyDescent="0.2">
      <c r="C37" s="484">
        <f t="shared" si="26"/>
        <v>7</v>
      </c>
      <c r="D37" s="485">
        <f t="shared" si="26"/>
        <v>2026</v>
      </c>
      <c r="E37" s="486">
        <f t="shared" si="14"/>
        <v>0</v>
      </c>
      <c r="F37" s="486">
        <f t="shared" si="15"/>
        <v>241453.05</v>
      </c>
      <c r="G37" s="486">
        <f t="shared" si="16"/>
        <v>11371.352934826898</v>
      </c>
      <c r="H37" s="486">
        <f t="shared" si="17"/>
        <v>56.856764674134496</v>
      </c>
      <c r="L37" s="484">
        <f t="shared" si="27"/>
        <v>7</v>
      </c>
      <c r="M37" s="485">
        <f t="shared" si="27"/>
        <v>2026</v>
      </c>
      <c r="N37" s="486">
        <f t="shared" si="18"/>
        <v>0</v>
      </c>
      <c r="O37" s="486">
        <f t="shared" si="19"/>
        <v>0</v>
      </c>
      <c r="P37" s="486">
        <f t="shared" si="20"/>
        <v>0</v>
      </c>
      <c r="Q37" s="486">
        <f t="shared" si="21"/>
        <v>0</v>
      </c>
      <c r="U37" s="484">
        <f t="shared" si="28"/>
        <v>7</v>
      </c>
      <c r="V37" s="485">
        <f t="shared" si="28"/>
        <v>2026</v>
      </c>
      <c r="W37" s="486">
        <f t="shared" si="22"/>
        <v>0</v>
      </c>
      <c r="X37" s="486">
        <f t="shared" si="23"/>
        <v>0</v>
      </c>
      <c r="Y37" s="486">
        <f t="shared" si="24"/>
        <v>0</v>
      </c>
      <c r="Z37" s="486">
        <f t="shared" si="25"/>
        <v>0</v>
      </c>
      <c r="AC37" s="551">
        <f>AC36</f>
        <v>10</v>
      </c>
      <c r="AD37" s="552" t="s">
        <v>250</v>
      </c>
      <c r="AE37" s="553">
        <f t="shared" si="12"/>
        <v>0</v>
      </c>
      <c r="AF37" s="554">
        <f t="shared" si="9"/>
        <v>0</v>
      </c>
      <c r="AG37" s="553">
        <f t="shared" si="13"/>
        <v>0</v>
      </c>
      <c r="AH37" s="553">
        <f t="shared" si="10"/>
        <v>0</v>
      </c>
      <c r="AI37" s="553">
        <f>AH37*Pressupostos!$C$30</f>
        <v>0</v>
      </c>
      <c r="AJ37" s="555">
        <f t="shared" si="11"/>
        <v>0</v>
      </c>
    </row>
    <row r="38" spans="3:36" x14ac:dyDescent="0.2">
      <c r="C38" s="484">
        <f t="shared" si="26"/>
        <v>8</v>
      </c>
      <c r="D38" s="485">
        <f t="shared" si="26"/>
        <v>2027</v>
      </c>
      <c r="E38" s="486">
        <f t="shared" si="14"/>
        <v>0</v>
      </c>
      <c r="F38" s="486">
        <f t="shared" si="15"/>
        <v>241453.05</v>
      </c>
      <c r="G38" s="486">
        <f t="shared" si="16"/>
        <v>11371.352934826898</v>
      </c>
      <c r="H38" s="486">
        <f t="shared" si="17"/>
        <v>56.856764674134496</v>
      </c>
      <c r="L38" s="484">
        <f t="shared" si="27"/>
        <v>8</v>
      </c>
      <c r="M38" s="485">
        <f t="shared" si="27"/>
        <v>2027</v>
      </c>
      <c r="N38" s="486">
        <f t="shared" si="18"/>
        <v>0</v>
      </c>
      <c r="O38" s="486">
        <f t="shared" si="19"/>
        <v>0</v>
      </c>
      <c r="P38" s="486">
        <f t="shared" si="20"/>
        <v>0</v>
      </c>
      <c r="Q38" s="486">
        <f t="shared" si="21"/>
        <v>0</v>
      </c>
      <c r="U38" s="484">
        <f t="shared" si="28"/>
        <v>8</v>
      </c>
      <c r="V38" s="485">
        <f t="shared" si="28"/>
        <v>2027</v>
      </c>
      <c r="W38" s="486">
        <f t="shared" si="22"/>
        <v>0</v>
      </c>
      <c r="X38" s="486">
        <f t="shared" si="23"/>
        <v>0</v>
      </c>
      <c r="Y38" s="486">
        <f t="shared" si="24"/>
        <v>0</v>
      </c>
      <c r="Z38" s="486">
        <f t="shared" si="25"/>
        <v>0</v>
      </c>
      <c r="AC38" s="556">
        <f>AC37+1</f>
        <v>11</v>
      </c>
      <c r="AD38" s="557" t="s">
        <v>249</v>
      </c>
      <c r="AE38" s="558">
        <f t="shared" si="12"/>
        <v>0</v>
      </c>
      <c r="AF38" s="559">
        <f t="shared" si="9"/>
        <v>0</v>
      </c>
      <c r="AG38" s="558">
        <f t="shared" si="13"/>
        <v>0</v>
      </c>
      <c r="AH38" s="558">
        <f t="shared" si="10"/>
        <v>0</v>
      </c>
      <c r="AI38" s="558">
        <f>AH38*Pressupostos!$C$30</f>
        <v>0</v>
      </c>
      <c r="AJ38" s="560">
        <f t="shared" si="11"/>
        <v>0</v>
      </c>
    </row>
    <row r="39" spans="3:36" x14ac:dyDescent="0.2">
      <c r="AC39" s="551">
        <f>AC38</f>
        <v>11</v>
      </c>
      <c r="AD39" s="552" t="s">
        <v>250</v>
      </c>
      <c r="AE39" s="553">
        <f t="shared" si="12"/>
        <v>0</v>
      </c>
      <c r="AF39" s="554">
        <f t="shared" si="9"/>
        <v>0</v>
      </c>
      <c r="AG39" s="553">
        <f t="shared" si="13"/>
        <v>0</v>
      </c>
      <c r="AH39" s="553">
        <f t="shared" si="10"/>
        <v>0</v>
      </c>
      <c r="AI39" s="553">
        <f>AH39*Pressupostos!$C$30</f>
        <v>0</v>
      </c>
      <c r="AJ39" s="555">
        <f t="shared" si="11"/>
        <v>0</v>
      </c>
    </row>
    <row r="40" spans="3:36" x14ac:dyDescent="0.2">
      <c r="AC40" s="556">
        <f>AC39+1</f>
        <v>12</v>
      </c>
      <c r="AD40" s="557" t="s">
        <v>249</v>
      </c>
      <c r="AE40" s="558">
        <f t="shared" si="12"/>
        <v>0</v>
      </c>
      <c r="AF40" s="559">
        <f t="shared" si="9"/>
        <v>0</v>
      </c>
      <c r="AG40" s="558">
        <f t="shared" si="13"/>
        <v>0</v>
      </c>
      <c r="AH40" s="558">
        <f t="shared" si="10"/>
        <v>0</v>
      </c>
      <c r="AI40" s="558">
        <f>AH40*Pressupostos!$C$30</f>
        <v>0</v>
      </c>
      <c r="AJ40" s="560">
        <f t="shared" si="11"/>
        <v>0</v>
      </c>
    </row>
    <row r="41" spans="3:36" x14ac:dyDescent="0.2">
      <c r="AC41" s="551">
        <f>AC40</f>
        <v>12</v>
      </c>
      <c r="AD41" s="552" t="s">
        <v>250</v>
      </c>
      <c r="AE41" s="553">
        <f t="shared" si="12"/>
        <v>0</v>
      </c>
      <c r="AF41" s="554">
        <f t="shared" si="9"/>
        <v>0</v>
      </c>
      <c r="AG41" s="553">
        <f t="shared" si="13"/>
        <v>0</v>
      </c>
      <c r="AH41" s="553">
        <f t="shared" si="10"/>
        <v>0</v>
      </c>
      <c r="AI41" s="553">
        <f>AH41*Pressupostos!$C$30</f>
        <v>0</v>
      </c>
      <c r="AJ41" s="555">
        <f t="shared" si="11"/>
        <v>0</v>
      </c>
    </row>
    <row r="42" spans="3:36" x14ac:dyDescent="0.2">
      <c r="AC42" s="556">
        <f>AC41+1</f>
        <v>13</v>
      </c>
      <c r="AD42" s="557" t="s">
        <v>249</v>
      </c>
      <c r="AE42" s="558">
        <f t="shared" si="12"/>
        <v>0</v>
      </c>
      <c r="AF42" s="559">
        <f t="shared" si="9"/>
        <v>0</v>
      </c>
      <c r="AG42" s="558">
        <f t="shared" si="13"/>
        <v>0</v>
      </c>
      <c r="AH42" s="558">
        <f t="shared" si="10"/>
        <v>0</v>
      </c>
      <c r="AI42" s="558">
        <f>AH42*Pressupostos!$C$30</f>
        <v>0</v>
      </c>
      <c r="AJ42" s="560">
        <f t="shared" si="11"/>
        <v>0</v>
      </c>
    </row>
    <row r="43" spans="3:36" x14ac:dyDescent="0.2">
      <c r="AC43" s="551">
        <f>AC42</f>
        <v>13</v>
      </c>
      <c r="AD43" s="552" t="s">
        <v>250</v>
      </c>
      <c r="AE43" s="553">
        <f t="shared" si="12"/>
        <v>0</v>
      </c>
      <c r="AF43" s="554">
        <f t="shared" si="9"/>
        <v>0</v>
      </c>
      <c r="AG43" s="553">
        <f t="shared" si="13"/>
        <v>0</v>
      </c>
      <c r="AH43" s="553">
        <f t="shared" si="10"/>
        <v>0</v>
      </c>
      <c r="AI43" s="553">
        <f>AH43*Pressupostos!$C$30</f>
        <v>0</v>
      </c>
      <c r="AJ43" s="555">
        <f t="shared" si="11"/>
        <v>0</v>
      </c>
    </row>
    <row r="44" spans="3:36" x14ac:dyDescent="0.2">
      <c r="AC44" s="556">
        <f>AC43+1</f>
        <v>14</v>
      </c>
      <c r="AD44" s="557" t="s">
        <v>249</v>
      </c>
      <c r="AE44" s="558">
        <f t="shared" si="12"/>
        <v>0</v>
      </c>
      <c r="AF44" s="559">
        <f t="shared" si="9"/>
        <v>0</v>
      </c>
      <c r="AG44" s="558">
        <f t="shared" si="13"/>
        <v>0</v>
      </c>
      <c r="AH44" s="558">
        <f t="shared" si="10"/>
        <v>0</v>
      </c>
      <c r="AI44" s="558">
        <f>AH44*Pressupostos!$C$30</f>
        <v>0</v>
      </c>
      <c r="AJ44" s="560">
        <f t="shared" si="11"/>
        <v>0</v>
      </c>
    </row>
    <row r="45" spans="3:36" x14ac:dyDescent="0.2">
      <c r="AC45" s="551">
        <f>AC44</f>
        <v>14</v>
      </c>
      <c r="AD45" s="552" t="s">
        <v>250</v>
      </c>
      <c r="AE45" s="553">
        <f t="shared" si="12"/>
        <v>0</v>
      </c>
      <c r="AF45" s="554">
        <f t="shared" si="9"/>
        <v>0</v>
      </c>
      <c r="AG45" s="553">
        <f t="shared" si="13"/>
        <v>0</v>
      </c>
      <c r="AH45" s="553">
        <f t="shared" si="10"/>
        <v>0</v>
      </c>
      <c r="AI45" s="553">
        <f>AH45*Pressupostos!$C$30</f>
        <v>0</v>
      </c>
      <c r="AJ45" s="555">
        <f t="shared" si="11"/>
        <v>0</v>
      </c>
    </row>
    <row r="46" spans="3:36" x14ac:dyDescent="0.2">
      <c r="AC46" s="556">
        <f>AC45+1</f>
        <v>15</v>
      </c>
      <c r="AD46" s="557" t="s">
        <v>249</v>
      </c>
      <c r="AE46" s="558">
        <f t="shared" si="12"/>
        <v>0</v>
      </c>
      <c r="AF46" s="559">
        <f t="shared" si="9"/>
        <v>0</v>
      </c>
      <c r="AG46" s="558">
        <f t="shared" si="13"/>
        <v>0</v>
      </c>
      <c r="AH46" s="558">
        <f t="shared" si="10"/>
        <v>0</v>
      </c>
      <c r="AI46" s="558">
        <f>AH46*Pressupostos!$C$30</f>
        <v>0</v>
      </c>
      <c r="AJ46" s="560">
        <f t="shared" si="11"/>
        <v>0</v>
      </c>
    </row>
    <row r="47" spans="3:36" x14ac:dyDescent="0.2">
      <c r="AC47" s="551">
        <f>AC46</f>
        <v>15</v>
      </c>
      <c r="AD47" s="552" t="s">
        <v>250</v>
      </c>
      <c r="AE47" s="553">
        <f t="shared" si="12"/>
        <v>0</v>
      </c>
      <c r="AF47" s="554">
        <f t="shared" si="9"/>
        <v>0</v>
      </c>
      <c r="AG47" s="553">
        <f t="shared" si="13"/>
        <v>0</v>
      </c>
      <c r="AH47" s="553">
        <f t="shared" si="10"/>
        <v>0</v>
      </c>
      <c r="AI47" s="553">
        <f>AH47*Pressupostos!$C$30</f>
        <v>0</v>
      </c>
      <c r="AJ47" s="555">
        <f t="shared" si="11"/>
        <v>0</v>
      </c>
    </row>
    <row r="48" spans="3:36" x14ac:dyDescent="0.2">
      <c r="AC48" s="556">
        <f>AC47+1</f>
        <v>16</v>
      </c>
      <c r="AD48" s="557" t="s">
        <v>249</v>
      </c>
      <c r="AE48" s="558">
        <f t="shared" si="12"/>
        <v>0</v>
      </c>
      <c r="AF48" s="559">
        <f t="shared" si="9"/>
        <v>0</v>
      </c>
      <c r="AG48" s="558">
        <f t="shared" si="13"/>
        <v>0</v>
      </c>
      <c r="AH48" s="558">
        <f t="shared" si="10"/>
        <v>0</v>
      </c>
      <c r="AI48" s="558">
        <f>AH48*Pressupostos!$C$30</f>
        <v>0</v>
      </c>
      <c r="AJ48" s="560">
        <f t="shared" si="11"/>
        <v>0</v>
      </c>
    </row>
    <row r="49" spans="29:36" ht="12" thickBot="1" x14ac:dyDescent="0.25">
      <c r="AC49" s="561">
        <f>AC48</f>
        <v>16</v>
      </c>
      <c r="AD49" s="562" t="s">
        <v>250</v>
      </c>
      <c r="AE49" s="563">
        <f t="shared" si="12"/>
        <v>0</v>
      </c>
      <c r="AF49" s="564">
        <f t="shared" si="9"/>
        <v>0</v>
      </c>
      <c r="AG49" s="563">
        <f t="shared" si="13"/>
        <v>0</v>
      </c>
      <c r="AH49" s="563">
        <f t="shared" si="10"/>
        <v>0</v>
      </c>
      <c r="AI49" s="563">
        <f>AH49*Pressupostos!$C$30</f>
        <v>0</v>
      </c>
      <c r="AJ49" s="565">
        <f t="shared" si="11"/>
        <v>0</v>
      </c>
    </row>
    <row r="53" spans="29:36" x14ac:dyDescent="0.2">
      <c r="AE53" s="487" t="s">
        <v>252</v>
      </c>
      <c r="AF53" s="487" t="s">
        <v>253</v>
      </c>
      <c r="AG53" s="487" t="s">
        <v>254</v>
      </c>
      <c r="AH53" s="487" t="s">
        <v>255</v>
      </c>
      <c r="AI53" s="487" t="s">
        <v>256</v>
      </c>
    </row>
    <row r="54" spans="29:36" x14ac:dyDescent="0.2">
      <c r="AD54" s="484">
        <v>1</v>
      </c>
      <c r="AE54" s="485">
        <f>AF$4+AD54</f>
        <v>2020</v>
      </c>
      <c r="AF54" s="486">
        <f>SUMIF(AC$18:AC$49,AD54,AF$18:AF$49)</f>
        <v>0</v>
      </c>
      <c r="AG54" s="486">
        <f>INDEX(AG$18:AG$49,AD54*2)</f>
        <v>0</v>
      </c>
      <c r="AH54" s="486">
        <f t="shared" ref="AH54:AH69" si="29">SUMIF(AC$18:AC$49,AD54,AH$18:AH$49)</f>
        <v>0</v>
      </c>
      <c r="AI54" s="486">
        <f t="shared" ref="AI54:AI69" si="30">SUMIF(AC$18:AC$49,AD54,AI$18:AI$49)</f>
        <v>0</v>
      </c>
    </row>
    <row r="55" spans="29:36" x14ac:dyDescent="0.2">
      <c r="AD55" s="484">
        <f>AD54+1</f>
        <v>2</v>
      </c>
      <c r="AE55" s="485">
        <f t="shared" ref="AE55:AE69" si="31">AF$4+AD55</f>
        <v>2021</v>
      </c>
      <c r="AF55" s="486">
        <f>SUMIF(AC$18:AC$49,AD55,AF$18:AF$49)</f>
        <v>0</v>
      </c>
      <c r="AG55" s="486">
        <f t="shared" ref="AG55:AG69" si="32">INDEX(AG$18:AG$49,AD55*2)</f>
        <v>0</v>
      </c>
      <c r="AH55" s="486">
        <f t="shared" si="29"/>
        <v>0</v>
      </c>
      <c r="AI55" s="486">
        <f t="shared" si="30"/>
        <v>0</v>
      </c>
    </row>
    <row r="56" spans="29:36" x14ac:dyDescent="0.2">
      <c r="AD56" s="484">
        <f t="shared" ref="AD56:AD69" si="33">AD55+1</f>
        <v>3</v>
      </c>
      <c r="AE56" s="485">
        <f t="shared" si="31"/>
        <v>2022</v>
      </c>
      <c r="AF56" s="486">
        <f t="shared" ref="AF56:AF69" si="34">SUMIF(AC$18:AC$49,AD56,AF$18:AF$49)</f>
        <v>0</v>
      </c>
      <c r="AG56" s="486">
        <f t="shared" si="32"/>
        <v>0</v>
      </c>
      <c r="AH56" s="486">
        <f t="shared" si="29"/>
        <v>0</v>
      </c>
      <c r="AI56" s="486">
        <f t="shared" si="30"/>
        <v>0</v>
      </c>
    </row>
    <row r="57" spans="29:36" x14ac:dyDescent="0.2">
      <c r="AD57" s="484">
        <f t="shared" si="33"/>
        <v>4</v>
      </c>
      <c r="AE57" s="485">
        <f t="shared" si="31"/>
        <v>2023</v>
      </c>
      <c r="AF57" s="486">
        <f t="shared" si="34"/>
        <v>0</v>
      </c>
      <c r="AG57" s="486">
        <f t="shared" si="32"/>
        <v>0</v>
      </c>
      <c r="AH57" s="486">
        <f t="shared" si="29"/>
        <v>0</v>
      </c>
      <c r="AI57" s="486">
        <f t="shared" si="30"/>
        <v>0</v>
      </c>
    </row>
    <row r="58" spans="29:36" x14ac:dyDescent="0.2">
      <c r="AD58" s="484">
        <f t="shared" si="33"/>
        <v>5</v>
      </c>
      <c r="AE58" s="485">
        <f t="shared" si="31"/>
        <v>2024</v>
      </c>
      <c r="AF58" s="486">
        <f t="shared" si="34"/>
        <v>0</v>
      </c>
      <c r="AG58" s="486">
        <f t="shared" si="32"/>
        <v>0</v>
      </c>
      <c r="AH58" s="486">
        <f t="shared" si="29"/>
        <v>0</v>
      </c>
      <c r="AI58" s="486">
        <f t="shared" si="30"/>
        <v>0</v>
      </c>
    </row>
    <row r="59" spans="29:36" x14ac:dyDescent="0.2">
      <c r="AD59" s="484">
        <f t="shared" si="33"/>
        <v>6</v>
      </c>
      <c r="AE59" s="485">
        <f t="shared" si="31"/>
        <v>2025</v>
      </c>
      <c r="AF59" s="486">
        <f t="shared" si="34"/>
        <v>0</v>
      </c>
      <c r="AG59" s="486">
        <f t="shared" si="32"/>
        <v>0</v>
      </c>
      <c r="AH59" s="486">
        <f t="shared" si="29"/>
        <v>0</v>
      </c>
      <c r="AI59" s="486">
        <f t="shared" si="30"/>
        <v>0</v>
      </c>
    </row>
    <row r="60" spans="29:36" x14ac:dyDescent="0.2">
      <c r="AD60" s="484">
        <f t="shared" si="33"/>
        <v>7</v>
      </c>
      <c r="AE60" s="485">
        <f t="shared" si="31"/>
        <v>2026</v>
      </c>
      <c r="AF60" s="486">
        <f t="shared" si="34"/>
        <v>0</v>
      </c>
      <c r="AG60" s="486">
        <f t="shared" si="32"/>
        <v>0</v>
      </c>
      <c r="AH60" s="486">
        <f t="shared" si="29"/>
        <v>0</v>
      </c>
      <c r="AI60" s="486">
        <f t="shared" si="30"/>
        <v>0</v>
      </c>
    </row>
    <row r="61" spans="29:36" x14ac:dyDescent="0.2">
      <c r="AD61" s="484">
        <f t="shared" si="33"/>
        <v>8</v>
      </c>
      <c r="AE61" s="485">
        <f t="shared" si="31"/>
        <v>2027</v>
      </c>
      <c r="AF61" s="486">
        <f t="shared" si="34"/>
        <v>0</v>
      </c>
      <c r="AG61" s="486">
        <f t="shared" si="32"/>
        <v>0</v>
      </c>
      <c r="AH61" s="486">
        <f t="shared" si="29"/>
        <v>0</v>
      </c>
      <c r="AI61" s="486">
        <f t="shared" si="30"/>
        <v>0</v>
      </c>
    </row>
    <row r="62" spans="29:36" x14ac:dyDescent="0.2">
      <c r="AD62" s="484">
        <f t="shared" si="33"/>
        <v>9</v>
      </c>
      <c r="AE62" s="485">
        <f t="shared" si="31"/>
        <v>2028</v>
      </c>
      <c r="AF62" s="486">
        <f t="shared" si="34"/>
        <v>0</v>
      </c>
      <c r="AG62" s="486">
        <f t="shared" si="32"/>
        <v>0</v>
      </c>
      <c r="AH62" s="486">
        <f t="shared" si="29"/>
        <v>0</v>
      </c>
      <c r="AI62" s="486">
        <f t="shared" si="30"/>
        <v>0</v>
      </c>
    </row>
    <row r="63" spans="29:36" x14ac:dyDescent="0.2">
      <c r="AD63" s="484">
        <f t="shared" si="33"/>
        <v>10</v>
      </c>
      <c r="AE63" s="485">
        <f t="shared" si="31"/>
        <v>2029</v>
      </c>
      <c r="AF63" s="486">
        <f t="shared" si="34"/>
        <v>0</v>
      </c>
      <c r="AG63" s="486">
        <f t="shared" si="32"/>
        <v>0</v>
      </c>
      <c r="AH63" s="486">
        <f t="shared" si="29"/>
        <v>0</v>
      </c>
      <c r="AI63" s="486">
        <f t="shared" si="30"/>
        <v>0</v>
      </c>
    </row>
    <row r="64" spans="29:36" x14ac:dyDescent="0.2">
      <c r="AD64" s="484">
        <f t="shared" si="33"/>
        <v>11</v>
      </c>
      <c r="AE64" s="485">
        <f t="shared" si="31"/>
        <v>2030</v>
      </c>
      <c r="AF64" s="486">
        <f t="shared" si="34"/>
        <v>0</v>
      </c>
      <c r="AG64" s="486">
        <f t="shared" si="32"/>
        <v>0</v>
      </c>
      <c r="AH64" s="486">
        <f t="shared" si="29"/>
        <v>0</v>
      </c>
      <c r="AI64" s="486">
        <f t="shared" si="30"/>
        <v>0</v>
      </c>
    </row>
    <row r="65" spans="30:35" x14ac:dyDescent="0.2">
      <c r="AD65" s="484">
        <f t="shared" si="33"/>
        <v>12</v>
      </c>
      <c r="AE65" s="485">
        <f t="shared" si="31"/>
        <v>2031</v>
      </c>
      <c r="AF65" s="486">
        <f t="shared" si="34"/>
        <v>0</v>
      </c>
      <c r="AG65" s="486">
        <f t="shared" si="32"/>
        <v>0</v>
      </c>
      <c r="AH65" s="486">
        <f t="shared" si="29"/>
        <v>0</v>
      </c>
      <c r="AI65" s="486">
        <f t="shared" si="30"/>
        <v>0</v>
      </c>
    </row>
    <row r="66" spans="30:35" x14ac:dyDescent="0.2">
      <c r="AD66" s="484">
        <f t="shared" si="33"/>
        <v>13</v>
      </c>
      <c r="AE66" s="485">
        <f t="shared" si="31"/>
        <v>2032</v>
      </c>
      <c r="AF66" s="486">
        <f t="shared" si="34"/>
        <v>0</v>
      </c>
      <c r="AG66" s="486">
        <f t="shared" si="32"/>
        <v>0</v>
      </c>
      <c r="AH66" s="486">
        <f t="shared" si="29"/>
        <v>0</v>
      </c>
      <c r="AI66" s="486">
        <f t="shared" si="30"/>
        <v>0</v>
      </c>
    </row>
    <row r="67" spans="30:35" x14ac:dyDescent="0.2">
      <c r="AD67" s="484">
        <f t="shared" si="33"/>
        <v>14</v>
      </c>
      <c r="AE67" s="485">
        <f t="shared" si="31"/>
        <v>2033</v>
      </c>
      <c r="AF67" s="486">
        <f t="shared" si="34"/>
        <v>0</v>
      </c>
      <c r="AG67" s="486">
        <f t="shared" si="32"/>
        <v>0</v>
      </c>
      <c r="AH67" s="486">
        <f t="shared" si="29"/>
        <v>0</v>
      </c>
      <c r="AI67" s="486">
        <f t="shared" si="30"/>
        <v>0</v>
      </c>
    </row>
    <row r="68" spans="30:35" x14ac:dyDescent="0.2">
      <c r="AD68" s="484">
        <f t="shared" si="33"/>
        <v>15</v>
      </c>
      <c r="AE68" s="485">
        <f t="shared" si="31"/>
        <v>2034</v>
      </c>
      <c r="AF68" s="486">
        <f t="shared" si="34"/>
        <v>0</v>
      </c>
      <c r="AG68" s="486">
        <f t="shared" si="32"/>
        <v>0</v>
      </c>
      <c r="AH68" s="486">
        <f t="shared" si="29"/>
        <v>0</v>
      </c>
      <c r="AI68" s="486">
        <f t="shared" si="30"/>
        <v>0</v>
      </c>
    </row>
    <row r="69" spans="30:35" x14ac:dyDescent="0.2">
      <c r="AD69" s="484">
        <f t="shared" si="33"/>
        <v>16</v>
      </c>
      <c r="AE69" s="485">
        <f t="shared" si="31"/>
        <v>2035</v>
      </c>
      <c r="AF69" s="486">
        <f t="shared" si="34"/>
        <v>0</v>
      </c>
      <c r="AG69" s="486">
        <f t="shared" si="32"/>
        <v>0</v>
      </c>
      <c r="AH69" s="486">
        <f t="shared" si="29"/>
        <v>0</v>
      </c>
      <c r="AI69" s="486">
        <f t="shared" si="30"/>
        <v>0</v>
      </c>
    </row>
    <row r="72" spans="30:35" x14ac:dyDescent="0.2">
      <c r="AD72" s="2007" t="s">
        <v>257</v>
      </c>
      <c r="AE72" s="2007"/>
      <c r="AF72" s="2007"/>
      <c r="AG72" s="2007"/>
    </row>
    <row r="73" spans="30:35" x14ac:dyDescent="0.2">
      <c r="AD73" s="566"/>
      <c r="AE73" s="567" t="s">
        <v>252</v>
      </c>
      <c r="AF73" s="487" t="s">
        <v>258</v>
      </c>
      <c r="AG73" s="487" t="s">
        <v>259</v>
      </c>
    </row>
    <row r="74" spans="30:35" x14ac:dyDescent="0.2">
      <c r="AD74" s="484">
        <v>1</v>
      </c>
      <c r="AE74" s="485">
        <f>AF$4+AD74</f>
        <v>2020</v>
      </c>
      <c r="AF74" s="486">
        <f>AG54-AF55</f>
        <v>0</v>
      </c>
      <c r="AG74" s="486">
        <f>AF55</f>
        <v>0</v>
      </c>
    </row>
    <row r="75" spans="30:35" x14ac:dyDescent="0.2">
      <c r="AD75" s="484">
        <f>AD74+1</f>
        <v>2</v>
      </c>
      <c r="AE75" s="485">
        <f t="shared" ref="AE75:AE89" si="35">AF$4+AD75</f>
        <v>2021</v>
      </c>
      <c r="AF75" s="486">
        <f t="shared" ref="AF75:AF89" si="36">AG55-AF56</f>
        <v>0</v>
      </c>
      <c r="AG75" s="486">
        <f t="shared" ref="AG75:AG89" si="37">AF56</f>
        <v>0</v>
      </c>
    </row>
    <row r="76" spans="30:35" x14ac:dyDescent="0.2">
      <c r="AD76" s="484">
        <f t="shared" ref="AD76:AD89" si="38">AD75+1</f>
        <v>3</v>
      </c>
      <c r="AE76" s="485">
        <f t="shared" si="35"/>
        <v>2022</v>
      </c>
      <c r="AF76" s="486">
        <f t="shared" si="36"/>
        <v>0</v>
      </c>
      <c r="AG76" s="486">
        <f t="shared" si="37"/>
        <v>0</v>
      </c>
    </row>
    <row r="77" spans="30:35" x14ac:dyDescent="0.2">
      <c r="AD77" s="484">
        <f t="shared" si="38"/>
        <v>4</v>
      </c>
      <c r="AE77" s="485">
        <f t="shared" si="35"/>
        <v>2023</v>
      </c>
      <c r="AF77" s="486">
        <f t="shared" si="36"/>
        <v>0</v>
      </c>
      <c r="AG77" s="486">
        <f t="shared" si="37"/>
        <v>0</v>
      </c>
    </row>
    <row r="78" spans="30:35" x14ac:dyDescent="0.2">
      <c r="AD78" s="484">
        <f t="shared" si="38"/>
        <v>5</v>
      </c>
      <c r="AE78" s="485">
        <f t="shared" si="35"/>
        <v>2024</v>
      </c>
      <c r="AF78" s="486">
        <f t="shared" si="36"/>
        <v>0</v>
      </c>
      <c r="AG78" s="486">
        <f t="shared" si="37"/>
        <v>0</v>
      </c>
    </row>
    <row r="79" spans="30:35" x14ac:dyDescent="0.2">
      <c r="AD79" s="484">
        <f t="shared" si="38"/>
        <v>6</v>
      </c>
      <c r="AE79" s="485">
        <f t="shared" si="35"/>
        <v>2025</v>
      </c>
      <c r="AF79" s="486">
        <f t="shared" si="36"/>
        <v>0</v>
      </c>
      <c r="AG79" s="486">
        <f t="shared" si="37"/>
        <v>0</v>
      </c>
    </row>
    <row r="80" spans="30:35" x14ac:dyDescent="0.2">
      <c r="AD80" s="484">
        <f t="shared" si="38"/>
        <v>7</v>
      </c>
      <c r="AE80" s="485">
        <f t="shared" si="35"/>
        <v>2026</v>
      </c>
      <c r="AF80" s="486">
        <f t="shared" si="36"/>
        <v>0</v>
      </c>
      <c r="AG80" s="486">
        <f t="shared" si="37"/>
        <v>0</v>
      </c>
    </row>
    <row r="81" spans="30:33" x14ac:dyDescent="0.2">
      <c r="AD81" s="484">
        <f t="shared" si="38"/>
        <v>8</v>
      </c>
      <c r="AE81" s="485">
        <f t="shared" si="35"/>
        <v>2027</v>
      </c>
      <c r="AF81" s="486">
        <f t="shared" si="36"/>
        <v>0</v>
      </c>
      <c r="AG81" s="486">
        <f t="shared" si="37"/>
        <v>0</v>
      </c>
    </row>
    <row r="82" spans="30:33" x14ac:dyDescent="0.2">
      <c r="AD82" s="484">
        <f t="shared" si="38"/>
        <v>9</v>
      </c>
      <c r="AE82" s="485">
        <f t="shared" si="35"/>
        <v>2028</v>
      </c>
      <c r="AF82" s="486">
        <f t="shared" si="36"/>
        <v>0</v>
      </c>
      <c r="AG82" s="486">
        <f t="shared" si="37"/>
        <v>0</v>
      </c>
    </row>
    <row r="83" spans="30:33" x14ac:dyDescent="0.2">
      <c r="AD83" s="484">
        <f t="shared" si="38"/>
        <v>10</v>
      </c>
      <c r="AE83" s="485">
        <f t="shared" si="35"/>
        <v>2029</v>
      </c>
      <c r="AF83" s="486">
        <f t="shared" si="36"/>
        <v>0</v>
      </c>
      <c r="AG83" s="486">
        <f t="shared" si="37"/>
        <v>0</v>
      </c>
    </row>
    <row r="84" spans="30:33" x14ac:dyDescent="0.2">
      <c r="AD84" s="484">
        <f t="shared" si="38"/>
        <v>11</v>
      </c>
      <c r="AE84" s="485">
        <f t="shared" si="35"/>
        <v>2030</v>
      </c>
      <c r="AF84" s="486">
        <f t="shared" si="36"/>
        <v>0</v>
      </c>
      <c r="AG84" s="486">
        <f t="shared" si="37"/>
        <v>0</v>
      </c>
    </row>
    <row r="85" spans="30:33" x14ac:dyDescent="0.2">
      <c r="AD85" s="484">
        <f t="shared" si="38"/>
        <v>12</v>
      </c>
      <c r="AE85" s="485">
        <f t="shared" si="35"/>
        <v>2031</v>
      </c>
      <c r="AF85" s="486">
        <f t="shared" si="36"/>
        <v>0</v>
      </c>
      <c r="AG85" s="486">
        <f t="shared" si="37"/>
        <v>0</v>
      </c>
    </row>
    <row r="86" spans="30:33" x14ac:dyDescent="0.2">
      <c r="AD86" s="484">
        <f t="shared" si="38"/>
        <v>13</v>
      </c>
      <c r="AE86" s="485">
        <f t="shared" si="35"/>
        <v>2032</v>
      </c>
      <c r="AF86" s="486">
        <f t="shared" si="36"/>
        <v>0</v>
      </c>
      <c r="AG86" s="486">
        <f t="shared" si="37"/>
        <v>0</v>
      </c>
    </row>
    <row r="87" spans="30:33" x14ac:dyDescent="0.2">
      <c r="AD87" s="484">
        <f t="shared" si="38"/>
        <v>14</v>
      </c>
      <c r="AE87" s="485">
        <f t="shared" si="35"/>
        <v>2033</v>
      </c>
      <c r="AF87" s="486">
        <f t="shared" si="36"/>
        <v>0</v>
      </c>
      <c r="AG87" s="486">
        <f t="shared" si="37"/>
        <v>0</v>
      </c>
    </row>
    <row r="88" spans="30:33" x14ac:dyDescent="0.2">
      <c r="AD88" s="484">
        <f t="shared" si="38"/>
        <v>15</v>
      </c>
      <c r="AE88" s="485">
        <f t="shared" si="35"/>
        <v>2034</v>
      </c>
      <c r="AF88" s="486">
        <f t="shared" si="36"/>
        <v>0</v>
      </c>
      <c r="AG88" s="486">
        <f t="shared" si="37"/>
        <v>0</v>
      </c>
    </row>
    <row r="89" spans="30:33" x14ac:dyDescent="0.2">
      <c r="AD89" s="484">
        <f t="shared" si="38"/>
        <v>16</v>
      </c>
      <c r="AE89" s="485">
        <f t="shared" si="35"/>
        <v>2035</v>
      </c>
      <c r="AF89" s="486">
        <f t="shared" si="36"/>
        <v>0</v>
      </c>
      <c r="AG89" s="486">
        <f t="shared" si="37"/>
        <v>0</v>
      </c>
    </row>
  </sheetData>
  <mergeCells count="5">
    <mergeCell ref="B9:C11"/>
    <mergeCell ref="K9:L11"/>
    <mergeCell ref="T9:U11"/>
    <mergeCell ref="AC15:AD17"/>
    <mergeCell ref="AD72:AG72"/>
  </mergeCells>
  <dataValidations count="1">
    <dataValidation type="list" allowBlank="1" showInputMessage="1" showErrorMessage="1" sqref="AF10">
      <formula1>"Semestral,Anual"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4"/>
  <dimension ref="A1:CM89"/>
  <sheetViews>
    <sheetView topLeftCell="A5" workbookViewId="0">
      <selection activeCell="A24" sqref="A24"/>
    </sheetView>
  </sheetViews>
  <sheetFormatPr defaultColWidth="8.85546875" defaultRowHeight="15" x14ac:dyDescent="0.25"/>
  <cols>
    <col min="1" max="1" width="2.5703125" style="181" customWidth="1"/>
    <col min="2" max="16384" width="8.85546875" style="181"/>
  </cols>
  <sheetData>
    <row r="1" spans="1:91" ht="15.75" thickBot="1" x14ac:dyDescent="0.3">
      <c r="A1" s="864"/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  <c r="M1" s="864"/>
      <c r="N1" s="864"/>
      <c r="O1" s="864"/>
      <c r="P1" s="864"/>
      <c r="Q1" s="864"/>
      <c r="R1" s="864"/>
      <c r="S1" s="864"/>
      <c r="T1" s="864"/>
      <c r="U1" s="864"/>
      <c r="V1" s="864"/>
      <c r="W1" s="864"/>
      <c r="X1" s="864"/>
      <c r="Y1" s="864"/>
      <c r="Z1" s="864"/>
      <c r="AA1" s="864"/>
      <c r="AB1" s="864"/>
      <c r="AC1" s="864"/>
      <c r="AD1" s="864"/>
      <c r="AE1" s="864"/>
      <c r="AF1" s="864"/>
      <c r="AG1" s="864"/>
      <c r="AH1" s="864"/>
      <c r="AI1" s="864"/>
      <c r="AJ1" s="864"/>
      <c r="AK1" s="864"/>
      <c r="AL1" s="864"/>
      <c r="AM1" s="864"/>
      <c r="AN1" s="864"/>
      <c r="AO1" s="864"/>
      <c r="AP1" s="864"/>
      <c r="AQ1" s="864"/>
      <c r="AR1" s="864"/>
      <c r="AS1" s="864"/>
      <c r="AT1" s="865"/>
      <c r="AU1" s="864"/>
      <c r="AV1" s="864"/>
      <c r="AW1" s="864"/>
      <c r="AX1" s="864"/>
      <c r="AY1" s="864"/>
      <c r="AZ1" s="864"/>
      <c r="BA1" s="864"/>
      <c r="BB1" s="864"/>
      <c r="BC1" s="865"/>
      <c r="BD1" s="864"/>
      <c r="BE1" s="864"/>
      <c r="BF1" s="864"/>
      <c r="BG1" s="864"/>
      <c r="BH1" s="864"/>
      <c r="BI1" s="864"/>
      <c r="BJ1" s="864"/>
      <c r="BK1" s="864"/>
      <c r="BL1" s="865"/>
      <c r="BM1" s="864"/>
      <c r="BN1" s="864"/>
      <c r="BO1" s="864"/>
      <c r="BP1" s="864"/>
      <c r="BQ1" s="864"/>
      <c r="BR1" s="864"/>
      <c r="BS1" s="864"/>
      <c r="BT1" s="864"/>
      <c r="BU1" s="865"/>
      <c r="BV1" s="864"/>
      <c r="BW1" s="864"/>
      <c r="BX1" s="864"/>
      <c r="BY1" s="864"/>
      <c r="BZ1" s="864"/>
      <c r="CA1" s="864"/>
      <c r="CB1" s="864"/>
      <c r="CC1" s="864"/>
      <c r="CD1" s="866"/>
      <c r="CE1" s="864"/>
      <c r="CF1" s="864"/>
      <c r="CG1" s="864"/>
      <c r="CH1" s="864"/>
      <c r="CI1" s="864"/>
      <c r="CJ1" s="864"/>
      <c r="CK1" s="864"/>
      <c r="CL1" s="864"/>
      <c r="CM1" s="182"/>
    </row>
    <row r="2" spans="1:91" ht="15.75" thickBot="1" x14ac:dyDescent="0.3">
      <c r="A2" s="864"/>
      <c r="B2" s="867" t="s">
        <v>365</v>
      </c>
      <c r="C2" s="868"/>
      <c r="D2" s="869"/>
      <c r="E2" s="869"/>
      <c r="F2" s="869"/>
      <c r="G2" s="869"/>
      <c r="H2" s="869"/>
      <c r="I2" s="870" t="s">
        <v>70</v>
      </c>
      <c r="J2" s="871"/>
      <c r="K2" s="867" t="s">
        <v>365</v>
      </c>
      <c r="L2" s="868"/>
      <c r="M2" s="869"/>
      <c r="N2" s="869"/>
      <c r="O2" s="869"/>
      <c r="P2" s="869"/>
      <c r="Q2" s="869"/>
      <c r="R2" s="870" t="s">
        <v>70</v>
      </c>
      <c r="S2" s="864"/>
      <c r="T2" s="867" t="s">
        <v>365</v>
      </c>
      <c r="U2" s="868"/>
      <c r="V2" s="869"/>
      <c r="W2" s="869"/>
      <c r="X2" s="869"/>
      <c r="Y2" s="869"/>
      <c r="Z2" s="869"/>
      <c r="AA2" s="870" t="s">
        <v>70</v>
      </c>
      <c r="AB2" s="864"/>
      <c r="AC2" s="867" t="s">
        <v>365</v>
      </c>
      <c r="AD2" s="868"/>
      <c r="AE2" s="869"/>
      <c r="AF2" s="869"/>
      <c r="AG2" s="869"/>
      <c r="AH2" s="869"/>
      <c r="AI2" s="869"/>
      <c r="AJ2" s="870" t="s">
        <v>70</v>
      </c>
      <c r="AK2" s="864"/>
      <c r="AL2" s="867" t="s">
        <v>365</v>
      </c>
      <c r="AM2" s="868"/>
      <c r="AN2" s="869"/>
      <c r="AO2" s="869"/>
      <c r="AP2" s="869"/>
      <c r="AQ2" s="869"/>
      <c r="AR2" s="869"/>
      <c r="AS2" s="870" t="s">
        <v>70</v>
      </c>
      <c r="AT2" s="865"/>
      <c r="AU2" s="867" t="s">
        <v>365</v>
      </c>
      <c r="AV2" s="868"/>
      <c r="AW2" s="869"/>
      <c r="AX2" s="869"/>
      <c r="AY2" s="869"/>
      <c r="AZ2" s="869"/>
      <c r="BA2" s="869"/>
      <c r="BB2" s="870" t="s">
        <v>70</v>
      </c>
      <c r="BC2" s="865"/>
      <c r="BD2" s="867" t="s">
        <v>365</v>
      </c>
      <c r="BE2" s="868"/>
      <c r="BF2" s="869"/>
      <c r="BG2" s="869"/>
      <c r="BH2" s="869"/>
      <c r="BI2" s="869"/>
      <c r="BJ2" s="869"/>
      <c r="BK2" s="870" t="s">
        <v>70</v>
      </c>
      <c r="BL2" s="865"/>
      <c r="BM2" s="867" t="s">
        <v>365</v>
      </c>
      <c r="BN2" s="868"/>
      <c r="BO2" s="869"/>
      <c r="BP2" s="869"/>
      <c r="BQ2" s="869"/>
      <c r="BR2" s="869"/>
      <c r="BS2" s="869"/>
      <c r="BT2" s="870" t="s">
        <v>70</v>
      </c>
      <c r="BU2" s="865"/>
      <c r="BV2" s="867" t="s">
        <v>365</v>
      </c>
      <c r="BW2" s="868"/>
      <c r="BX2" s="869"/>
      <c r="BY2" s="869"/>
      <c r="BZ2" s="869"/>
      <c r="CA2" s="869"/>
      <c r="CB2" s="869"/>
      <c r="CC2" s="870" t="s">
        <v>70</v>
      </c>
      <c r="CD2" s="866"/>
      <c r="CE2" s="867" t="s">
        <v>365</v>
      </c>
      <c r="CF2" s="868"/>
      <c r="CG2" s="869"/>
      <c r="CH2" s="869"/>
      <c r="CI2" s="869"/>
      <c r="CJ2" s="869"/>
      <c r="CK2" s="869"/>
      <c r="CL2" s="870" t="s">
        <v>70</v>
      </c>
      <c r="CM2" s="182"/>
    </row>
    <row r="3" spans="1:91" x14ac:dyDescent="0.25">
      <c r="A3" s="864"/>
      <c r="B3" s="872"/>
      <c r="C3" s="873"/>
      <c r="D3" s="873"/>
      <c r="E3" s="873"/>
      <c r="F3" s="873"/>
      <c r="G3" s="873"/>
      <c r="H3" s="873"/>
      <c r="I3" s="874"/>
      <c r="J3" s="864"/>
      <c r="K3" s="875"/>
      <c r="L3" s="871"/>
      <c r="M3" s="871"/>
      <c r="N3" s="871"/>
      <c r="O3" s="871"/>
      <c r="P3" s="871"/>
      <c r="Q3" s="871"/>
      <c r="R3" s="876"/>
      <c r="S3" s="864"/>
      <c r="T3" s="875"/>
      <c r="U3" s="871"/>
      <c r="V3" s="871"/>
      <c r="W3" s="871"/>
      <c r="X3" s="871"/>
      <c r="Y3" s="871"/>
      <c r="Z3" s="871"/>
      <c r="AA3" s="876"/>
      <c r="AB3" s="864"/>
      <c r="AC3" s="875"/>
      <c r="AD3" s="871"/>
      <c r="AE3" s="871"/>
      <c r="AF3" s="871"/>
      <c r="AG3" s="871"/>
      <c r="AH3" s="871"/>
      <c r="AI3" s="871"/>
      <c r="AJ3" s="876"/>
      <c r="AK3" s="864"/>
      <c r="AL3" s="875"/>
      <c r="AM3" s="871"/>
      <c r="AN3" s="871"/>
      <c r="AO3" s="871"/>
      <c r="AP3" s="871"/>
      <c r="AQ3" s="871"/>
      <c r="AR3" s="871"/>
      <c r="AS3" s="876"/>
      <c r="AT3" s="865"/>
      <c r="AU3" s="875"/>
      <c r="AV3" s="871"/>
      <c r="AW3" s="871"/>
      <c r="AX3" s="871"/>
      <c r="AY3" s="871"/>
      <c r="AZ3" s="871"/>
      <c r="BA3" s="871"/>
      <c r="BB3" s="876"/>
      <c r="BC3" s="865"/>
      <c r="BD3" s="875"/>
      <c r="BE3" s="871"/>
      <c r="BF3" s="871"/>
      <c r="BG3" s="871"/>
      <c r="BH3" s="871"/>
      <c r="BI3" s="871"/>
      <c r="BJ3" s="871"/>
      <c r="BK3" s="876"/>
      <c r="BL3" s="865"/>
      <c r="BM3" s="875"/>
      <c r="BN3" s="871"/>
      <c r="BO3" s="871"/>
      <c r="BP3" s="871"/>
      <c r="BQ3" s="871"/>
      <c r="BR3" s="871"/>
      <c r="BS3" s="871"/>
      <c r="BT3" s="876"/>
      <c r="BU3" s="865"/>
      <c r="BV3" s="875"/>
      <c r="BW3" s="871"/>
      <c r="BX3" s="871"/>
      <c r="BY3" s="871"/>
      <c r="BZ3" s="871"/>
      <c r="CA3" s="871"/>
      <c r="CB3" s="871"/>
      <c r="CC3" s="876"/>
      <c r="CD3" s="866"/>
      <c r="CE3" s="875"/>
      <c r="CF3" s="871"/>
      <c r="CG3" s="871"/>
      <c r="CH3" s="871"/>
      <c r="CI3" s="871"/>
      <c r="CJ3" s="871"/>
      <c r="CK3" s="871"/>
      <c r="CL3" s="876"/>
      <c r="CM3" s="182"/>
    </row>
    <row r="4" spans="1:91" x14ac:dyDescent="0.25">
      <c r="A4" s="864"/>
      <c r="B4" s="875" t="s">
        <v>227</v>
      </c>
      <c r="C4" s="871"/>
      <c r="D4" s="871"/>
      <c r="E4" s="877">
        <f>Pressupostos!C11</f>
        <v>2020</v>
      </c>
      <c r="F4" s="871"/>
      <c r="G4" s="871"/>
      <c r="H4" s="871"/>
      <c r="I4" s="876"/>
      <c r="J4" s="864"/>
      <c r="K4" s="875" t="s">
        <v>227</v>
      </c>
      <c r="L4" s="871"/>
      <c r="M4" s="871"/>
      <c r="N4" s="877">
        <f>E4+1</f>
        <v>2021</v>
      </c>
      <c r="O4" s="871"/>
      <c r="P4" s="871"/>
      <c r="Q4" s="871"/>
      <c r="R4" s="876"/>
      <c r="S4" s="864"/>
      <c r="T4" s="875" t="s">
        <v>227</v>
      </c>
      <c r="U4" s="871"/>
      <c r="V4" s="871"/>
      <c r="W4" s="877">
        <f>N4+1</f>
        <v>2022</v>
      </c>
      <c r="X4" s="871"/>
      <c r="Y4" s="871"/>
      <c r="Z4" s="871"/>
      <c r="AA4" s="876"/>
      <c r="AB4" s="864"/>
      <c r="AC4" s="875" t="s">
        <v>227</v>
      </c>
      <c r="AD4" s="871"/>
      <c r="AE4" s="871"/>
      <c r="AF4" s="877">
        <f>W4+1</f>
        <v>2023</v>
      </c>
      <c r="AG4" s="871"/>
      <c r="AH4" s="871"/>
      <c r="AI4" s="871"/>
      <c r="AJ4" s="876"/>
      <c r="AK4" s="864"/>
      <c r="AL4" s="875" t="s">
        <v>227</v>
      </c>
      <c r="AM4" s="871"/>
      <c r="AN4" s="871"/>
      <c r="AO4" s="877">
        <f>AF4+1</f>
        <v>2024</v>
      </c>
      <c r="AP4" s="871"/>
      <c r="AQ4" s="871"/>
      <c r="AR4" s="871"/>
      <c r="AS4" s="876"/>
      <c r="AT4" s="865"/>
      <c r="AU4" s="875" t="s">
        <v>227</v>
      </c>
      <c r="AV4" s="871"/>
      <c r="AW4" s="871"/>
      <c r="AX4" s="877">
        <f>AO4+1</f>
        <v>2025</v>
      </c>
      <c r="AY4" s="871"/>
      <c r="AZ4" s="871"/>
      <c r="BA4" s="871"/>
      <c r="BB4" s="876"/>
      <c r="BC4" s="865"/>
      <c r="BD4" s="875" t="s">
        <v>227</v>
      </c>
      <c r="BE4" s="871"/>
      <c r="BF4" s="871"/>
      <c r="BG4" s="877">
        <f>AX4+1</f>
        <v>2026</v>
      </c>
      <c r="BH4" s="871"/>
      <c r="BI4" s="871"/>
      <c r="BJ4" s="871"/>
      <c r="BK4" s="876"/>
      <c r="BL4" s="865"/>
      <c r="BM4" s="875" t="s">
        <v>227</v>
      </c>
      <c r="BN4" s="871"/>
      <c r="BO4" s="871"/>
      <c r="BP4" s="877">
        <f>BG4+1</f>
        <v>2027</v>
      </c>
      <c r="BQ4" s="871"/>
      <c r="BR4" s="871"/>
      <c r="BS4" s="871"/>
      <c r="BT4" s="876"/>
      <c r="BU4" s="865"/>
      <c r="BV4" s="875" t="s">
        <v>227</v>
      </c>
      <c r="BW4" s="871"/>
      <c r="BX4" s="871"/>
      <c r="BY4" s="877">
        <f>BP4+1</f>
        <v>2028</v>
      </c>
      <c r="BZ4" s="871"/>
      <c r="CA4" s="871"/>
      <c r="CB4" s="871"/>
      <c r="CC4" s="876"/>
      <c r="CD4" s="866"/>
      <c r="CE4" s="875" t="s">
        <v>227</v>
      </c>
      <c r="CF4" s="871"/>
      <c r="CG4" s="871"/>
      <c r="CH4" s="877">
        <f>BY4+1</f>
        <v>2029</v>
      </c>
      <c r="CI4" s="871"/>
      <c r="CJ4" s="871"/>
      <c r="CK4" s="871"/>
      <c r="CL4" s="876"/>
      <c r="CM4" s="182"/>
    </row>
    <row r="5" spans="1:91" x14ac:dyDescent="0.25">
      <c r="A5" s="864"/>
      <c r="B5" s="875" t="s">
        <v>226</v>
      </c>
      <c r="C5" s="871"/>
      <c r="D5" s="871"/>
      <c r="E5" s="878">
        <f>PlanoFinanciamento!E11</f>
        <v>0</v>
      </c>
      <c r="F5" s="879"/>
      <c r="G5" s="879"/>
      <c r="H5" s="879"/>
      <c r="I5" s="880"/>
      <c r="J5" s="864"/>
      <c r="K5" s="875" t="s">
        <v>226</v>
      </c>
      <c r="L5" s="871"/>
      <c r="M5" s="871"/>
      <c r="N5" s="878">
        <f>PlanoFinanciamento!F11</f>
        <v>0</v>
      </c>
      <c r="O5" s="879"/>
      <c r="P5" s="879"/>
      <c r="Q5" s="879"/>
      <c r="R5" s="880"/>
      <c r="S5" s="864"/>
      <c r="T5" s="875" t="s">
        <v>226</v>
      </c>
      <c r="U5" s="871"/>
      <c r="V5" s="871"/>
      <c r="W5" s="878">
        <f>PlanoFinanciamento!G11</f>
        <v>0</v>
      </c>
      <c r="X5" s="879"/>
      <c r="Y5" s="879"/>
      <c r="Z5" s="879"/>
      <c r="AA5" s="880"/>
      <c r="AB5" s="864"/>
      <c r="AC5" s="875" t="s">
        <v>226</v>
      </c>
      <c r="AD5" s="871"/>
      <c r="AE5" s="871"/>
      <c r="AF5" s="878">
        <f>PlanoFinanciamento!H11</f>
        <v>0</v>
      </c>
      <c r="AG5" s="879"/>
      <c r="AH5" s="879"/>
      <c r="AI5" s="879"/>
      <c r="AJ5" s="880"/>
      <c r="AK5" s="864"/>
      <c r="AL5" s="875" t="s">
        <v>226</v>
      </c>
      <c r="AM5" s="871"/>
      <c r="AN5" s="871"/>
      <c r="AO5" s="878">
        <f>PlanoFinanciamento!I11</f>
        <v>0</v>
      </c>
      <c r="AP5" s="879"/>
      <c r="AQ5" s="879"/>
      <c r="AR5" s="879"/>
      <c r="AS5" s="880"/>
      <c r="AT5" s="865"/>
      <c r="AU5" s="875" t="s">
        <v>226</v>
      </c>
      <c r="AV5" s="871"/>
      <c r="AW5" s="871"/>
      <c r="AX5" s="878">
        <f>PlanoFinanciamento!J11</f>
        <v>0</v>
      </c>
      <c r="AY5" s="879"/>
      <c r="AZ5" s="879"/>
      <c r="BA5" s="879"/>
      <c r="BB5" s="880"/>
      <c r="BC5" s="865"/>
      <c r="BD5" s="875" t="s">
        <v>226</v>
      </c>
      <c r="BE5" s="871"/>
      <c r="BF5" s="871"/>
      <c r="BG5" s="878">
        <f>PlanoFinanciamento!K11</f>
        <v>0</v>
      </c>
      <c r="BH5" s="879"/>
      <c r="BI5" s="879"/>
      <c r="BJ5" s="879"/>
      <c r="BK5" s="880"/>
      <c r="BL5" s="865"/>
      <c r="BM5" s="875" t="s">
        <v>226</v>
      </c>
      <c r="BN5" s="871"/>
      <c r="BO5" s="871"/>
      <c r="BP5" s="878">
        <f>PlanoFinanciamento!L11</f>
        <v>0</v>
      </c>
      <c r="BQ5" s="879"/>
      <c r="BR5" s="879"/>
      <c r="BS5" s="879"/>
      <c r="BT5" s="880"/>
      <c r="BU5" s="865"/>
      <c r="BV5" s="875" t="s">
        <v>226</v>
      </c>
      <c r="BW5" s="871"/>
      <c r="BX5" s="871"/>
      <c r="BY5" s="878">
        <f>PlanoFinanciamento!M11</f>
        <v>0</v>
      </c>
      <c r="BZ5" s="879"/>
      <c r="CA5" s="879"/>
      <c r="CB5" s="879"/>
      <c r="CC5" s="880"/>
      <c r="CD5" s="866"/>
      <c r="CE5" s="875" t="s">
        <v>226</v>
      </c>
      <c r="CF5" s="871"/>
      <c r="CG5" s="871"/>
      <c r="CH5" s="878">
        <f>PlanoFinanciamento!N11</f>
        <v>0</v>
      </c>
      <c r="CI5" s="879"/>
      <c r="CJ5" s="879"/>
      <c r="CK5" s="879"/>
      <c r="CL5" s="880"/>
      <c r="CM5" s="182"/>
    </row>
    <row r="6" spans="1:91" x14ac:dyDescent="0.25">
      <c r="A6" s="864"/>
      <c r="B6" s="881" t="s">
        <v>231</v>
      </c>
      <c r="C6" s="882"/>
      <c r="D6" s="871"/>
      <c r="E6" s="883">
        <v>15</v>
      </c>
      <c r="F6" s="879" t="s">
        <v>232</v>
      </c>
      <c r="G6" s="879"/>
      <c r="H6" s="879"/>
      <c r="I6" s="880"/>
      <c r="J6" s="864"/>
      <c r="K6" s="881" t="s">
        <v>231</v>
      </c>
      <c r="L6" s="882"/>
      <c r="M6" s="871"/>
      <c r="N6" s="883">
        <v>15</v>
      </c>
      <c r="O6" s="879" t="s">
        <v>232</v>
      </c>
      <c r="P6" s="879"/>
      <c r="Q6" s="879"/>
      <c r="R6" s="880"/>
      <c r="S6" s="864"/>
      <c r="T6" s="881" t="s">
        <v>231</v>
      </c>
      <c r="U6" s="882"/>
      <c r="V6" s="871"/>
      <c r="W6" s="883">
        <v>15</v>
      </c>
      <c r="X6" s="879" t="s">
        <v>232</v>
      </c>
      <c r="Y6" s="879"/>
      <c r="Z6" s="879"/>
      <c r="AA6" s="880"/>
      <c r="AB6" s="864"/>
      <c r="AC6" s="881" t="s">
        <v>231</v>
      </c>
      <c r="AD6" s="882"/>
      <c r="AE6" s="871"/>
      <c r="AF6" s="883">
        <v>15</v>
      </c>
      <c r="AG6" s="879" t="s">
        <v>232</v>
      </c>
      <c r="AH6" s="879"/>
      <c r="AI6" s="879"/>
      <c r="AJ6" s="880"/>
      <c r="AK6" s="864"/>
      <c r="AL6" s="881" t="s">
        <v>231</v>
      </c>
      <c r="AM6" s="882"/>
      <c r="AN6" s="871"/>
      <c r="AO6" s="883">
        <v>15</v>
      </c>
      <c r="AP6" s="879" t="s">
        <v>232</v>
      </c>
      <c r="AQ6" s="879"/>
      <c r="AR6" s="879"/>
      <c r="AS6" s="880"/>
      <c r="AT6" s="865"/>
      <c r="AU6" s="881" t="s">
        <v>231</v>
      </c>
      <c r="AV6" s="882"/>
      <c r="AW6" s="871"/>
      <c r="AX6" s="883">
        <v>15</v>
      </c>
      <c r="AY6" s="879" t="s">
        <v>232</v>
      </c>
      <c r="AZ6" s="879"/>
      <c r="BA6" s="879"/>
      <c r="BB6" s="880"/>
      <c r="BC6" s="865"/>
      <c r="BD6" s="881" t="s">
        <v>231</v>
      </c>
      <c r="BE6" s="882"/>
      <c r="BF6" s="871"/>
      <c r="BG6" s="883">
        <v>15</v>
      </c>
      <c r="BH6" s="879" t="s">
        <v>232</v>
      </c>
      <c r="BI6" s="879"/>
      <c r="BJ6" s="879"/>
      <c r="BK6" s="880"/>
      <c r="BL6" s="865"/>
      <c r="BM6" s="881" t="s">
        <v>231</v>
      </c>
      <c r="BN6" s="882"/>
      <c r="BO6" s="871"/>
      <c r="BP6" s="883">
        <v>15</v>
      </c>
      <c r="BQ6" s="879" t="s">
        <v>232</v>
      </c>
      <c r="BR6" s="879"/>
      <c r="BS6" s="879"/>
      <c r="BT6" s="880"/>
      <c r="BU6" s="865"/>
      <c r="BV6" s="881" t="s">
        <v>231</v>
      </c>
      <c r="BW6" s="882"/>
      <c r="BX6" s="871"/>
      <c r="BY6" s="883">
        <v>15</v>
      </c>
      <c r="BZ6" s="879" t="s">
        <v>232</v>
      </c>
      <c r="CA6" s="879"/>
      <c r="CB6" s="879"/>
      <c r="CC6" s="880"/>
      <c r="CD6" s="866"/>
      <c r="CE6" s="881" t="s">
        <v>231</v>
      </c>
      <c r="CF6" s="882"/>
      <c r="CG6" s="871"/>
      <c r="CH6" s="883">
        <v>15</v>
      </c>
      <c r="CI6" s="879" t="s">
        <v>232</v>
      </c>
      <c r="CJ6" s="879"/>
      <c r="CK6" s="879"/>
      <c r="CL6" s="880"/>
      <c r="CM6" s="182"/>
    </row>
    <row r="7" spans="1:91" x14ac:dyDescent="0.25">
      <c r="A7" s="864"/>
      <c r="B7" s="875" t="s">
        <v>230</v>
      </c>
      <c r="C7" s="871"/>
      <c r="D7" s="871"/>
      <c r="E7" s="883">
        <v>2</v>
      </c>
      <c r="F7" s="879" t="s">
        <v>232</v>
      </c>
      <c r="G7" s="879"/>
      <c r="H7" s="879"/>
      <c r="I7" s="880"/>
      <c r="J7" s="864"/>
      <c r="K7" s="875" t="s">
        <v>230</v>
      </c>
      <c r="L7" s="871"/>
      <c r="M7" s="871"/>
      <c r="N7" s="883">
        <v>2</v>
      </c>
      <c r="O7" s="879" t="s">
        <v>232</v>
      </c>
      <c r="P7" s="879"/>
      <c r="Q7" s="879"/>
      <c r="R7" s="880"/>
      <c r="S7" s="864"/>
      <c r="T7" s="875" t="s">
        <v>230</v>
      </c>
      <c r="U7" s="871"/>
      <c r="V7" s="871"/>
      <c r="W7" s="883">
        <v>2</v>
      </c>
      <c r="X7" s="879" t="s">
        <v>232</v>
      </c>
      <c r="Y7" s="879"/>
      <c r="Z7" s="879"/>
      <c r="AA7" s="880"/>
      <c r="AB7" s="864"/>
      <c r="AC7" s="875" t="s">
        <v>230</v>
      </c>
      <c r="AD7" s="871"/>
      <c r="AE7" s="871"/>
      <c r="AF7" s="883">
        <v>2</v>
      </c>
      <c r="AG7" s="879" t="s">
        <v>232</v>
      </c>
      <c r="AH7" s="879"/>
      <c r="AI7" s="879"/>
      <c r="AJ7" s="880"/>
      <c r="AK7" s="864"/>
      <c r="AL7" s="875" t="s">
        <v>230</v>
      </c>
      <c r="AM7" s="871"/>
      <c r="AN7" s="871"/>
      <c r="AO7" s="883">
        <v>2</v>
      </c>
      <c r="AP7" s="879" t="s">
        <v>232</v>
      </c>
      <c r="AQ7" s="879"/>
      <c r="AR7" s="879"/>
      <c r="AS7" s="880"/>
      <c r="AT7" s="865"/>
      <c r="AU7" s="875" t="s">
        <v>230</v>
      </c>
      <c r="AV7" s="871"/>
      <c r="AW7" s="871"/>
      <c r="AX7" s="883">
        <v>2</v>
      </c>
      <c r="AY7" s="879" t="s">
        <v>232</v>
      </c>
      <c r="AZ7" s="879"/>
      <c r="BA7" s="879"/>
      <c r="BB7" s="880"/>
      <c r="BC7" s="865"/>
      <c r="BD7" s="875" t="s">
        <v>230</v>
      </c>
      <c r="BE7" s="871"/>
      <c r="BF7" s="871"/>
      <c r="BG7" s="883">
        <v>2</v>
      </c>
      <c r="BH7" s="879" t="s">
        <v>232</v>
      </c>
      <c r="BI7" s="879"/>
      <c r="BJ7" s="879"/>
      <c r="BK7" s="880"/>
      <c r="BL7" s="865"/>
      <c r="BM7" s="875" t="s">
        <v>230</v>
      </c>
      <c r="BN7" s="871"/>
      <c r="BO7" s="871"/>
      <c r="BP7" s="883">
        <v>2</v>
      </c>
      <c r="BQ7" s="879" t="s">
        <v>232</v>
      </c>
      <c r="BR7" s="879"/>
      <c r="BS7" s="879"/>
      <c r="BT7" s="880"/>
      <c r="BU7" s="865"/>
      <c r="BV7" s="875" t="s">
        <v>230</v>
      </c>
      <c r="BW7" s="871"/>
      <c r="BX7" s="871"/>
      <c r="BY7" s="883">
        <v>2</v>
      </c>
      <c r="BZ7" s="879" t="s">
        <v>232</v>
      </c>
      <c r="CA7" s="879"/>
      <c r="CB7" s="879"/>
      <c r="CC7" s="880"/>
      <c r="CD7" s="866"/>
      <c r="CE7" s="875" t="s">
        <v>230</v>
      </c>
      <c r="CF7" s="871"/>
      <c r="CG7" s="871"/>
      <c r="CH7" s="883">
        <v>2</v>
      </c>
      <c r="CI7" s="879" t="s">
        <v>232</v>
      </c>
      <c r="CJ7" s="879"/>
      <c r="CK7" s="879"/>
      <c r="CL7" s="880"/>
      <c r="CM7" s="182"/>
    </row>
    <row r="8" spans="1:91" x14ac:dyDescent="0.25">
      <c r="A8" s="864"/>
      <c r="B8" s="875"/>
      <c r="C8" s="871"/>
      <c r="D8" s="871"/>
      <c r="E8" s="879"/>
      <c r="F8" s="879"/>
      <c r="G8" s="879"/>
      <c r="H8" s="879"/>
      <c r="I8" s="880"/>
      <c r="J8" s="864"/>
      <c r="K8" s="875"/>
      <c r="L8" s="871"/>
      <c r="M8" s="871"/>
      <c r="N8" s="879"/>
      <c r="O8" s="879"/>
      <c r="P8" s="879"/>
      <c r="Q8" s="879"/>
      <c r="R8" s="880"/>
      <c r="S8" s="864"/>
      <c r="T8" s="875"/>
      <c r="U8" s="871"/>
      <c r="V8" s="871"/>
      <c r="W8" s="879"/>
      <c r="X8" s="879"/>
      <c r="Y8" s="879"/>
      <c r="Z8" s="879"/>
      <c r="AA8" s="880"/>
      <c r="AB8" s="864"/>
      <c r="AC8" s="875"/>
      <c r="AD8" s="871"/>
      <c r="AE8" s="871"/>
      <c r="AF8" s="879"/>
      <c r="AG8" s="879"/>
      <c r="AH8" s="879"/>
      <c r="AI8" s="879"/>
      <c r="AJ8" s="880"/>
      <c r="AK8" s="864"/>
      <c r="AL8" s="875"/>
      <c r="AM8" s="871"/>
      <c r="AN8" s="871"/>
      <c r="AO8" s="879"/>
      <c r="AP8" s="879"/>
      <c r="AQ8" s="879"/>
      <c r="AR8" s="879"/>
      <c r="AS8" s="880"/>
      <c r="AT8" s="865"/>
      <c r="AU8" s="875"/>
      <c r="AV8" s="871"/>
      <c r="AW8" s="871"/>
      <c r="AX8" s="879"/>
      <c r="AY8" s="879"/>
      <c r="AZ8" s="879"/>
      <c r="BA8" s="879"/>
      <c r="BB8" s="880"/>
      <c r="BC8" s="865"/>
      <c r="BD8" s="875"/>
      <c r="BE8" s="871"/>
      <c r="BF8" s="871"/>
      <c r="BG8" s="879"/>
      <c r="BH8" s="879"/>
      <c r="BI8" s="879"/>
      <c r="BJ8" s="879"/>
      <c r="BK8" s="880"/>
      <c r="BL8" s="865"/>
      <c r="BM8" s="875"/>
      <c r="BN8" s="871"/>
      <c r="BO8" s="871"/>
      <c r="BP8" s="879"/>
      <c r="BQ8" s="879"/>
      <c r="BR8" s="879"/>
      <c r="BS8" s="879"/>
      <c r="BT8" s="880"/>
      <c r="BU8" s="865"/>
      <c r="BV8" s="875"/>
      <c r="BW8" s="871"/>
      <c r="BX8" s="871"/>
      <c r="BY8" s="879"/>
      <c r="BZ8" s="879"/>
      <c r="CA8" s="879"/>
      <c r="CB8" s="879"/>
      <c r="CC8" s="880"/>
      <c r="CD8" s="866"/>
      <c r="CE8" s="875"/>
      <c r="CF8" s="871"/>
      <c r="CG8" s="871"/>
      <c r="CH8" s="879"/>
      <c r="CI8" s="879"/>
      <c r="CJ8" s="879"/>
      <c r="CK8" s="879"/>
      <c r="CL8" s="880"/>
      <c r="CM8" s="182"/>
    </row>
    <row r="9" spans="1:91" x14ac:dyDescent="0.25">
      <c r="A9" s="864"/>
      <c r="B9" s="875" t="s">
        <v>238</v>
      </c>
      <c r="C9" s="871"/>
      <c r="D9" s="871"/>
      <c r="E9" s="879"/>
      <c r="F9" s="879"/>
      <c r="G9" s="879"/>
      <c r="H9" s="879"/>
      <c r="I9" s="880"/>
      <c r="J9" s="864"/>
      <c r="K9" s="875" t="s">
        <v>238</v>
      </c>
      <c r="L9" s="871"/>
      <c r="M9" s="871"/>
      <c r="N9" s="879"/>
      <c r="O9" s="879"/>
      <c r="P9" s="879"/>
      <c r="Q9" s="879"/>
      <c r="R9" s="880"/>
      <c r="S9" s="864"/>
      <c r="T9" s="875" t="s">
        <v>238</v>
      </c>
      <c r="U9" s="871"/>
      <c r="V9" s="871"/>
      <c r="W9" s="879"/>
      <c r="X9" s="879"/>
      <c r="Y9" s="879"/>
      <c r="Z9" s="879"/>
      <c r="AA9" s="880"/>
      <c r="AB9" s="864"/>
      <c r="AC9" s="875" t="s">
        <v>238</v>
      </c>
      <c r="AD9" s="871"/>
      <c r="AE9" s="871"/>
      <c r="AF9" s="879"/>
      <c r="AG9" s="879"/>
      <c r="AH9" s="879"/>
      <c r="AI9" s="879"/>
      <c r="AJ9" s="880"/>
      <c r="AK9" s="864"/>
      <c r="AL9" s="875" t="s">
        <v>238</v>
      </c>
      <c r="AM9" s="871"/>
      <c r="AN9" s="871"/>
      <c r="AO9" s="879"/>
      <c r="AP9" s="879"/>
      <c r="AQ9" s="879"/>
      <c r="AR9" s="879"/>
      <c r="AS9" s="880"/>
      <c r="AT9" s="865"/>
      <c r="AU9" s="875" t="s">
        <v>238</v>
      </c>
      <c r="AV9" s="871"/>
      <c r="AW9" s="871"/>
      <c r="AX9" s="879"/>
      <c r="AY9" s="879"/>
      <c r="AZ9" s="879"/>
      <c r="BA9" s="879"/>
      <c r="BB9" s="880"/>
      <c r="BC9" s="865"/>
      <c r="BD9" s="875" t="s">
        <v>238</v>
      </c>
      <c r="BE9" s="871"/>
      <c r="BF9" s="871"/>
      <c r="BG9" s="879"/>
      <c r="BH9" s="879"/>
      <c r="BI9" s="879"/>
      <c r="BJ9" s="879"/>
      <c r="BK9" s="880"/>
      <c r="BL9" s="865"/>
      <c r="BM9" s="875" t="s">
        <v>238</v>
      </c>
      <c r="BN9" s="871"/>
      <c r="BO9" s="871"/>
      <c r="BP9" s="879"/>
      <c r="BQ9" s="879"/>
      <c r="BR9" s="879"/>
      <c r="BS9" s="879"/>
      <c r="BT9" s="880"/>
      <c r="BU9" s="865"/>
      <c r="BV9" s="875" t="s">
        <v>238</v>
      </c>
      <c r="BW9" s="871"/>
      <c r="BX9" s="871"/>
      <c r="BY9" s="879"/>
      <c r="BZ9" s="879"/>
      <c r="CA9" s="879"/>
      <c r="CB9" s="879"/>
      <c r="CC9" s="880"/>
      <c r="CD9" s="866"/>
      <c r="CE9" s="875" t="s">
        <v>238</v>
      </c>
      <c r="CF9" s="871"/>
      <c r="CG9" s="871"/>
      <c r="CH9" s="879"/>
      <c r="CI9" s="879"/>
      <c r="CJ9" s="879"/>
      <c r="CK9" s="879"/>
      <c r="CL9" s="880"/>
      <c r="CM9" s="182"/>
    </row>
    <row r="10" spans="1:91" x14ac:dyDescent="0.25">
      <c r="A10" s="864"/>
      <c r="B10" s="875" t="s">
        <v>244</v>
      </c>
      <c r="C10" s="871"/>
      <c r="D10" s="871"/>
      <c r="E10" s="884" t="s">
        <v>245</v>
      </c>
      <c r="F10" s="885"/>
      <c r="G10" s="879"/>
      <c r="H10" s="879"/>
      <c r="I10" s="880"/>
      <c r="J10" s="864"/>
      <c r="K10" s="875" t="s">
        <v>244</v>
      </c>
      <c r="L10" s="871"/>
      <c r="M10" s="871"/>
      <c r="N10" s="884" t="s">
        <v>245</v>
      </c>
      <c r="O10" s="885"/>
      <c r="P10" s="879"/>
      <c r="Q10" s="879"/>
      <c r="R10" s="880"/>
      <c r="S10" s="864"/>
      <c r="T10" s="875" t="s">
        <v>244</v>
      </c>
      <c r="U10" s="871"/>
      <c r="V10" s="871"/>
      <c r="W10" s="884" t="s">
        <v>245</v>
      </c>
      <c r="X10" s="886"/>
      <c r="Y10" s="879"/>
      <c r="Z10" s="879"/>
      <c r="AA10" s="880"/>
      <c r="AB10" s="864"/>
      <c r="AC10" s="875" t="s">
        <v>244</v>
      </c>
      <c r="AD10" s="871"/>
      <c r="AE10" s="871"/>
      <c r="AF10" s="884" t="s">
        <v>245</v>
      </c>
      <c r="AG10" s="886"/>
      <c r="AH10" s="879"/>
      <c r="AI10" s="879"/>
      <c r="AJ10" s="880"/>
      <c r="AK10" s="864"/>
      <c r="AL10" s="875" t="s">
        <v>244</v>
      </c>
      <c r="AM10" s="871"/>
      <c r="AN10" s="871"/>
      <c r="AO10" s="884" t="s">
        <v>245</v>
      </c>
      <c r="AP10" s="886"/>
      <c r="AQ10" s="879"/>
      <c r="AR10" s="879"/>
      <c r="AS10" s="880"/>
      <c r="AT10" s="865"/>
      <c r="AU10" s="875" t="s">
        <v>244</v>
      </c>
      <c r="AV10" s="871"/>
      <c r="AW10" s="871"/>
      <c r="AX10" s="884" t="s">
        <v>245</v>
      </c>
      <c r="AY10" s="886"/>
      <c r="AZ10" s="879"/>
      <c r="BA10" s="879"/>
      <c r="BB10" s="880"/>
      <c r="BC10" s="865"/>
      <c r="BD10" s="875" t="s">
        <v>244</v>
      </c>
      <c r="BE10" s="871"/>
      <c r="BF10" s="871"/>
      <c r="BG10" s="884" t="s">
        <v>245</v>
      </c>
      <c r="BH10" s="886"/>
      <c r="BI10" s="879"/>
      <c r="BJ10" s="879"/>
      <c r="BK10" s="880"/>
      <c r="BL10" s="865"/>
      <c r="BM10" s="875" t="s">
        <v>244</v>
      </c>
      <c r="BN10" s="871"/>
      <c r="BO10" s="871"/>
      <c r="BP10" s="884" t="s">
        <v>245</v>
      </c>
      <c r="BQ10" s="886"/>
      <c r="BR10" s="879"/>
      <c r="BS10" s="879"/>
      <c r="BT10" s="880"/>
      <c r="BU10" s="865"/>
      <c r="BV10" s="875" t="s">
        <v>244</v>
      </c>
      <c r="BW10" s="871"/>
      <c r="BX10" s="871"/>
      <c r="BY10" s="884" t="s">
        <v>245</v>
      </c>
      <c r="BZ10" s="886"/>
      <c r="CA10" s="879"/>
      <c r="CB10" s="879"/>
      <c r="CC10" s="880"/>
      <c r="CD10" s="866"/>
      <c r="CE10" s="875" t="s">
        <v>244</v>
      </c>
      <c r="CF10" s="871"/>
      <c r="CG10" s="871"/>
      <c r="CH10" s="884" t="s">
        <v>245</v>
      </c>
      <c r="CI10" s="886"/>
      <c r="CJ10" s="879"/>
      <c r="CK10" s="879"/>
      <c r="CL10" s="880"/>
      <c r="CM10" s="182"/>
    </row>
    <row r="11" spans="1:91" x14ac:dyDescent="0.25">
      <c r="A11" s="866"/>
      <c r="B11" s="887" t="s">
        <v>247</v>
      </c>
      <c r="C11" s="885"/>
      <c r="D11" s="885"/>
      <c r="E11" s="888">
        <f>IF(E10="Semestral",E6*2,E6)</f>
        <v>30</v>
      </c>
      <c r="F11" s="885"/>
      <c r="G11" s="889"/>
      <c r="H11" s="889"/>
      <c r="I11" s="890"/>
      <c r="J11" s="866"/>
      <c r="K11" s="887" t="s">
        <v>247</v>
      </c>
      <c r="L11" s="885"/>
      <c r="M11" s="885"/>
      <c r="N11" s="888">
        <f>IF(N10="Semestral",N6*2,N6)</f>
        <v>30</v>
      </c>
      <c r="O11" s="885"/>
      <c r="P11" s="889"/>
      <c r="Q11" s="889"/>
      <c r="R11" s="890"/>
      <c r="S11" s="866"/>
      <c r="T11" s="887" t="s">
        <v>247</v>
      </c>
      <c r="U11" s="885"/>
      <c r="V11" s="885"/>
      <c r="W11" s="888">
        <f>IF(W10="Semestral",W6*2,W6)</f>
        <v>30</v>
      </c>
      <c r="X11" s="885"/>
      <c r="Y11" s="889"/>
      <c r="Z11" s="889"/>
      <c r="AA11" s="890"/>
      <c r="AB11" s="866"/>
      <c r="AC11" s="887" t="s">
        <v>247</v>
      </c>
      <c r="AD11" s="885"/>
      <c r="AE11" s="885"/>
      <c r="AF11" s="888">
        <f>IF(AF10="Semestral",AF6*2,AF6)</f>
        <v>30</v>
      </c>
      <c r="AG11" s="885"/>
      <c r="AH11" s="889"/>
      <c r="AI11" s="889"/>
      <c r="AJ11" s="890"/>
      <c r="AK11" s="866"/>
      <c r="AL11" s="887" t="s">
        <v>247</v>
      </c>
      <c r="AM11" s="885"/>
      <c r="AN11" s="885"/>
      <c r="AO11" s="888">
        <f>IF(AO10="Semestral",AO6*2,AO6)</f>
        <v>30</v>
      </c>
      <c r="AP11" s="885"/>
      <c r="AQ11" s="889"/>
      <c r="AR11" s="889"/>
      <c r="AS11" s="890"/>
      <c r="AT11" s="866"/>
      <c r="AU11" s="887" t="s">
        <v>247</v>
      </c>
      <c r="AV11" s="885"/>
      <c r="AW11" s="885"/>
      <c r="AX11" s="888">
        <f>IF(AX10="Semestral",AX6*2,AX6)</f>
        <v>30</v>
      </c>
      <c r="AY11" s="885"/>
      <c r="AZ11" s="889"/>
      <c r="BA11" s="889"/>
      <c r="BB11" s="890"/>
      <c r="BC11" s="866"/>
      <c r="BD11" s="887" t="s">
        <v>247</v>
      </c>
      <c r="BE11" s="885"/>
      <c r="BF11" s="885"/>
      <c r="BG11" s="888">
        <f>IF(BG10="Semestral",BG6*2,BG6)</f>
        <v>30</v>
      </c>
      <c r="BH11" s="885"/>
      <c r="BI11" s="889"/>
      <c r="BJ11" s="889"/>
      <c r="BK11" s="890"/>
      <c r="BL11" s="866"/>
      <c r="BM11" s="887" t="s">
        <v>247</v>
      </c>
      <c r="BN11" s="885"/>
      <c r="BO11" s="885"/>
      <c r="BP11" s="888">
        <f>IF(BP10="Semestral",BP6*2,BP6)</f>
        <v>30</v>
      </c>
      <c r="BQ11" s="885"/>
      <c r="BR11" s="889"/>
      <c r="BS11" s="889"/>
      <c r="BT11" s="890"/>
      <c r="BU11" s="866"/>
      <c r="BV11" s="887" t="s">
        <v>247</v>
      </c>
      <c r="BW11" s="885"/>
      <c r="BX11" s="885"/>
      <c r="BY11" s="888">
        <f>IF(BY10="Semestral",BY6*2,BY6)</f>
        <v>30</v>
      </c>
      <c r="BZ11" s="885"/>
      <c r="CA11" s="889"/>
      <c r="CB11" s="889"/>
      <c r="CC11" s="890"/>
      <c r="CD11" s="866"/>
      <c r="CE11" s="887" t="s">
        <v>247</v>
      </c>
      <c r="CF11" s="885"/>
      <c r="CG11" s="885"/>
      <c r="CH11" s="888">
        <f>IF(CH10="Semestral",CH6*2,CH6)</f>
        <v>30</v>
      </c>
      <c r="CI11" s="885"/>
      <c r="CJ11" s="889"/>
      <c r="CK11" s="889"/>
      <c r="CL11" s="890"/>
      <c r="CM11" s="182"/>
    </row>
    <row r="12" spans="1:91" x14ac:dyDescent="0.25">
      <c r="A12" s="866"/>
      <c r="B12" s="887"/>
      <c r="C12" s="885"/>
      <c r="D12" s="885"/>
      <c r="E12" s="891"/>
      <c r="F12" s="889"/>
      <c r="G12" s="889"/>
      <c r="H12" s="889"/>
      <c r="I12" s="890"/>
      <c r="J12" s="866"/>
      <c r="K12" s="887"/>
      <c r="L12" s="885"/>
      <c r="M12" s="885"/>
      <c r="N12" s="891"/>
      <c r="O12" s="889"/>
      <c r="P12" s="889"/>
      <c r="Q12" s="889"/>
      <c r="R12" s="890"/>
      <c r="S12" s="866"/>
      <c r="T12" s="887"/>
      <c r="U12" s="885"/>
      <c r="V12" s="885"/>
      <c r="W12" s="891"/>
      <c r="X12" s="889"/>
      <c r="Y12" s="889"/>
      <c r="Z12" s="889"/>
      <c r="AA12" s="890"/>
      <c r="AB12" s="866"/>
      <c r="AC12" s="887"/>
      <c r="AD12" s="885"/>
      <c r="AE12" s="885"/>
      <c r="AF12" s="891"/>
      <c r="AG12" s="889"/>
      <c r="AH12" s="889"/>
      <c r="AI12" s="889"/>
      <c r="AJ12" s="890"/>
      <c r="AK12" s="866"/>
      <c r="AL12" s="887"/>
      <c r="AM12" s="885"/>
      <c r="AN12" s="885"/>
      <c r="AO12" s="891"/>
      <c r="AP12" s="889"/>
      <c r="AQ12" s="889"/>
      <c r="AR12" s="889"/>
      <c r="AS12" s="890"/>
      <c r="AT12" s="866"/>
      <c r="AU12" s="887"/>
      <c r="AV12" s="885"/>
      <c r="AW12" s="885"/>
      <c r="AX12" s="891"/>
      <c r="AY12" s="889"/>
      <c r="AZ12" s="889"/>
      <c r="BA12" s="889"/>
      <c r="BB12" s="890"/>
      <c r="BC12" s="866"/>
      <c r="BD12" s="887"/>
      <c r="BE12" s="885"/>
      <c r="BF12" s="885"/>
      <c r="BG12" s="891"/>
      <c r="BH12" s="889"/>
      <c r="BI12" s="889"/>
      <c r="BJ12" s="889"/>
      <c r="BK12" s="890"/>
      <c r="BL12" s="866"/>
      <c r="BM12" s="887"/>
      <c r="BN12" s="885"/>
      <c r="BO12" s="885"/>
      <c r="BP12" s="891"/>
      <c r="BQ12" s="889"/>
      <c r="BR12" s="889"/>
      <c r="BS12" s="889"/>
      <c r="BT12" s="890"/>
      <c r="BU12" s="866"/>
      <c r="BV12" s="887"/>
      <c r="BW12" s="885"/>
      <c r="BX12" s="885"/>
      <c r="BY12" s="891"/>
      <c r="BZ12" s="889"/>
      <c r="CA12" s="889"/>
      <c r="CB12" s="889"/>
      <c r="CC12" s="890"/>
      <c r="CD12" s="866"/>
      <c r="CE12" s="887"/>
      <c r="CF12" s="885"/>
      <c r="CG12" s="885"/>
      <c r="CH12" s="891"/>
      <c r="CI12" s="889"/>
      <c r="CJ12" s="889"/>
      <c r="CK12" s="889"/>
      <c r="CL12" s="890"/>
      <c r="CM12" s="182"/>
    </row>
    <row r="13" spans="1:91" x14ac:dyDescent="0.25">
      <c r="A13" s="866"/>
      <c r="B13" s="892" t="s">
        <v>251</v>
      </c>
      <c r="C13" s="893"/>
      <c r="D13" s="885"/>
      <c r="E13" s="894">
        <f>IF(E10="Semestral",(1+Pressupostos!$C$46)^(1/2)-1,Pressupostos!C46)</f>
        <v>2.3547751695053964E-2</v>
      </c>
      <c r="F13" s="889"/>
      <c r="G13" s="889"/>
      <c r="H13" s="895"/>
      <c r="I13" s="890"/>
      <c r="J13" s="866"/>
      <c r="K13" s="892" t="s">
        <v>251</v>
      </c>
      <c r="L13" s="893"/>
      <c r="M13" s="885"/>
      <c r="N13" s="894">
        <f>IF(N10="Semestral",(1+Pressupostos!$C$46)^(1/2)-1,Pressupostos!C46)</f>
        <v>2.3547751695053964E-2</v>
      </c>
      <c r="O13" s="889"/>
      <c r="P13" s="889"/>
      <c r="Q13" s="895"/>
      <c r="R13" s="890"/>
      <c r="S13" s="866"/>
      <c r="T13" s="892" t="s">
        <v>251</v>
      </c>
      <c r="U13" s="893"/>
      <c r="V13" s="885"/>
      <c r="W13" s="894">
        <f>IF(W10="Semestral",(1+Pressupostos!$C$46)^(1/2)-1,Pressupostos!C46)</f>
        <v>2.3547751695053964E-2</v>
      </c>
      <c r="X13" s="889"/>
      <c r="Y13" s="889"/>
      <c r="Z13" s="895"/>
      <c r="AA13" s="890"/>
      <c r="AB13" s="866"/>
      <c r="AC13" s="892" t="s">
        <v>251</v>
      </c>
      <c r="AD13" s="893"/>
      <c r="AE13" s="885"/>
      <c r="AF13" s="894">
        <f>IF(AF10="Semestral",(1+Pressupostos!$C$46)^(1/2)-1,Pressupostos!C46)</f>
        <v>2.3547751695053964E-2</v>
      </c>
      <c r="AG13" s="889"/>
      <c r="AH13" s="889"/>
      <c r="AI13" s="895"/>
      <c r="AJ13" s="890"/>
      <c r="AK13" s="866"/>
      <c r="AL13" s="892" t="s">
        <v>251</v>
      </c>
      <c r="AM13" s="893"/>
      <c r="AN13" s="885"/>
      <c r="AO13" s="894">
        <f>IF(AO10="Semestral",(1+Pressupostos!$C$46)^(1/2)-1,Pressupostos!C46)</f>
        <v>2.3547751695053964E-2</v>
      </c>
      <c r="AP13" s="889"/>
      <c r="AQ13" s="889"/>
      <c r="AR13" s="895"/>
      <c r="AS13" s="890"/>
      <c r="AT13" s="866"/>
      <c r="AU13" s="892" t="s">
        <v>251</v>
      </c>
      <c r="AV13" s="893"/>
      <c r="AW13" s="885"/>
      <c r="AX13" s="894">
        <f>IF(AX10="Semestral",(1+Pressupostos!$C$46)^(1/2)-1,Pressupostos!C46)</f>
        <v>2.3547751695053964E-2</v>
      </c>
      <c r="AY13" s="889"/>
      <c r="AZ13" s="889"/>
      <c r="BA13" s="895"/>
      <c r="BB13" s="890"/>
      <c r="BC13" s="866"/>
      <c r="BD13" s="892" t="s">
        <v>251</v>
      </c>
      <c r="BE13" s="893"/>
      <c r="BF13" s="885"/>
      <c r="BG13" s="894">
        <f>IF(BG10="Semestral",(1+Pressupostos!$C$46)^(1/2)-1,Pressupostos!C46)</f>
        <v>2.3547751695053964E-2</v>
      </c>
      <c r="BH13" s="889"/>
      <c r="BI13" s="889"/>
      <c r="BJ13" s="895"/>
      <c r="BK13" s="890"/>
      <c r="BL13" s="866"/>
      <c r="BM13" s="892" t="s">
        <v>251</v>
      </c>
      <c r="BN13" s="893"/>
      <c r="BO13" s="885"/>
      <c r="BP13" s="894">
        <f>IF(BP10="Semestral",(1+Pressupostos!$C$46)^(1/2)-1,Pressupostos!C46)</f>
        <v>2.3547751695053964E-2</v>
      </c>
      <c r="BQ13" s="889"/>
      <c r="BR13" s="889"/>
      <c r="BS13" s="895"/>
      <c r="BT13" s="890"/>
      <c r="BU13" s="866"/>
      <c r="BV13" s="892" t="s">
        <v>251</v>
      </c>
      <c r="BW13" s="893"/>
      <c r="BX13" s="885"/>
      <c r="BY13" s="894">
        <f>IF(BY10="Semestral",(1+Pressupostos!$C$46)^(1/2)-1,Pressupostos!C46)</f>
        <v>2.3547751695053964E-2</v>
      </c>
      <c r="BZ13" s="889"/>
      <c r="CA13" s="889"/>
      <c r="CB13" s="895"/>
      <c r="CC13" s="890"/>
      <c r="CD13" s="866"/>
      <c r="CE13" s="892" t="s">
        <v>251</v>
      </c>
      <c r="CF13" s="893"/>
      <c r="CG13" s="885"/>
      <c r="CH13" s="894">
        <f>IF(CH10="Semestral",(1+Pressupostos!$C$46)^(1/2)-1,Pressupostos!C46)</f>
        <v>2.3547751695053964E-2</v>
      </c>
      <c r="CI13" s="889"/>
      <c r="CJ13" s="889"/>
      <c r="CK13" s="895"/>
      <c r="CL13" s="890"/>
      <c r="CM13" s="182"/>
    </row>
    <row r="14" spans="1:91" x14ac:dyDescent="0.25">
      <c r="A14" s="866"/>
      <c r="B14" s="896"/>
      <c r="C14" s="897"/>
      <c r="D14" s="897"/>
      <c r="E14" s="897"/>
      <c r="F14" s="897"/>
      <c r="G14" s="897"/>
      <c r="H14" s="897"/>
      <c r="I14" s="898"/>
      <c r="J14" s="866"/>
      <c r="K14" s="896"/>
      <c r="L14" s="897"/>
      <c r="M14" s="897"/>
      <c r="N14" s="897"/>
      <c r="O14" s="897"/>
      <c r="P14" s="897"/>
      <c r="Q14" s="897"/>
      <c r="R14" s="898"/>
      <c r="S14" s="866"/>
      <c r="T14" s="896"/>
      <c r="U14" s="897"/>
      <c r="V14" s="897"/>
      <c r="W14" s="897"/>
      <c r="X14" s="897"/>
      <c r="Y14" s="897"/>
      <c r="Z14" s="897"/>
      <c r="AA14" s="898"/>
      <c r="AB14" s="866"/>
      <c r="AC14" s="896"/>
      <c r="AD14" s="897"/>
      <c r="AE14" s="897"/>
      <c r="AF14" s="897"/>
      <c r="AG14" s="897"/>
      <c r="AH14" s="897"/>
      <c r="AI14" s="897"/>
      <c r="AJ14" s="898"/>
      <c r="AK14" s="866"/>
      <c r="AL14" s="896"/>
      <c r="AM14" s="897"/>
      <c r="AN14" s="897"/>
      <c r="AO14" s="897"/>
      <c r="AP14" s="897"/>
      <c r="AQ14" s="897"/>
      <c r="AR14" s="897"/>
      <c r="AS14" s="898"/>
      <c r="AT14" s="866"/>
      <c r="AU14" s="896"/>
      <c r="AV14" s="897"/>
      <c r="AW14" s="897"/>
      <c r="AX14" s="897"/>
      <c r="AY14" s="897"/>
      <c r="AZ14" s="897"/>
      <c r="BA14" s="897"/>
      <c r="BB14" s="898"/>
      <c r="BC14" s="866"/>
      <c r="BD14" s="896"/>
      <c r="BE14" s="897"/>
      <c r="BF14" s="897"/>
      <c r="BG14" s="897"/>
      <c r="BH14" s="897"/>
      <c r="BI14" s="897"/>
      <c r="BJ14" s="897"/>
      <c r="BK14" s="898"/>
      <c r="BL14" s="866"/>
      <c r="BM14" s="896"/>
      <c r="BN14" s="897"/>
      <c r="BO14" s="897"/>
      <c r="BP14" s="897"/>
      <c r="BQ14" s="897"/>
      <c r="BR14" s="897"/>
      <c r="BS14" s="897"/>
      <c r="BT14" s="898"/>
      <c r="BU14" s="866"/>
      <c r="BV14" s="896"/>
      <c r="BW14" s="897"/>
      <c r="BX14" s="897"/>
      <c r="BY14" s="897"/>
      <c r="BZ14" s="897"/>
      <c r="CA14" s="897"/>
      <c r="CB14" s="897"/>
      <c r="CC14" s="898"/>
      <c r="CD14" s="866"/>
      <c r="CE14" s="896"/>
      <c r="CF14" s="897"/>
      <c r="CG14" s="897"/>
      <c r="CH14" s="897"/>
      <c r="CI14" s="897"/>
      <c r="CJ14" s="897"/>
      <c r="CK14" s="897"/>
      <c r="CL14" s="898"/>
      <c r="CM14" s="182"/>
    </row>
    <row r="15" spans="1:91" x14ac:dyDescent="0.25">
      <c r="A15" s="866"/>
      <c r="B15" s="2009" t="s">
        <v>234</v>
      </c>
      <c r="C15" s="2010"/>
      <c r="D15" s="899" t="s">
        <v>235</v>
      </c>
      <c r="E15" s="900"/>
      <c r="F15" s="899" t="s">
        <v>235</v>
      </c>
      <c r="G15" s="900"/>
      <c r="H15" s="899" t="s">
        <v>236</v>
      </c>
      <c r="I15" s="901" t="s">
        <v>237</v>
      </c>
      <c r="J15" s="866"/>
      <c r="K15" s="2009" t="s">
        <v>234</v>
      </c>
      <c r="L15" s="2010"/>
      <c r="M15" s="899" t="s">
        <v>235</v>
      </c>
      <c r="N15" s="900"/>
      <c r="O15" s="899" t="s">
        <v>235</v>
      </c>
      <c r="P15" s="900"/>
      <c r="Q15" s="899" t="s">
        <v>236</v>
      </c>
      <c r="R15" s="901" t="s">
        <v>237</v>
      </c>
      <c r="S15" s="866"/>
      <c r="T15" s="2009" t="s">
        <v>234</v>
      </c>
      <c r="U15" s="2010"/>
      <c r="V15" s="899" t="s">
        <v>235</v>
      </c>
      <c r="W15" s="900"/>
      <c r="X15" s="899" t="s">
        <v>235</v>
      </c>
      <c r="Y15" s="900"/>
      <c r="Z15" s="899" t="s">
        <v>236</v>
      </c>
      <c r="AA15" s="901" t="s">
        <v>237</v>
      </c>
      <c r="AB15" s="866"/>
      <c r="AC15" s="2009" t="s">
        <v>234</v>
      </c>
      <c r="AD15" s="2010"/>
      <c r="AE15" s="899" t="s">
        <v>235</v>
      </c>
      <c r="AF15" s="900"/>
      <c r="AG15" s="899" t="s">
        <v>235</v>
      </c>
      <c r="AH15" s="900"/>
      <c r="AI15" s="899" t="s">
        <v>236</v>
      </c>
      <c r="AJ15" s="901" t="s">
        <v>237</v>
      </c>
      <c r="AK15" s="866"/>
      <c r="AL15" s="2009" t="s">
        <v>234</v>
      </c>
      <c r="AM15" s="2010"/>
      <c r="AN15" s="899" t="s">
        <v>235</v>
      </c>
      <c r="AO15" s="900"/>
      <c r="AP15" s="899" t="s">
        <v>235</v>
      </c>
      <c r="AQ15" s="900"/>
      <c r="AR15" s="899" t="s">
        <v>236</v>
      </c>
      <c r="AS15" s="901" t="s">
        <v>237</v>
      </c>
      <c r="AT15" s="866"/>
      <c r="AU15" s="2009" t="s">
        <v>234</v>
      </c>
      <c r="AV15" s="2010"/>
      <c r="AW15" s="899" t="s">
        <v>235</v>
      </c>
      <c r="AX15" s="900"/>
      <c r="AY15" s="899" t="s">
        <v>235</v>
      </c>
      <c r="AZ15" s="900"/>
      <c r="BA15" s="899" t="s">
        <v>236</v>
      </c>
      <c r="BB15" s="901" t="s">
        <v>237</v>
      </c>
      <c r="BC15" s="866"/>
      <c r="BD15" s="2009" t="s">
        <v>234</v>
      </c>
      <c r="BE15" s="2010"/>
      <c r="BF15" s="899" t="s">
        <v>235</v>
      </c>
      <c r="BG15" s="900"/>
      <c r="BH15" s="899" t="s">
        <v>235</v>
      </c>
      <c r="BI15" s="900"/>
      <c r="BJ15" s="899" t="s">
        <v>236</v>
      </c>
      <c r="BK15" s="901" t="s">
        <v>237</v>
      </c>
      <c r="BL15" s="866"/>
      <c r="BM15" s="2009" t="s">
        <v>234</v>
      </c>
      <c r="BN15" s="2010"/>
      <c r="BO15" s="899" t="s">
        <v>235</v>
      </c>
      <c r="BP15" s="900"/>
      <c r="BQ15" s="899" t="s">
        <v>235</v>
      </c>
      <c r="BR15" s="900"/>
      <c r="BS15" s="899" t="s">
        <v>236</v>
      </c>
      <c r="BT15" s="901" t="s">
        <v>237</v>
      </c>
      <c r="BU15" s="866"/>
      <c r="BV15" s="2009" t="s">
        <v>234</v>
      </c>
      <c r="BW15" s="2010"/>
      <c r="BX15" s="899" t="s">
        <v>235</v>
      </c>
      <c r="BY15" s="900"/>
      <c r="BZ15" s="899" t="s">
        <v>235</v>
      </c>
      <c r="CA15" s="900"/>
      <c r="CB15" s="899" t="s">
        <v>236</v>
      </c>
      <c r="CC15" s="901" t="s">
        <v>237</v>
      </c>
      <c r="CD15" s="866"/>
      <c r="CE15" s="2009" t="s">
        <v>234</v>
      </c>
      <c r="CF15" s="2010"/>
      <c r="CG15" s="899" t="s">
        <v>235</v>
      </c>
      <c r="CH15" s="900"/>
      <c r="CI15" s="899" t="s">
        <v>235</v>
      </c>
      <c r="CJ15" s="900"/>
      <c r="CK15" s="899" t="s">
        <v>236</v>
      </c>
      <c r="CL15" s="901" t="s">
        <v>237</v>
      </c>
      <c r="CM15" s="182"/>
    </row>
    <row r="16" spans="1:91" x14ac:dyDescent="0.25">
      <c r="A16" s="866"/>
      <c r="B16" s="2011"/>
      <c r="C16" s="2012"/>
      <c r="D16" s="902" t="s">
        <v>239</v>
      </c>
      <c r="E16" s="902" t="s">
        <v>240</v>
      </c>
      <c r="F16" s="902" t="s">
        <v>239</v>
      </c>
      <c r="G16" s="902" t="s">
        <v>241</v>
      </c>
      <c r="H16" s="902" t="s">
        <v>242</v>
      </c>
      <c r="I16" s="903" t="s">
        <v>243</v>
      </c>
      <c r="J16" s="866"/>
      <c r="K16" s="2011"/>
      <c r="L16" s="2012"/>
      <c r="M16" s="902" t="s">
        <v>239</v>
      </c>
      <c r="N16" s="902" t="s">
        <v>240</v>
      </c>
      <c r="O16" s="902" t="s">
        <v>239</v>
      </c>
      <c r="P16" s="902" t="s">
        <v>241</v>
      </c>
      <c r="Q16" s="902" t="s">
        <v>242</v>
      </c>
      <c r="R16" s="903" t="s">
        <v>243</v>
      </c>
      <c r="S16" s="866"/>
      <c r="T16" s="2011"/>
      <c r="U16" s="2012"/>
      <c r="V16" s="902" t="s">
        <v>239</v>
      </c>
      <c r="W16" s="902" t="s">
        <v>240</v>
      </c>
      <c r="X16" s="902" t="s">
        <v>239</v>
      </c>
      <c r="Y16" s="902" t="s">
        <v>241</v>
      </c>
      <c r="Z16" s="902" t="s">
        <v>242</v>
      </c>
      <c r="AA16" s="903" t="s">
        <v>243</v>
      </c>
      <c r="AB16" s="866"/>
      <c r="AC16" s="2011"/>
      <c r="AD16" s="2012"/>
      <c r="AE16" s="902" t="s">
        <v>239</v>
      </c>
      <c r="AF16" s="902" t="s">
        <v>240</v>
      </c>
      <c r="AG16" s="902" t="s">
        <v>239</v>
      </c>
      <c r="AH16" s="902" t="s">
        <v>241</v>
      </c>
      <c r="AI16" s="902" t="s">
        <v>242</v>
      </c>
      <c r="AJ16" s="903" t="s">
        <v>243</v>
      </c>
      <c r="AK16" s="866"/>
      <c r="AL16" s="2011"/>
      <c r="AM16" s="2012"/>
      <c r="AN16" s="902" t="s">
        <v>239</v>
      </c>
      <c r="AO16" s="902" t="s">
        <v>240</v>
      </c>
      <c r="AP16" s="902" t="s">
        <v>239</v>
      </c>
      <c r="AQ16" s="902" t="s">
        <v>241</v>
      </c>
      <c r="AR16" s="902" t="s">
        <v>242</v>
      </c>
      <c r="AS16" s="903" t="s">
        <v>243</v>
      </c>
      <c r="AT16" s="866"/>
      <c r="AU16" s="2011"/>
      <c r="AV16" s="2012"/>
      <c r="AW16" s="902" t="s">
        <v>239</v>
      </c>
      <c r="AX16" s="902" t="s">
        <v>240</v>
      </c>
      <c r="AY16" s="902" t="s">
        <v>239</v>
      </c>
      <c r="AZ16" s="902" t="s">
        <v>241</v>
      </c>
      <c r="BA16" s="902" t="s">
        <v>242</v>
      </c>
      <c r="BB16" s="903" t="s">
        <v>243</v>
      </c>
      <c r="BC16" s="866"/>
      <c r="BD16" s="2011"/>
      <c r="BE16" s="2012"/>
      <c r="BF16" s="902" t="s">
        <v>239</v>
      </c>
      <c r="BG16" s="902" t="s">
        <v>240</v>
      </c>
      <c r="BH16" s="902" t="s">
        <v>239</v>
      </c>
      <c r="BI16" s="902" t="s">
        <v>241</v>
      </c>
      <c r="BJ16" s="902" t="s">
        <v>242</v>
      </c>
      <c r="BK16" s="903" t="s">
        <v>243</v>
      </c>
      <c r="BL16" s="866"/>
      <c r="BM16" s="2011"/>
      <c r="BN16" s="2012"/>
      <c r="BO16" s="902" t="s">
        <v>239</v>
      </c>
      <c r="BP16" s="902" t="s">
        <v>240</v>
      </c>
      <c r="BQ16" s="902" t="s">
        <v>239</v>
      </c>
      <c r="BR16" s="902" t="s">
        <v>241</v>
      </c>
      <c r="BS16" s="902" t="s">
        <v>242</v>
      </c>
      <c r="BT16" s="903" t="s">
        <v>243</v>
      </c>
      <c r="BU16" s="866"/>
      <c r="BV16" s="2011"/>
      <c r="BW16" s="2012"/>
      <c r="BX16" s="902" t="s">
        <v>239</v>
      </c>
      <c r="BY16" s="902" t="s">
        <v>240</v>
      </c>
      <c r="BZ16" s="902" t="s">
        <v>239</v>
      </c>
      <c r="CA16" s="902" t="s">
        <v>241</v>
      </c>
      <c r="CB16" s="902" t="s">
        <v>242</v>
      </c>
      <c r="CC16" s="903" t="s">
        <v>243</v>
      </c>
      <c r="CD16" s="866"/>
      <c r="CE16" s="2011"/>
      <c r="CF16" s="2012"/>
      <c r="CG16" s="902" t="s">
        <v>239</v>
      </c>
      <c r="CH16" s="902" t="s">
        <v>240</v>
      </c>
      <c r="CI16" s="902" t="s">
        <v>239</v>
      </c>
      <c r="CJ16" s="902" t="s">
        <v>241</v>
      </c>
      <c r="CK16" s="902" t="s">
        <v>242</v>
      </c>
      <c r="CL16" s="903" t="s">
        <v>243</v>
      </c>
      <c r="CM16" s="182"/>
    </row>
    <row r="17" spans="1:91" ht="15.75" thickBot="1" x14ac:dyDescent="0.3">
      <c r="A17" s="866"/>
      <c r="B17" s="2013"/>
      <c r="C17" s="2014"/>
      <c r="D17" s="904"/>
      <c r="E17" s="904"/>
      <c r="F17" s="904"/>
      <c r="G17" s="904"/>
      <c r="H17" s="904"/>
      <c r="I17" s="905" t="s">
        <v>246</v>
      </c>
      <c r="J17" s="866"/>
      <c r="K17" s="2011"/>
      <c r="L17" s="2012"/>
      <c r="M17" s="906"/>
      <c r="N17" s="906"/>
      <c r="O17" s="906"/>
      <c r="P17" s="906"/>
      <c r="Q17" s="906"/>
      <c r="R17" s="903" t="s">
        <v>246</v>
      </c>
      <c r="S17" s="866"/>
      <c r="T17" s="2011"/>
      <c r="U17" s="2012"/>
      <c r="V17" s="906"/>
      <c r="W17" s="906"/>
      <c r="X17" s="906"/>
      <c r="Y17" s="906"/>
      <c r="Z17" s="906"/>
      <c r="AA17" s="903" t="s">
        <v>246</v>
      </c>
      <c r="AB17" s="866"/>
      <c r="AC17" s="2011"/>
      <c r="AD17" s="2012"/>
      <c r="AE17" s="906"/>
      <c r="AF17" s="906"/>
      <c r="AG17" s="906"/>
      <c r="AH17" s="906"/>
      <c r="AI17" s="906"/>
      <c r="AJ17" s="903" t="s">
        <v>246</v>
      </c>
      <c r="AK17" s="866"/>
      <c r="AL17" s="2011"/>
      <c r="AM17" s="2012"/>
      <c r="AN17" s="906"/>
      <c r="AO17" s="906"/>
      <c r="AP17" s="906"/>
      <c r="AQ17" s="906"/>
      <c r="AR17" s="906"/>
      <c r="AS17" s="903" t="s">
        <v>246</v>
      </c>
      <c r="AT17" s="866"/>
      <c r="AU17" s="2011"/>
      <c r="AV17" s="2012"/>
      <c r="AW17" s="906"/>
      <c r="AX17" s="906"/>
      <c r="AY17" s="906"/>
      <c r="AZ17" s="906"/>
      <c r="BA17" s="906"/>
      <c r="BB17" s="903" t="s">
        <v>246</v>
      </c>
      <c r="BC17" s="866"/>
      <c r="BD17" s="2011"/>
      <c r="BE17" s="2012"/>
      <c r="BF17" s="906"/>
      <c r="BG17" s="906"/>
      <c r="BH17" s="906"/>
      <c r="BI17" s="906"/>
      <c r="BJ17" s="906"/>
      <c r="BK17" s="903" t="s">
        <v>246</v>
      </c>
      <c r="BL17" s="866"/>
      <c r="BM17" s="2011"/>
      <c r="BN17" s="2012"/>
      <c r="BO17" s="906"/>
      <c r="BP17" s="906"/>
      <c r="BQ17" s="906"/>
      <c r="BR17" s="906"/>
      <c r="BS17" s="906"/>
      <c r="BT17" s="903" t="s">
        <v>246</v>
      </c>
      <c r="BU17" s="866"/>
      <c r="BV17" s="2011"/>
      <c r="BW17" s="2012"/>
      <c r="BX17" s="906"/>
      <c r="BY17" s="906"/>
      <c r="BZ17" s="906"/>
      <c r="CA17" s="906"/>
      <c r="CB17" s="906"/>
      <c r="CC17" s="903" t="s">
        <v>246</v>
      </c>
      <c r="CD17" s="866"/>
      <c r="CE17" s="2011"/>
      <c r="CF17" s="2012"/>
      <c r="CG17" s="906"/>
      <c r="CH17" s="906"/>
      <c r="CI17" s="906"/>
      <c r="CJ17" s="906"/>
      <c r="CK17" s="906"/>
      <c r="CL17" s="903" t="s">
        <v>246</v>
      </c>
      <c r="CM17" s="182"/>
    </row>
    <row r="18" spans="1:91" x14ac:dyDescent="0.25">
      <c r="A18" s="14"/>
      <c r="B18" s="907" t="s">
        <v>248</v>
      </c>
      <c r="C18" s="908" t="s">
        <v>249</v>
      </c>
      <c r="D18" s="909">
        <f>E5</f>
        <v>0</v>
      </c>
      <c r="E18" s="910">
        <f t="shared" ref="E18:E49" si="0">IF(OR(B18-B$18&lt;E$7,B18-B$18&gt;=E$6),0,IF(E$10="Semestral",E$5/(E$11-E$7*2),IF(C18="II",E$5/(E$11-E$7),0)))</f>
        <v>0</v>
      </c>
      <c r="F18" s="909">
        <f>D18-E18</f>
        <v>0</v>
      </c>
      <c r="G18" s="909">
        <f t="shared" ref="G18:G49" si="1">IF(E$10="Semestral",D18*E$13,IF(C18="II",D18*E$13,0))</f>
        <v>0</v>
      </c>
      <c r="H18" s="909">
        <f>G18*Pressupostos!$C$30</f>
        <v>0</v>
      </c>
      <c r="I18" s="911">
        <f t="shared" ref="I18:I49" si="2">SUM(G18:H18)</f>
        <v>0</v>
      </c>
      <c r="J18" s="14"/>
      <c r="K18" s="912" t="s">
        <v>248</v>
      </c>
      <c r="L18" s="913" t="s">
        <v>249</v>
      </c>
      <c r="M18" s="914">
        <f>N5</f>
        <v>0</v>
      </c>
      <c r="N18" s="915">
        <f t="shared" ref="N18:N49" si="3">IF(OR(K18-K$18&lt;N$7,K18-K$18&gt;=N$6),0,N$5/(N$11-N$7*2))</f>
        <v>0</v>
      </c>
      <c r="O18" s="914">
        <f>M18-N18</f>
        <v>0</v>
      </c>
      <c r="P18" s="914">
        <f t="shared" ref="P18:P49" si="4">M18*N$13</f>
        <v>0</v>
      </c>
      <c r="Q18" s="914">
        <f>P18*Pressupostos!$C$30</f>
        <v>0</v>
      </c>
      <c r="R18" s="916">
        <f t="shared" ref="R18:R49" si="5">SUM(P18:Q18)</f>
        <v>0</v>
      </c>
      <c r="S18" s="14"/>
      <c r="T18" s="912" t="s">
        <v>248</v>
      </c>
      <c r="U18" s="913" t="s">
        <v>249</v>
      </c>
      <c r="V18" s="914">
        <f>W5</f>
        <v>0</v>
      </c>
      <c r="W18" s="915">
        <f t="shared" ref="W18:W49" si="6">IF(OR(T18-T$18&lt;W$7,T18-T$18&gt;=W$6),0,W$5/(W$11-W$7*2))</f>
        <v>0</v>
      </c>
      <c r="X18" s="914">
        <f>V18-W18</f>
        <v>0</v>
      </c>
      <c r="Y18" s="914">
        <f t="shared" ref="Y18:Y49" si="7">V18*W$13</f>
        <v>0</v>
      </c>
      <c r="Z18" s="914">
        <f>Y18*Pressupostos!$C$30</f>
        <v>0</v>
      </c>
      <c r="AA18" s="916">
        <f t="shared" ref="AA18:AA49" si="8">SUM(Y18:Z18)</f>
        <v>0</v>
      </c>
      <c r="AB18" s="14"/>
      <c r="AC18" s="912" t="s">
        <v>248</v>
      </c>
      <c r="AD18" s="913" t="s">
        <v>249</v>
      </c>
      <c r="AE18" s="914">
        <f>AF5</f>
        <v>0</v>
      </c>
      <c r="AF18" s="915">
        <f t="shared" ref="AF18:AF49" si="9">IF(OR(AC18-AC$18&lt;AF$7,AC18-AC$18&gt;=AF$6),0,AF$5/(AF$11-AF$7*2))</f>
        <v>0</v>
      </c>
      <c r="AG18" s="914">
        <f>AE18-AF18</f>
        <v>0</v>
      </c>
      <c r="AH18" s="914">
        <f t="shared" ref="AH18:AH49" si="10">AE18*AF$13</f>
        <v>0</v>
      </c>
      <c r="AI18" s="914">
        <f>AH18*Pressupostos!$C$30</f>
        <v>0</v>
      </c>
      <c r="AJ18" s="916">
        <f t="shared" ref="AJ18:AJ49" si="11">SUM(AH18:AI18)</f>
        <v>0</v>
      </c>
      <c r="AK18" s="14"/>
      <c r="AL18" s="912" t="s">
        <v>248</v>
      </c>
      <c r="AM18" s="913" t="s">
        <v>249</v>
      </c>
      <c r="AN18" s="914">
        <f>AO5</f>
        <v>0</v>
      </c>
      <c r="AO18" s="915">
        <f t="shared" ref="AO18:AO49" si="12">IF(OR(AL18-AL$18&lt;AO$7,AL18-AL$18&gt;=AO$6),0,AO$5/(AO$11-AO$7*2))</f>
        <v>0</v>
      </c>
      <c r="AP18" s="914">
        <f>AN18-AO18</f>
        <v>0</v>
      </c>
      <c r="AQ18" s="914">
        <f t="shared" ref="AQ18:AQ49" si="13">AN18*AO$13</f>
        <v>0</v>
      </c>
      <c r="AR18" s="914">
        <f>AQ18*Pressupostos!$C$30</f>
        <v>0</v>
      </c>
      <c r="AS18" s="916">
        <f t="shared" ref="AS18:AS49" si="14">SUM(AQ18:AR18)</f>
        <v>0</v>
      </c>
      <c r="AT18" s="14"/>
      <c r="AU18" s="912" t="s">
        <v>248</v>
      </c>
      <c r="AV18" s="913" t="s">
        <v>249</v>
      </c>
      <c r="AW18" s="914">
        <f>AX5</f>
        <v>0</v>
      </c>
      <c r="AX18" s="915">
        <f t="shared" ref="AX18:AX49" si="15">IF(OR(AU18-AU$18&lt;AX$7,AU18-AU$18&gt;=AX$6),0,AX$5/(AX$11-AX$7*2))</f>
        <v>0</v>
      </c>
      <c r="AY18" s="914">
        <f>AW18-AX18</f>
        <v>0</v>
      </c>
      <c r="AZ18" s="914">
        <f t="shared" ref="AZ18:AZ49" si="16">AW18*AX$13</f>
        <v>0</v>
      </c>
      <c r="BA18" s="914">
        <f>AZ18*Pressupostos!$C$30</f>
        <v>0</v>
      </c>
      <c r="BB18" s="916">
        <f t="shared" ref="BB18:BB49" si="17">SUM(AZ18:BA18)</f>
        <v>0</v>
      </c>
      <c r="BC18" s="14"/>
      <c r="BD18" s="912" t="s">
        <v>248</v>
      </c>
      <c r="BE18" s="913" t="s">
        <v>249</v>
      </c>
      <c r="BF18" s="914">
        <f>BG5</f>
        <v>0</v>
      </c>
      <c r="BG18" s="915">
        <f t="shared" ref="BG18:BG49" si="18">IF(OR(BD18-BD$18&lt;BG$7,BD18-BD$18&gt;=BG$6),0,BG$5/(BG$11-BG$7*2))</f>
        <v>0</v>
      </c>
      <c r="BH18" s="914">
        <f>BF18-BG18</f>
        <v>0</v>
      </c>
      <c r="BI18" s="914">
        <f t="shared" ref="BI18:BI49" si="19">BF18*BG$13</f>
        <v>0</v>
      </c>
      <c r="BJ18" s="914">
        <f>BI18*Pressupostos!$C$30</f>
        <v>0</v>
      </c>
      <c r="BK18" s="916">
        <f t="shared" ref="BK18:BK49" si="20">SUM(BI18:BJ18)</f>
        <v>0</v>
      </c>
      <c r="BL18" s="14"/>
      <c r="BM18" s="912" t="s">
        <v>248</v>
      </c>
      <c r="BN18" s="913" t="s">
        <v>249</v>
      </c>
      <c r="BO18" s="914">
        <f>BP5</f>
        <v>0</v>
      </c>
      <c r="BP18" s="915">
        <f t="shared" ref="BP18:BP49" si="21">IF(OR(BM18-BM$18&lt;BP$7,BM18-BM$18&gt;=BP$6),0,BP$5/(BP$11-BP$7*2))</f>
        <v>0</v>
      </c>
      <c r="BQ18" s="914">
        <f>BO18-BP18</f>
        <v>0</v>
      </c>
      <c r="BR18" s="914">
        <f t="shared" ref="BR18:BR49" si="22">BO18*BP$13</f>
        <v>0</v>
      </c>
      <c r="BS18" s="914">
        <f>BR18*Pressupostos!$C$30</f>
        <v>0</v>
      </c>
      <c r="BT18" s="916">
        <f t="shared" ref="BT18:BT49" si="23">SUM(BR18:BS18)</f>
        <v>0</v>
      </c>
      <c r="BU18" s="14"/>
      <c r="BV18" s="912" t="s">
        <v>248</v>
      </c>
      <c r="BW18" s="913" t="s">
        <v>249</v>
      </c>
      <c r="BX18" s="914">
        <f>BY5</f>
        <v>0</v>
      </c>
      <c r="BY18" s="915">
        <f t="shared" ref="BY18:BY49" si="24">IF(OR(BV18-BV$18&lt;BY$7,BV18-BV$18&gt;=BY$6),0,BY$5/(BY$11-BY$7*2))</f>
        <v>0</v>
      </c>
      <c r="BZ18" s="914">
        <f>BX18-BY18</f>
        <v>0</v>
      </c>
      <c r="CA18" s="914">
        <f t="shared" ref="CA18:CA49" si="25">BX18*BY$13</f>
        <v>0</v>
      </c>
      <c r="CB18" s="914">
        <f>CA18*Pressupostos!$C$30</f>
        <v>0</v>
      </c>
      <c r="CC18" s="916">
        <f t="shared" ref="CC18:CC49" si="26">SUM(CA18:CB18)</f>
        <v>0</v>
      </c>
      <c r="CD18" s="14"/>
      <c r="CE18" s="912" t="s">
        <v>248</v>
      </c>
      <c r="CF18" s="913" t="s">
        <v>249</v>
      </c>
      <c r="CG18" s="914">
        <f>CH5</f>
        <v>0</v>
      </c>
      <c r="CH18" s="915">
        <f t="shared" ref="CH18:CH49" si="27">IF(OR(CE18-CE$18&lt;CH$7,CE18-CE$18&gt;=CH$6),0,CH$5/(CH$11-CH$7*2))</f>
        <v>0</v>
      </c>
      <c r="CI18" s="914">
        <f>CG18-CH18</f>
        <v>0</v>
      </c>
      <c r="CJ18" s="914">
        <f t="shared" ref="CJ18:CJ49" si="28">CG18*CH$13</f>
        <v>0</v>
      </c>
      <c r="CK18" s="914">
        <f>CJ18*Pressupostos!$C$30</f>
        <v>0</v>
      </c>
      <c r="CL18" s="916">
        <f t="shared" ref="CL18:CL49" si="29">SUM(CJ18:CK18)</f>
        <v>0</v>
      </c>
      <c r="CM18" s="182"/>
    </row>
    <row r="19" spans="1:91" x14ac:dyDescent="0.25">
      <c r="A19" s="14"/>
      <c r="B19" s="917" t="s">
        <v>248</v>
      </c>
      <c r="C19" s="918" t="s">
        <v>250</v>
      </c>
      <c r="D19" s="919">
        <f>D18-E18</f>
        <v>0</v>
      </c>
      <c r="E19" s="920">
        <f t="shared" si="0"/>
        <v>0</v>
      </c>
      <c r="F19" s="919">
        <f>D19-E19</f>
        <v>0</v>
      </c>
      <c r="G19" s="919">
        <f t="shared" si="1"/>
        <v>0</v>
      </c>
      <c r="H19" s="909">
        <f>G19*Pressupostos!$C$30</f>
        <v>0</v>
      </c>
      <c r="I19" s="921">
        <f t="shared" si="2"/>
        <v>0</v>
      </c>
      <c r="J19" s="279"/>
      <c r="K19" s="917" t="s">
        <v>248</v>
      </c>
      <c r="L19" s="918" t="s">
        <v>250</v>
      </c>
      <c r="M19" s="919">
        <f>O18</f>
        <v>0</v>
      </c>
      <c r="N19" s="920">
        <f t="shared" si="3"/>
        <v>0</v>
      </c>
      <c r="O19" s="919">
        <f>M19-N19</f>
        <v>0</v>
      </c>
      <c r="P19" s="919">
        <f t="shared" si="4"/>
        <v>0</v>
      </c>
      <c r="Q19" s="919">
        <f>P19*Pressupostos!$C$30</f>
        <v>0</v>
      </c>
      <c r="R19" s="921">
        <f t="shared" si="5"/>
        <v>0</v>
      </c>
      <c r="S19" s="14"/>
      <c r="T19" s="917" t="s">
        <v>248</v>
      </c>
      <c r="U19" s="918" t="s">
        <v>250</v>
      </c>
      <c r="V19" s="919">
        <f>X18</f>
        <v>0</v>
      </c>
      <c r="W19" s="920">
        <f t="shared" si="6"/>
        <v>0</v>
      </c>
      <c r="X19" s="919">
        <f>V19-W19</f>
        <v>0</v>
      </c>
      <c r="Y19" s="919">
        <f t="shared" si="7"/>
        <v>0</v>
      </c>
      <c r="Z19" s="919">
        <f>Y19*Pressupostos!$C$30</f>
        <v>0</v>
      </c>
      <c r="AA19" s="921">
        <f t="shared" si="8"/>
        <v>0</v>
      </c>
      <c r="AB19" s="14"/>
      <c r="AC19" s="917" t="s">
        <v>248</v>
      </c>
      <c r="AD19" s="918" t="s">
        <v>250</v>
      </c>
      <c r="AE19" s="919">
        <f>AG18</f>
        <v>0</v>
      </c>
      <c r="AF19" s="920">
        <f t="shared" si="9"/>
        <v>0</v>
      </c>
      <c r="AG19" s="919">
        <f>AE19-AF19</f>
        <v>0</v>
      </c>
      <c r="AH19" s="919">
        <f t="shared" si="10"/>
        <v>0</v>
      </c>
      <c r="AI19" s="919">
        <f>AH19*Pressupostos!$C$30</f>
        <v>0</v>
      </c>
      <c r="AJ19" s="921">
        <f t="shared" si="11"/>
        <v>0</v>
      </c>
      <c r="AK19" s="14"/>
      <c r="AL19" s="917" t="s">
        <v>248</v>
      </c>
      <c r="AM19" s="918" t="s">
        <v>250</v>
      </c>
      <c r="AN19" s="919">
        <f>AP18</f>
        <v>0</v>
      </c>
      <c r="AO19" s="920">
        <f t="shared" si="12"/>
        <v>0</v>
      </c>
      <c r="AP19" s="919">
        <f>AN19-AO19</f>
        <v>0</v>
      </c>
      <c r="AQ19" s="919">
        <f t="shared" si="13"/>
        <v>0</v>
      </c>
      <c r="AR19" s="919">
        <f>AQ19*Pressupostos!$C$30</f>
        <v>0</v>
      </c>
      <c r="AS19" s="921">
        <f t="shared" si="14"/>
        <v>0</v>
      </c>
      <c r="AT19" s="14"/>
      <c r="AU19" s="917" t="s">
        <v>248</v>
      </c>
      <c r="AV19" s="918" t="s">
        <v>250</v>
      </c>
      <c r="AW19" s="919">
        <f>AY18</f>
        <v>0</v>
      </c>
      <c r="AX19" s="920">
        <f t="shared" si="15"/>
        <v>0</v>
      </c>
      <c r="AY19" s="919">
        <f>AW19-AX19</f>
        <v>0</v>
      </c>
      <c r="AZ19" s="919">
        <f t="shared" si="16"/>
        <v>0</v>
      </c>
      <c r="BA19" s="919">
        <f>AZ19*Pressupostos!$C$30</f>
        <v>0</v>
      </c>
      <c r="BB19" s="921">
        <f t="shared" si="17"/>
        <v>0</v>
      </c>
      <c r="BC19" s="14"/>
      <c r="BD19" s="917" t="s">
        <v>248</v>
      </c>
      <c r="BE19" s="918" t="s">
        <v>250</v>
      </c>
      <c r="BF19" s="919">
        <f>BH18</f>
        <v>0</v>
      </c>
      <c r="BG19" s="920">
        <f t="shared" si="18"/>
        <v>0</v>
      </c>
      <c r="BH19" s="919">
        <f>BF19-BG19</f>
        <v>0</v>
      </c>
      <c r="BI19" s="919">
        <f t="shared" si="19"/>
        <v>0</v>
      </c>
      <c r="BJ19" s="919">
        <f>BI19*Pressupostos!$C$30</f>
        <v>0</v>
      </c>
      <c r="BK19" s="921">
        <f t="shared" si="20"/>
        <v>0</v>
      </c>
      <c r="BL19" s="14"/>
      <c r="BM19" s="917" t="s">
        <v>248</v>
      </c>
      <c r="BN19" s="918" t="s">
        <v>250</v>
      </c>
      <c r="BO19" s="919">
        <f>BQ18</f>
        <v>0</v>
      </c>
      <c r="BP19" s="920">
        <f t="shared" si="21"/>
        <v>0</v>
      </c>
      <c r="BQ19" s="919">
        <f>BO19-BP19</f>
        <v>0</v>
      </c>
      <c r="BR19" s="919">
        <f t="shared" si="22"/>
        <v>0</v>
      </c>
      <c r="BS19" s="919">
        <f>BR19*Pressupostos!$C$30</f>
        <v>0</v>
      </c>
      <c r="BT19" s="921">
        <f t="shared" si="23"/>
        <v>0</v>
      </c>
      <c r="BU19" s="14"/>
      <c r="BV19" s="917" t="s">
        <v>248</v>
      </c>
      <c r="BW19" s="918" t="s">
        <v>250</v>
      </c>
      <c r="BX19" s="919">
        <f>BZ18</f>
        <v>0</v>
      </c>
      <c r="BY19" s="920">
        <f t="shared" si="24"/>
        <v>0</v>
      </c>
      <c r="BZ19" s="919">
        <f>BX19-BY19</f>
        <v>0</v>
      </c>
      <c r="CA19" s="919">
        <f t="shared" si="25"/>
        <v>0</v>
      </c>
      <c r="CB19" s="919">
        <f>CA19*Pressupostos!$C$30</f>
        <v>0</v>
      </c>
      <c r="CC19" s="921">
        <f t="shared" si="26"/>
        <v>0</v>
      </c>
      <c r="CD19" s="14"/>
      <c r="CE19" s="917" t="s">
        <v>248</v>
      </c>
      <c r="CF19" s="918" t="s">
        <v>250</v>
      </c>
      <c r="CG19" s="919">
        <f>CI18</f>
        <v>0</v>
      </c>
      <c r="CH19" s="920">
        <f t="shared" si="27"/>
        <v>0</v>
      </c>
      <c r="CI19" s="919">
        <f>CG19-CH19</f>
        <v>0</v>
      </c>
      <c r="CJ19" s="919">
        <f t="shared" si="28"/>
        <v>0</v>
      </c>
      <c r="CK19" s="919">
        <f>CJ19*Pressupostos!$C$30</f>
        <v>0</v>
      </c>
      <c r="CL19" s="921">
        <f t="shared" si="29"/>
        <v>0</v>
      </c>
      <c r="CM19" s="182"/>
    </row>
    <row r="20" spans="1:91" x14ac:dyDescent="0.25">
      <c r="A20" s="14"/>
      <c r="B20" s="917">
        <f>B19+1</f>
        <v>2</v>
      </c>
      <c r="C20" s="918" t="s">
        <v>249</v>
      </c>
      <c r="D20" s="919">
        <f t="shared" ref="D20:D48" si="30">D19-E19</f>
        <v>0</v>
      </c>
      <c r="E20" s="920">
        <f t="shared" si="0"/>
        <v>0</v>
      </c>
      <c r="F20" s="919">
        <f>D20-E20</f>
        <v>0</v>
      </c>
      <c r="G20" s="919">
        <f t="shared" si="1"/>
        <v>0</v>
      </c>
      <c r="H20" s="909">
        <f>G20*Pressupostos!$C$30</f>
        <v>0</v>
      </c>
      <c r="I20" s="921">
        <f t="shared" si="2"/>
        <v>0</v>
      </c>
      <c r="J20" s="279"/>
      <c r="K20" s="917">
        <f>K19+1</f>
        <v>2</v>
      </c>
      <c r="L20" s="918" t="s">
        <v>249</v>
      </c>
      <c r="M20" s="919">
        <f>N5</f>
        <v>0</v>
      </c>
      <c r="N20" s="920">
        <f t="shared" si="3"/>
        <v>0</v>
      </c>
      <c r="O20" s="919">
        <f>M20-N20</f>
        <v>0</v>
      </c>
      <c r="P20" s="919">
        <f t="shared" si="4"/>
        <v>0</v>
      </c>
      <c r="Q20" s="919">
        <f>P20*Pressupostos!$C$30</f>
        <v>0</v>
      </c>
      <c r="R20" s="921">
        <f t="shared" si="5"/>
        <v>0</v>
      </c>
      <c r="S20" s="14"/>
      <c r="T20" s="917">
        <f>T19+1</f>
        <v>2</v>
      </c>
      <c r="U20" s="918" t="s">
        <v>249</v>
      </c>
      <c r="V20" s="919">
        <f>W5</f>
        <v>0</v>
      </c>
      <c r="W20" s="920">
        <f t="shared" si="6"/>
        <v>0</v>
      </c>
      <c r="X20" s="919">
        <f>V20-W20</f>
        <v>0</v>
      </c>
      <c r="Y20" s="919">
        <f t="shared" si="7"/>
        <v>0</v>
      </c>
      <c r="Z20" s="919">
        <f>Y20*Pressupostos!$C$30</f>
        <v>0</v>
      </c>
      <c r="AA20" s="921">
        <f t="shared" si="8"/>
        <v>0</v>
      </c>
      <c r="AB20" s="14"/>
      <c r="AC20" s="917">
        <f>AC19+1</f>
        <v>2</v>
      </c>
      <c r="AD20" s="918" t="s">
        <v>249</v>
      </c>
      <c r="AE20" s="919">
        <f>AF5</f>
        <v>0</v>
      </c>
      <c r="AF20" s="920">
        <f t="shared" si="9"/>
        <v>0</v>
      </c>
      <c r="AG20" s="919">
        <f>AE20-AF20</f>
        <v>0</v>
      </c>
      <c r="AH20" s="919">
        <f t="shared" si="10"/>
        <v>0</v>
      </c>
      <c r="AI20" s="919">
        <f>AH20*Pressupostos!$C$30</f>
        <v>0</v>
      </c>
      <c r="AJ20" s="921">
        <f t="shared" si="11"/>
        <v>0</v>
      </c>
      <c r="AK20" s="14"/>
      <c r="AL20" s="917">
        <f>AL19+1</f>
        <v>2</v>
      </c>
      <c r="AM20" s="918" t="s">
        <v>249</v>
      </c>
      <c r="AN20" s="919">
        <f>AO5</f>
        <v>0</v>
      </c>
      <c r="AO20" s="920">
        <f t="shared" si="12"/>
        <v>0</v>
      </c>
      <c r="AP20" s="919">
        <f>AN20-AO20</f>
        <v>0</v>
      </c>
      <c r="AQ20" s="919">
        <f t="shared" si="13"/>
        <v>0</v>
      </c>
      <c r="AR20" s="919">
        <f>AQ20*Pressupostos!$C$30</f>
        <v>0</v>
      </c>
      <c r="AS20" s="921">
        <f t="shared" si="14"/>
        <v>0</v>
      </c>
      <c r="AT20" s="14"/>
      <c r="AU20" s="917">
        <f>AU19+1</f>
        <v>2</v>
      </c>
      <c r="AV20" s="918" t="s">
        <v>249</v>
      </c>
      <c r="AW20" s="919">
        <f>AX5</f>
        <v>0</v>
      </c>
      <c r="AX20" s="920">
        <f t="shared" si="15"/>
        <v>0</v>
      </c>
      <c r="AY20" s="919">
        <f>AW20-AX20</f>
        <v>0</v>
      </c>
      <c r="AZ20" s="919">
        <f t="shared" si="16"/>
        <v>0</v>
      </c>
      <c r="BA20" s="919">
        <f>AZ20*Pressupostos!$C$30</f>
        <v>0</v>
      </c>
      <c r="BB20" s="921">
        <f t="shared" si="17"/>
        <v>0</v>
      </c>
      <c r="BC20" s="14"/>
      <c r="BD20" s="917">
        <f>BD19+1</f>
        <v>2</v>
      </c>
      <c r="BE20" s="918" t="s">
        <v>249</v>
      </c>
      <c r="BF20" s="919">
        <f>BG5</f>
        <v>0</v>
      </c>
      <c r="BG20" s="920">
        <f t="shared" si="18"/>
        <v>0</v>
      </c>
      <c r="BH20" s="919">
        <f>BF20-BG20</f>
        <v>0</v>
      </c>
      <c r="BI20" s="919">
        <f t="shared" si="19"/>
        <v>0</v>
      </c>
      <c r="BJ20" s="919">
        <f>BI20*Pressupostos!$C$30</f>
        <v>0</v>
      </c>
      <c r="BK20" s="921">
        <f t="shared" si="20"/>
        <v>0</v>
      </c>
      <c r="BL20" s="14"/>
      <c r="BM20" s="917">
        <f>BM19+1</f>
        <v>2</v>
      </c>
      <c r="BN20" s="918" t="s">
        <v>249</v>
      </c>
      <c r="BO20" s="919">
        <f>BP5</f>
        <v>0</v>
      </c>
      <c r="BP20" s="920">
        <f t="shared" si="21"/>
        <v>0</v>
      </c>
      <c r="BQ20" s="919">
        <f>BO20-BP20</f>
        <v>0</v>
      </c>
      <c r="BR20" s="919">
        <f t="shared" si="22"/>
        <v>0</v>
      </c>
      <c r="BS20" s="919">
        <f>BR20*Pressupostos!$C$30</f>
        <v>0</v>
      </c>
      <c r="BT20" s="921">
        <f t="shared" si="23"/>
        <v>0</v>
      </c>
      <c r="BU20" s="14"/>
      <c r="BV20" s="917">
        <f>BV19+1</f>
        <v>2</v>
      </c>
      <c r="BW20" s="918" t="s">
        <v>249</v>
      </c>
      <c r="BX20" s="919">
        <f>BY5</f>
        <v>0</v>
      </c>
      <c r="BY20" s="920">
        <f t="shared" si="24"/>
        <v>0</v>
      </c>
      <c r="BZ20" s="919">
        <f>BX20-BY20</f>
        <v>0</v>
      </c>
      <c r="CA20" s="919">
        <f t="shared" si="25"/>
        <v>0</v>
      </c>
      <c r="CB20" s="919">
        <f>CA20*Pressupostos!$C$30</f>
        <v>0</v>
      </c>
      <c r="CC20" s="921">
        <f t="shared" si="26"/>
        <v>0</v>
      </c>
      <c r="CD20" s="14"/>
      <c r="CE20" s="917">
        <f>CE19+1</f>
        <v>2</v>
      </c>
      <c r="CF20" s="918" t="s">
        <v>249</v>
      </c>
      <c r="CG20" s="919">
        <f>CH5</f>
        <v>0</v>
      </c>
      <c r="CH20" s="920">
        <f t="shared" si="27"/>
        <v>0</v>
      </c>
      <c r="CI20" s="919">
        <f>CG20-CH20</f>
        <v>0</v>
      </c>
      <c r="CJ20" s="919">
        <f t="shared" si="28"/>
        <v>0</v>
      </c>
      <c r="CK20" s="919">
        <f>CJ20*Pressupostos!$C$30</f>
        <v>0</v>
      </c>
      <c r="CL20" s="921">
        <f t="shared" si="29"/>
        <v>0</v>
      </c>
      <c r="CM20" s="182"/>
    </row>
    <row r="21" spans="1:91" x14ac:dyDescent="0.25">
      <c r="A21" s="14"/>
      <c r="B21" s="917">
        <f>B20</f>
        <v>2</v>
      </c>
      <c r="C21" s="918" t="s">
        <v>250</v>
      </c>
      <c r="D21" s="919">
        <f t="shared" si="30"/>
        <v>0</v>
      </c>
      <c r="E21" s="920">
        <f t="shared" si="0"/>
        <v>0</v>
      </c>
      <c r="F21" s="919">
        <f>D20-E20-E21</f>
        <v>0</v>
      </c>
      <c r="G21" s="919">
        <f t="shared" si="1"/>
        <v>0</v>
      </c>
      <c r="H21" s="909">
        <f>G21*Pressupostos!$C$30</f>
        <v>0</v>
      </c>
      <c r="I21" s="921">
        <f t="shared" si="2"/>
        <v>0</v>
      </c>
      <c r="J21" s="279"/>
      <c r="K21" s="917">
        <f>K20</f>
        <v>2</v>
      </c>
      <c r="L21" s="918" t="s">
        <v>250</v>
      </c>
      <c r="M21" s="919">
        <f t="shared" ref="M21:M48" si="31">M20-N20</f>
        <v>0</v>
      </c>
      <c r="N21" s="920">
        <f t="shared" si="3"/>
        <v>0</v>
      </c>
      <c r="O21" s="919">
        <f>M20-N20-N21</f>
        <v>0</v>
      </c>
      <c r="P21" s="919">
        <f t="shared" si="4"/>
        <v>0</v>
      </c>
      <c r="Q21" s="919">
        <f>P21*Pressupostos!$C$30</f>
        <v>0</v>
      </c>
      <c r="R21" s="921">
        <f t="shared" si="5"/>
        <v>0</v>
      </c>
      <c r="S21" s="14"/>
      <c r="T21" s="917">
        <f>T20</f>
        <v>2</v>
      </c>
      <c r="U21" s="918" t="s">
        <v>250</v>
      </c>
      <c r="V21" s="919">
        <f t="shared" ref="V21:V48" si="32">V20-W20</f>
        <v>0</v>
      </c>
      <c r="W21" s="920">
        <f t="shared" si="6"/>
        <v>0</v>
      </c>
      <c r="X21" s="919">
        <f>V20-W20-W21</f>
        <v>0</v>
      </c>
      <c r="Y21" s="919">
        <f t="shared" si="7"/>
        <v>0</v>
      </c>
      <c r="Z21" s="919">
        <f>Y21*Pressupostos!$C$30</f>
        <v>0</v>
      </c>
      <c r="AA21" s="921">
        <f t="shared" si="8"/>
        <v>0</v>
      </c>
      <c r="AB21" s="14"/>
      <c r="AC21" s="917">
        <f>AC20</f>
        <v>2</v>
      </c>
      <c r="AD21" s="918" t="s">
        <v>250</v>
      </c>
      <c r="AE21" s="919">
        <f t="shared" ref="AE21:AE48" si="33">AE20-AF20</f>
        <v>0</v>
      </c>
      <c r="AF21" s="920">
        <f t="shared" si="9"/>
        <v>0</v>
      </c>
      <c r="AG21" s="919">
        <f>AE20-AF20-AF21</f>
        <v>0</v>
      </c>
      <c r="AH21" s="919">
        <f t="shared" si="10"/>
        <v>0</v>
      </c>
      <c r="AI21" s="919">
        <f>AH21*Pressupostos!$C$30</f>
        <v>0</v>
      </c>
      <c r="AJ21" s="921">
        <f t="shared" si="11"/>
        <v>0</v>
      </c>
      <c r="AK21" s="14"/>
      <c r="AL21" s="917">
        <f>AL20</f>
        <v>2</v>
      </c>
      <c r="AM21" s="918" t="s">
        <v>250</v>
      </c>
      <c r="AN21" s="919">
        <f t="shared" ref="AN21:AN48" si="34">AN20-AO20</f>
        <v>0</v>
      </c>
      <c r="AO21" s="920">
        <f t="shared" si="12"/>
        <v>0</v>
      </c>
      <c r="AP21" s="919">
        <f>AN20-AO20-AO21</f>
        <v>0</v>
      </c>
      <c r="AQ21" s="919">
        <f t="shared" si="13"/>
        <v>0</v>
      </c>
      <c r="AR21" s="919">
        <f>AQ21*Pressupostos!$C$30</f>
        <v>0</v>
      </c>
      <c r="AS21" s="921">
        <f t="shared" si="14"/>
        <v>0</v>
      </c>
      <c r="AT21" s="14"/>
      <c r="AU21" s="917">
        <f>AU20</f>
        <v>2</v>
      </c>
      <c r="AV21" s="918" t="s">
        <v>250</v>
      </c>
      <c r="AW21" s="919">
        <f t="shared" ref="AW21:AW48" si="35">AW20-AX20</f>
        <v>0</v>
      </c>
      <c r="AX21" s="920">
        <f t="shared" si="15"/>
        <v>0</v>
      </c>
      <c r="AY21" s="919">
        <f>AW20-AX20-AX21</f>
        <v>0</v>
      </c>
      <c r="AZ21" s="919">
        <f t="shared" si="16"/>
        <v>0</v>
      </c>
      <c r="BA21" s="919">
        <f>AZ21*Pressupostos!$C$30</f>
        <v>0</v>
      </c>
      <c r="BB21" s="921">
        <f t="shared" si="17"/>
        <v>0</v>
      </c>
      <c r="BC21" s="14"/>
      <c r="BD21" s="917">
        <f>BD20</f>
        <v>2</v>
      </c>
      <c r="BE21" s="918" t="s">
        <v>250</v>
      </c>
      <c r="BF21" s="919">
        <f t="shared" ref="BF21:BF48" si="36">BF20-BG20</f>
        <v>0</v>
      </c>
      <c r="BG21" s="920">
        <f t="shared" si="18"/>
        <v>0</v>
      </c>
      <c r="BH21" s="919">
        <f>BF20-BG20-BG21</f>
        <v>0</v>
      </c>
      <c r="BI21" s="919">
        <f t="shared" si="19"/>
        <v>0</v>
      </c>
      <c r="BJ21" s="919">
        <f>BI21*Pressupostos!$C$30</f>
        <v>0</v>
      </c>
      <c r="BK21" s="921">
        <f t="shared" si="20"/>
        <v>0</v>
      </c>
      <c r="BL21" s="14"/>
      <c r="BM21" s="917">
        <f>BM20</f>
        <v>2</v>
      </c>
      <c r="BN21" s="918" t="s">
        <v>250</v>
      </c>
      <c r="BO21" s="919">
        <f t="shared" ref="BO21:BO48" si="37">BO20-BP20</f>
        <v>0</v>
      </c>
      <c r="BP21" s="920">
        <f t="shared" si="21"/>
        <v>0</v>
      </c>
      <c r="BQ21" s="919">
        <f>BO20-BP20-BP21</f>
        <v>0</v>
      </c>
      <c r="BR21" s="919">
        <f t="shared" si="22"/>
        <v>0</v>
      </c>
      <c r="BS21" s="919">
        <f>BR21*Pressupostos!$C$30</f>
        <v>0</v>
      </c>
      <c r="BT21" s="921">
        <f t="shared" si="23"/>
        <v>0</v>
      </c>
      <c r="BU21" s="14"/>
      <c r="BV21" s="917">
        <f>BV20</f>
        <v>2</v>
      </c>
      <c r="BW21" s="918" t="s">
        <v>250</v>
      </c>
      <c r="BX21" s="919">
        <f t="shared" ref="BX21:BX48" si="38">BX20-BY20</f>
        <v>0</v>
      </c>
      <c r="BY21" s="920">
        <f t="shared" si="24"/>
        <v>0</v>
      </c>
      <c r="BZ21" s="919">
        <f>BX20-BY20-BY21</f>
        <v>0</v>
      </c>
      <c r="CA21" s="919">
        <f t="shared" si="25"/>
        <v>0</v>
      </c>
      <c r="CB21" s="919">
        <f>CA21*Pressupostos!$C$30</f>
        <v>0</v>
      </c>
      <c r="CC21" s="921">
        <f t="shared" si="26"/>
        <v>0</v>
      </c>
      <c r="CD21" s="14"/>
      <c r="CE21" s="917">
        <f>CE20</f>
        <v>2</v>
      </c>
      <c r="CF21" s="918" t="s">
        <v>250</v>
      </c>
      <c r="CG21" s="919">
        <f t="shared" ref="CG21:CG48" si="39">CG20-CH20</f>
        <v>0</v>
      </c>
      <c r="CH21" s="920">
        <f t="shared" si="27"/>
        <v>0</v>
      </c>
      <c r="CI21" s="919">
        <f>CG20-CH20-CH21</f>
        <v>0</v>
      </c>
      <c r="CJ21" s="919">
        <f t="shared" si="28"/>
        <v>0</v>
      </c>
      <c r="CK21" s="919">
        <f>CJ21*Pressupostos!$C$30</f>
        <v>0</v>
      </c>
      <c r="CL21" s="921">
        <f t="shared" si="29"/>
        <v>0</v>
      </c>
      <c r="CM21" s="182"/>
    </row>
    <row r="22" spans="1:91" x14ac:dyDescent="0.25">
      <c r="A22" s="14"/>
      <c r="B22" s="917">
        <f>B21+1</f>
        <v>3</v>
      </c>
      <c r="C22" s="918" t="s">
        <v>249</v>
      </c>
      <c r="D22" s="919">
        <f t="shared" si="30"/>
        <v>0</v>
      </c>
      <c r="E22" s="920">
        <f t="shared" si="0"/>
        <v>0</v>
      </c>
      <c r="F22" s="919">
        <f>D22-E22</f>
        <v>0</v>
      </c>
      <c r="G22" s="919">
        <f t="shared" si="1"/>
        <v>0</v>
      </c>
      <c r="H22" s="909">
        <f>G22*Pressupostos!$C$30</f>
        <v>0</v>
      </c>
      <c r="I22" s="921">
        <f t="shared" si="2"/>
        <v>0</v>
      </c>
      <c r="J22" s="279"/>
      <c r="K22" s="917">
        <f>K21+1</f>
        <v>3</v>
      </c>
      <c r="L22" s="918" t="s">
        <v>249</v>
      </c>
      <c r="M22" s="919">
        <f t="shared" si="31"/>
        <v>0</v>
      </c>
      <c r="N22" s="920">
        <f t="shared" si="3"/>
        <v>0</v>
      </c>
      <c r="O22" s="919">
        <f>M22-N22</f>
        <v>0</v>
      </c>
      <c r="P22" s="919">
        <f t="shared" si="4"/>
        <v>0</v>
      </c>
      <c r="Q22" s="919">
        <f>P22*Pressupostos!$C$30</f>
        <v>0</v>
      </c>
      <c r="R22" s="921">
        <f t="shared" si="5"/>
        <v>0</v>
      </c>
      <c r="S22" s="14"/>
      <c r="T22" s="917">
        <f>T21+1</f>
        <v>3</v>
      </c>
      <c r="U22" s="918" t="s">
        <v>249</v>
      </c>
      <c r="V22" s="919">
        <f t="shared" si="32"/>
        <v>0</v>
      </c>
      <c r="W22" s="920">
        <f t="shared" si="6"/>
        <v>0</v>
      </c>
      <c r="X22" s="919">
        <f>V22-W22</f>
        <v>0</v>
      </c>
      <c r="Y22" s="919">
        <f t="shared" si="7"/>
        <v>0</v>
      </c>
      <c r="Z22" s="919">
        <f>Y22*Pressupostos!$C$30</f>
        <v>0</v>
      </c>
      <c r="AA22" s="921">
        <f t="shared" si="8"/>
        <v>0</v>
      </c>
      <c r="AB22" s="14"/>
      <c r="AC22" s="917">
        <f>AC21+1</f>
        <v>3</v>
      </c>
      <c r="AD22" s="918" t="s">
        <v>249</v>
      </c>
      <c r="AE22" s="919">
        <f t="shared" si="33"/>
        <v>0</v>
      </c>
      <c r="AF22" s="920">
        <f t="shared" si="9"/>
        <v>0</v>
      </c>
      <c r="AG22" s="919">
        <f>AE22-AF22</f>
        <v>0</v>
      </c>
      <c r="AH22" s="919">
        <f t="shared" si="10"/>
        <v>0</v>
      </c>
      <c r="AI22" s="919">
        <f>AH22*Pressupostos!$C$30</f>
        <v>0</v>
      </c>
      <c r="AJ22" s="921">
        <f t="shared" si="11"/>
        <v>0</v>
      </c>
      <c r="AK22" s="14"/>
      <c r="AL22" s="917">
        <f>AL21+1</f>
        <v>3</v>
      </c>
      <c r="AM22" s="918" t="s">
        <v>249</v>
      </c>
      <c r="AN22" s="919">
        <f t="shared" si="34"/>
        <v>0</v>
      </c>
      <c r="AO22" s="920">
        <f t="shared" si="12"/>
        <v>0</v>
      </c>
      <c r="AP22" s="919">
        <f>AN22-AO22</f>
        <v>0</v>
      </c>
      <c r="AQ22" s="919">
        <f t="shared" si="13"/>
        <v>0</v>
      </c>
      <c r="AR22" s="919">
        <f>AQ22*Pressupostos!$C$30</f>
        <v>0</v>
      </c>
      <c r="AS22" s="921">
        <f t="shared" si="14"/>
        <v>0</v>
      </c>
      <c r="AT22" s="14"/>
      <c r="AU22" s="917">
        <f>AU21+1</f>
        <v>3</v>
      </c>
      <c r="AV22" s="918" t="s">
        <v>249</v>
      </c>
      <c r="AW22" s="919">
        <f t="shared" si="35"/>
        <v>0</v>
      </c>
      <c r="AX22" s="920">
        <f t="shared" si="15"/>
        <v>0</v>
      </c>
      <c r="AY22" s="919">
        <f>AW22-AX22</f>
        <v>0</v>
      </c>
      <c r="AZ22" s="919">
        <f t="shared" si="16"/>
        <v>0</v>
      </c>
      <c r="BA22" s="919">
        <f>AZ22*Pressupostos!$C$30</f>
        <v>0</v>
      </c>
      <c r="BB22" s="921">
        <f t="shared" si="17"/>
        <v>0</v>
      </c>
      <c r="BC22" s="14"/>
      <c r="BD22" s="917">
        <f>BD21+1</f>
        <v>3</v>
      </c>
      <c r="BE22" s="918" t="s">
        <v>249</v>
      </c>
      <c r="BF22" s="919">
        <f t="shared" si="36"/>
        <v>0</v>
      </c>
      <c r="BG22" s="920">
        <f t="shared" si="18"/>
        <v>0</v>
      </c>
      <c r="BH22" s="919">
        <f>BF22-BG22</f>
        <v>0</v>
      </c>
      <c r="BI22" s="919">
        <f t="shared" si="19"/>
        <v>0</v>
      </c>
      <c r="BJ22" s="919">
        <f>BI22*Pressupostos!$C$30</f>
        <v>0</v>
      </c>
      <c r="BK22" s="921">
        <f t="shared" si="20"/>
        <v>0</v>
      </c>
      <c r="BL22" s="14"/>
      <c r="BM22" s="917">
        <f>BM21+1</f>
        <v>3</v>
      </c>
      <c r="BN22" s="918" t="s">
        <v>249</v>
      </c>
      <c r="BO22" s="919">
        <f t="shared" si="37"/>
        <v>0</v>
      </c>
      <c r="BP22" s="920">
        <f t="shared" si="21"/>
        <v>0</v>
      </c>
      <c r="BQ22" s="919">
        <f>BO22-BP22</f>
        <v>0</v>
      </c>
      <c r="BR22" s="919">
        <f t="shared" si="22"/>
        <v>0</v>
      </c>
      <c r="BS22" s="919">
        <f>BR22*Pressupostos!$C$30</f>
        <v>0</v>
      </c>
      <c r="BT22" s="921">
        <f t="shared" si="23"/>
        <v>0</v>
      </c>
      <c r="BU22" s="14"/>
      <c r="BV22" s="917">
        <f>BV21+1</f>
        <v>3</v>
      </c>
      <c r="BW22" s="918" t="s">
        <v>249</v>
      </c>
      <c r="BX22" s="919">
        <f t="shared" si="38"/>
        <v>0</v>
      </c>
      <c r="BY22" s="920">
        <f t="shared" si="24"/>
        <v>0</v>
      </c>
      <c r="BZ22" s="919">
        <f>BX22-BY22</f>
        <v>0</v>
      </c>
      <c r="CA22" s="919">
        <f t="shared" si="25"/>
        <v>0</v>
      </c>
      <c r="CB22" s="919">
        <f>CA22*Pressupostos!$C$30</f>
        <v>0</v>
      </c>
      <c r="CC22" s="921">
        <f t="shared" si="26"/>
        <v>0</v>
      </c>
      <c r="CD22" s="14"/>
      <c r="CE22" s="917">
        <f>CE21+1</f>
        <v>3</v>
      </c>
      <c r="CF22" s="918" t="s">
        <v>249</v>
      </c>
      <c r="CG22" s="919">
        <f t="shared" si="39"/>
        <v>0</v>
      </c>
      <c r="CH22" s="920">
        <f t="shared" si="27"/>
        <v>0</v>
      </c>
      <c r="CI22" s="919">
        <f>CG22-CH22</f>
        <v>0</v>
      </c>
      <c r="CJ22" s="919">
        <f t="shared" si="28"/>
        <v>0</v>
      </c>
      <c r="CK22" s="919">
        <f>CJ22*Pressupostos!$C$30</f>
        <v>0</v>
      </c>
      <c r="CL22" s="921">
        <f t="shared" si="29"/>
        <v>0</v>
      </c>
      <c r="CM22" s="182"/>
    </row>
    <row r="23" spans="1:91" x14ac:dyDescent="0.25">
      <c r="A23" s="14"/>
      <c r="B23" s="917">
        <f>B22</f>
        <v>3</v>
      </c>
      <c r="C23" s="918" t="s">
        <v>250</v>
      </c>
      <c r="D23" s="919">
        <f t="shared" si="30"/>
        <v>0</v>
      </c>
      <c r="E23" s="920">
        <f t="shared" si="0"/>
        <v>0</v>
      </c>
      <c r="F23" s="919">
        <f>D22-E22-E23</f>
        <v>0</v>
      </c>
      <c r="G23" s="919">
        <f t="shared" si="1"/>
        <v>0</v>
      </c>
      <c r="H23" s="909">
        <f>G23*Pressupostos!$C$30</f>
        <v>0</v>
      </c>
      <c r="I23" s="921">
        <f t="shared" si="2"/>
        <v>0</v>
      </c>
      <c r="J23" s="279"/>
      <c r="K23" s="917">
        <f>K22</f>
        <v>3</v>
      </c>
      <c r="L23" s="918" t="s">
        <v>250</v>
      </c>
      <c r="M23" s="919">
        <f t="shared" si="31"/>
        <v>0</v>
      </c>
      <c r="N23" s="920">
        <f t="shared" si="3"/>
        <v>0</v>
      </c>
      <c r="O23" s="919">
        <f>M22-N22-N23</f>
        <v>0</v>
      </c>
      <c r="P23" s="919">
        <f t="shared" si="4"/>
        <v>0</v>
      </c>
      <c r="Q23" s="919">
        <f>P23*Pressupostos!$C$30</f>
        <v>0</v>
      </c>
      <c r="R23" s="921">
        <f t="shared" si="5"/>
        <v>0</v>
      </c>
      <c r="S23" s="14"/>
      <c r="T23" s="917">
        <f>T22</f>
        <v>3</v>
      </c>
      <c r="U23" s="918" t="s">
        <v>250</v>
      </c>
      <c r="V23" s="919">
        <f t="shared" si="32"/>
        <v>0</v>
      </c>
      <c r="W23" s="920">
        <f t="shared" si="6"/>
        <v>0</v>
      </c>
      <c r="X23" s="919">
        <f>V22-W22-W23</f>
        <v>0</v>
      </c>
      <c r="Y23" s="919">
        <f t="shared" si="7"/>
        <v>0</v>
      </c>
      <c r="Z23" s="919">
        <f>Y23*Pressupostos!$C$30</f>
        <v>0</v>
      </c>
      <c r="AA23" s="921">
        <f t="shared" si="8"/>
        <v>0</v>
      </c>
      <c r="AB23" s="14"/>
      <c r="AC23" s="917">
        <f>AC22</f>
        <v>3</v>
      </c>
      <c r="AD23" s="918" t="s">
        <v>250</v>
      </c>
      <c r="AE23" s="919">
        <f t="shared" si="33"/>
        <v>0</v>
      </c>
      <c r="AF23" s="920">
        <f t="shared" si="9"/>
        <v>0</v>
      </c>
      <c r="AG23" s="919">
        <f>AE22-AF22-AF23</f>
        <v>0</v>
      </c>
      <c r="AH23" s="919">
        <f t="shared" si="10"/>
        <v>0</v>
      </c>
      <c r="AI23" s="919">
        <f>AH23*Pressupostos!$C$30</f>
        <v>0</v>
      </c>
      <c r="AJ23" s="921">
        <f t="shared" si="11"/>
        <v>0</v>
      </c>
      <c r="AK23" s="14"/>
      <c r="AL23" s="917">
        <f>AL22</f>
        <v>3</v>
      </c>
      <c r="AM23" s="918" t="s">
        <v>250</v>
      </c>
      <c r="AN23" s="919">
        <f t="shared" si="34"/>
        <v>0</v>
      </c>
      <c r="AO23" s="920">
        <f t="shared" si="12"/>
        <v>0</v>
      </c>
      <c r="AP23" s="919">
        <f>AN22-AO22-AO23</f>
        <v>0</v>
      </c>
      <c r="AQ23" s="919">
        <f t="shared" si="13"/>
        <v>0</v>
      </c>
      <c r="AR23" s="919">
        <f>AQ23*Pressupostos!$C$30</f>
        <v>0</v>
      </c>
      <c r="AS23" s="921">
        <f t="shared" si="14"/>
        <v>0</v>
      </c>
      <c r="AT23" s="14"/>
      <c r="AU23" s="917">
        <f>AU22</f>
        <v>3</v>
      </c>
      <c r="AV23" s="918" t="s">
        <v>250</v>
      </c>
      <c r="AW23" s="919">
        <f t="shared" si="35"/>
        <v>0</v>
      </c>
      <c r="AX23" s="920">
        <f t="shared" si="15"/>
        <v>0</v>
      </c>
      <c r="AY23" s="919">
        <f>AW22-AX22-AX23</f>
        <v>0</v>
      </c>
      <c r="AZ23" s="919">
        <f t="shared" si="16"/>
        <v>0</v>
      </c>
      <c r="BA23" s="919">
        <f>AZ23*Pressupostos!$C$30</f>
        <v>0</v>
      </c>
      <c r="BB23" s="921">
        <f t="shared" si="17"/>
        <v>0</v>
      </c>
      <c r="BC23" s="14"/>
      <c r="BD23" s="917">
        <f>BD22</f>
        <v>3</v>
      </c>
      <c r="BE23" s="918" t="s">
        <v>250</v>
      </c>
      <c r="BF23" s="919">
        <f t="shared" si="36"/>
        <v>0</v>
      </c>
      <c r="BG23" s="920">
        <f t="shared" si="18"/>
        <v>0</v>
      </c>
      <c r="BH23" s="919">
        <f>BF22-BG22-BG23</f>
        <v>0</v>
      </c>
      <c r="BI23" s="919">
        <f t="shared" si="19"/>
        <v>0</v>
      </c>
      <c r="BJ23" s="919">
        <f>BI23*Pressupostos!$C$30</f>
        <v>0</v>
      </c>
      <c r="BK23" s="921">
        <f t="shared" si="20"/>
        <v>0</v>
      </c>
      <c r="BL23" s="14"/>
      <c r="BM23" s="917">
        <f>BM22</f>
        <v>3</v>
      </c>
      <c r="BN23" s="918" t="s">
        <v>250</v>
      </c>
      <c r="BO23" s="919">
        <f t="shared" si="37"/>
        <v>0</v>
      </c>
      <c r="BP23" s="920">
        <f t="shared" si="21"/>
        <v>0</v>
      </c>
      <c r="BQ23" s="919">
        <f>BO22-BP22-BP23</f>
        <v>0</v>
      </c>
      <c r="BR23" s="919">
        <f t="shared" si="22"/>
        <v>0</v>
      </c>
      <c r="BS23" s="919">
        <f>BR23*Pressupostos!$C$30</f>
        <v>0</v>
      </c>
      <c r="BT23" s="921">
        <f t="shared" si="23"/>
        <v>0</v>
      </c>
      <c r="BU23" s="14"/>
      <c r="BV23" s="917">
        <f>BV22</f>
        <v>3</v>
      </c>
      <c r="BW23" s="918" t="s">
        <v>250</v>
      </c>
      <c r="BX23" s="919">
        <f t="shared" si="38"/>
        <v>0</v>
      </c>
      <c r="BY23" s="920">
        <f t="shared" si="24"/>
        <v>0</v>
      </c>
      <c r="BZ23" s="919">
        <f>BX22-BY22-BY23</f>
        <v>0</v>
      </c>
      <c r="CA23" s="919">
        <f t="shared" si="25"/>
        <v>0</v>
      </c>
      <c r="CB23" s="919">
        <f>CA23*Pressupostos!$C$30</f>
        <v>0</v>
      </c>
      <c r="CC23" s="921">
        <f t="shared" si="26"/>
        <v>0</v>
      </c>
      <c r="CD23" s="14"/>
      <c r="CE23" s="917">
        <f>CE22</f>
        <v>3</v>
      </c>
      <c r="CF23" s="918" t="s">
        <v>250</v>
      </c>
      <c r="CG23" s="919">
        <f t="shared" si="39"/>
        <v>0</v>
      </c>
      <c r="CH23" s="920">
        <f t="shared" si="27"/>
        <v>0</v>
      </c>
      <c r="CI23" s="919">
        <f>CG22-CH22-CH23</f>
        <v>0</v>
      </c>
      <c r="CJ23" s="919">
        <f t="shared" si="28"/>
        <v>0</v>
      </c>
      <c r="CK23" s="919">
        <f>CJ23*Pressupostos!$C$30</f>
        <v>0</v>
      </c>
      <c r="CL23" s="921">
        <f t="shared" si="29"/>
        <v>0</v>
      </c>
      <c r="CM23" s="182"/>
    </row>
    <row r="24" spans="1:91" x14ac:dyDescent="0.25">
      <c r="A24" s="14"/>
      <c r="B24" s="917">
        <f>B23+1</f>
        <v>4</v>
      </c>
      <c r="C24" s="918" t="s">
        <v>249</v>
      </c>
      <c r="D24" s="919">
        <f t="shared" si="30"/>
        <v>0</v>
      </c>
      <c r="E24" s="920">
        <f t="shared" si="0"/>
        <v>0</v>
      </c>
      <c r="F24" s="919">
        <f>D24-E24</f>
        <v>0</v>
      </c>
      <c r="G24" s="919">
        <f t="shared" si="1"/>
        <v>0</v>
      </c>
      <c r="H24" s="909">
        <f>G24*Pressupostos!$C$30</f>
        <v>0</v>
      </c>
      <c r="I24" s="921">
        <f t="shared" si="2"/>
        <v>0</v>
      </c>
      <c r="J24" s="279"/>
      <c r="K24" s="917">
        <f>K23+1</f>
        <v>4</v>
      </c>
      <c r="L24" s="918" t="s">
        <v>249</v>
      </c>
      <c r="M24" s="919">
        <f t="shared" si="31"/>
        <v>0</v>
      </c>
      <c r="N24" s="920">
        <f t="shared" si="3"/>
        <v>0</v>
      </c>
      <c r="O24" s="919">
        <f>M24-N24</f>
        <v>0</v>
      </c>
      <c r="P24" s="919">
        <f t="shared" si="4"/>
        <v>0</v>
      </c>
      <c r="Q24" s="919">
        <f>P24*Pressupostos!$C$30</f>
        <v>0</v>
      </c>
      <c r="R24" s="921">
        <f t="shared" si="5"/>
        <v>0</v>
      </c>
      <c r="S24" s="14"/>
      <c r="T24" s="917">
        <f>T23+1</f>
        <v>4</v>
      </c>
      <c r="U24" s="918" t="s">
        <v>249</v>
      </c>
      <c r="V24" s="919">
        <f t="shared" si="32"/>
        <v>0</v>
      </c>
      <c r="W24" s="920">
        <f t="shared" si="6"/>
        <v>0</v>
      </c>
      <c r="X24" s="919">
        <f>V24-W24</f>
        <v>0</v>
      </c>
      <c r="Y24" s="919">
        <f t="shared" si="7"/>
        <v>0</v>
      </c>
      <c r="Z24" s="919">
        <f>Y24*Pressupostos!$C$30</f>
        <v>0</v>
      </c>
      <c r="AA24" s="921">
        <f t="shared" si="8"/>
        <v>0</v>
      </c>
      <c r="AB24" s="14"/>
      <c r="AC24" s="917">
        <f>AC23+1</f>
        <v>4</v>
      </c>
      <c r="AD24" s="918" t="s">
        <v>249</v>
      </c>
      <c r="AE24" s="919">
        <f t="shared" si="33"/>
        <v>0</v>
      </c>
      <c r="AF24" s="920">
        <f t="shared" si="9"/>
        <v>0</v>
      </c>
      <c r="AG24" s="919">
        <f>AE24-AF24</f>
        <v>0</v>
      </c>
      <c r="AH24" s="919">
        <f t="shared" si="10"/>
        <v>0</v>
      </c>
      <c r="AI24" s="919">
        <f>AH24*Pressupostos!$C$30</f>
        <v>0</v>
      </c>
      <c r="AJ24" s="921">
        <f t="shared" si="11"/>
        <v>0</v>
      </c>
      <c r="AK24" s="14"/>
      <c r="AL24" s="917">
        <f>AL23+1</f>
        <v>4</v>
      </c>
      <c r="AM24" s="918" t="s">
        <v>249</v>
      </c>
      <c r="AN24" s="919">
        <f t="shared" si="34"/>
        <v>0</v>
      </c>
      <c r="AO24" s="920">
        <f t="shared" si="12"/>
        <v>0</v>
      </c>
      <c r="AP24" s="919">
        <f>AN24-AO24</f>
        <v>0</v>
      </c>
      <c r="AQ24" s="919">
        <f t="shared" si="13"/>
        <v>0</v>
      </c>
      <c r="AR24" s="919">
        <f>AQ24*Pressupostos!$C$30</f>
        <v>0</v>
      </c>
      <c r="AS24" s="921">
        <f t="shared" si="14"/>
        <v>0</v>
      </c>
      <c r="AT24" s="14"/>
      <c r="AU24" s="917">
        <f>AU23+1</f>
        <v>4</v>
      </c>
      <c r="AV24" s="918" t="s">
        <v>249</v>
      </c>
      <c r="AW24" s="919">
        <f t="shared" si="35"/>
        <v>0</v>
      </c>
      <c r="AX24" s="920">
        <f t="shared" si="15"/>
        <v>0</v>
      </c>
      <c r="AY24" s="919">
        <f>AW24-AX24</f>
        <v>0</v>
      </c>
      <c r="AZ24" s="919">
        <f t="shared" si="16"/>
        <v>0</v>
      </c>
      <c r="BA24" s="919">
        <f>AZ24*Pressupostos!$C$30</f>
        <v>0</v>
      </c>
      <c r="BB24" s="921">
        <f t="shared" si="17"/>
        <v>0</v>
      </c>
      <c r="BC24" s="14"/>
      <c r="BD24" s="917">
        <f>BD23+1</f>
        <v>4</v>
      </c>
      <c r="BE24" s="918" t="s">
        <v>249</v>
      </c>
      <c r="BF24" s="919">
        <f t="shared" si="36"/>
        <v>0</v>
      </c>
      <c r="BG24" s="920">
        <f t="shared" si="18"/>
        <v>0</v>
      </c>
      <c r="BH24" s="919">
        <f>BF24-BG24</f>
        <v>0</v>
      </c>
      <c r="BI24" s="919">
        <f t="shared" si="19"/>
        <v>0</v>
      </c>
      <c r="BJ24" s="919">
        <f>BI24*Pressupostos!$C$30</f>
        <v>0</v>
      </c>
      <c r="BK24" s="921">
        <f t="shared" si="20"/>
        <v>0</v>
      </c>
      <c r="BL24" s="14"/>
      <c r="BM24" s="917">
        <f>BM23+1</f>
        <v>4</v>
      </c>
      <c r="BN24" s="918" t="s">
        <v>249</v>
      </c>
      <c r="BO24" s="919">
        <f t="shared" si="37"/>
        <v>0</v>
      </c>
      <c r="BP24" s="920">
        <f t="shared" si="21"/>
        <v>0</v>
      </c>
      <c r="BQ24" s="919">
        <f>BO24-BP24</f>
        <v>0</v>
      </c>
      <c r="BR24" s="919">
        <f t="shared" si="22"/>
        <v>0</v>
      </c>
      <c r="BS24" s="919">
        <f>BR24*Pressupostos!$C$30</f>
        <v>0</v>
      </c>
      <c r="BT24" s="921">
        <f t="shared" si="23"/>
        <v>0</v>
      </c>
      <c r="BU24" s="14"/>
      <c r="BV24" s="917">
        <f>BV23+1</f>
        <v>4</v>
      </c>
      <c r="BW24" s="918" t="s">
        <v>249</v>
      </c>
      <c r="BX24" s="919">
        <f t="shared" si="38"/>
        <v>0</v>
      </c>
      <c r="BY24" s="920">
        <f t="shared" si="24"/>
        <v>0</v>
      </c>
      <c r="BZ24" s="919">
        <f>BX24-BY24</f>
        <v>0</v>
      </c>
      <c r="CA24" s="919">
        <f t="shared" si="25"/>
        <v>0</v>
      </c>
      <c r="CB24" s="919">
        <f>CA24*Pressupostos!$C$30</f>
        <v>0</v>
      </c>
      <c r="CC24" s="921">
        <f t="shared" si="26"/>
        <v>0</v>
      </c>
      <c r="CD24" s="14"/>
      <c r="CE24" s="917">
        <f>CE23+1</f>
        <v>4</v>
      </c>
      <c r="CF24" s="918" t="s">
        <v>249</v>
      </c>
      <c r="CG24" s="919">
        <f t="shared" si="39"/>
        <v>0</v>
      </c>
      <c r="CH24" s="920">
        <f t="shared" si="27"/>
        <v>0</v>
      </c>
      <c r="CI24" s="919">
        <f>CG24-CH24</f>
        <v>0</v>
      </c>
      <c r="CJ24" s="919">
        <f t="shared" si="28"/>
        <v>0</v>
      </c>
      <c r="CK24" s="919">
        <f>CJ24*Pressupostos!$C$30</f>
        <v>0</v>
      </c>
      <c r="CL24" s="921">
        <f t="shared" si="29"/>
        <v>0</v>
      </c>
      <c r="CM24" s="182"/>
    </row>
    <row r="25" spans="1:91" x14ac:dyDescent="0.25">
      <c r="A25" s="14"/>
      <c r="B25" s="917">
        <f>B24</f>
        <v>4</v>
      </c>
      <c r="C25" s="918" t="s">
        <v>250</v>
      </c>
      <c r="D25" s="919">
        <f t="shared" si="30"/>
        <v>0</v>
      </c>
      <c r="E25" s="920">
        <f t="shared" si="0"/>
        <v>0</v>
      </c>
      <c r="F25" s="919">
        <f>D24-E24-E25</f>
        <v>0</v>
      </c>
      <c r="G25" s="919">
        <f t="shared" si="1"/>
        <v>0</v>
      </c>
      <c r="H25" s="909">
        <f>G25*Pressupostos!$C$30</f>
        <v>0</v>
      </c>
      <c r="I25" s="921">
        <f t="shared" si="2"/>
        <v>0</v>
      </c>
      <c r="J25" s="279"/>
      <c r="K25" s="917">
        <f>K24</f>
        <v>4</v>
      </c>
      <c r="L25" s="918" t="s">
        <v>250</v>
      </c>
      <c r="M25" s="919">
        <f t="shared" si="31"/>
        <v>0</v>
      </c>
      <c r="N25" s="920">
        <f t="shared" si="3"/>
        <v>0</v>
      </c>
      <c r="O25" s="919">
        <f>M24-N24-N25</f>
        <v>0</v>
      </c>
      <c r="P25" s="919">
        <f t="shared" si="4"/>
        <v>0</v>
      </c>
      <c r="Q25" s="919">
        <f>P25*Pressupostos!$C$30</f>
        <v>0</v>
      </c>
      <c r="R25" s="921">
        <f t="shared" si="5"/>
        <v>0</v>
      </c>
      <c r="S25" s="14"/>
      <c r="T25" s="917">
        <f>T24</f>
        <v>4</v>
      </c>
      <c r="U25" s="918" t="s">
        <v>250</v>
      </c>
      <c r="V25" s="919">
        <f t="shared" si="32"/>
        <v>0</v>
      </c>
      <c r="W25" s="920">
        <f t="shared" si="6"/>
        <v>0</v>
      </c>
      <c r="X25" s="919">
        <f>V24-W24-W25</f>
        <v>0</v>
      </c>
      <c r="Y25" s="919">
        <f t="shared" si="7"/>
        <v>0</v>
      </c>
      <c r="Z25" s="919">
        <f>Y25*Pressupostos!$C$30</f>
        <v>0</v>
      </c>
      <c r="AA25" s="921">
        <f t="shared" si="8"/>
        <v>0</v>
      </c>
      <c r="AB25" s="14"/>
      <c r="AC25" s="917">
        <f>AC24</f>
        <v>4</v>
      </c>
      <c r="AD25" s="918" t="s">
        <v>250</v>
      </c>
      <c r="AE25" s="919">
        <f t="shared" si="33"/>
        <v>0</v>
      </c>
      <c r="AF25" s="920">
        <f t="shared" si="9"/>
        <v>0</v>
      </c>
      <c r="AG25" s="919">
        <f>AE24-AF24-AF25</f>
        <v>0</v>
      </c>
      <c r="AH25" s="919">
        <f t="shared" si="10"/>
        <v>0</v>
      </c>
      <c r="AI25" s="919">
        <f>AH25*Pressupostos!$C$30</f>
        <v>0</v>
      </c>
      <c r="AJ25" s="921">
        <f t="shared" si="11"/>
        <v>0</v>
      </c>
      <c r="AK25" s="14"/>
      <c r="AL25" s="917">
        <f>AL24</f>
        <v>4</v>
      </c>
      <c r="AM25" s="918" t="s">
        <v>250</v>
      </c>
      <c r="AN25" s="919">
        <f t="shared" si="34"/>
        <v>0</v>
      </c>
      <c r="AO25" s="920">
        <f t="shared" si="12"/>
        <v>0</v>
      </c>
      <c r="AP25" s="919">
        <f>AN24-AO24-AO25</f>
        <v>0</v>
      </c>
      <c r="AQ25" s="919">
        <f t="shared" si="13"/>
        <v>0</v>
      </c>
      <c r="AR25" s="919">
        <f>AQ25*Pressupostos!$C$30</f>
        <v>0</v>
      </c>
      <c r="AS25" s="921">
        <f t="shared" si="14"/>
        <v>0</v>
      </c>
      <c r="AT25" s="14"/>
      <c r="AU25" s="917">
        <f>AU24</f>
        <v>4</v>
      </c>
      <c r="AV25" s="918" t="s">
        <v>250</v>
      </c>
      <c r="AW25" s="919">
        <f t="shared" si="35"/>
        <v>0</v>
      </c>
      <c r="AX25" s="920">
        <f t="shared" si="15"/>
        <v>0</v>
      </c>
      <c r="AY25" s="919">
        <f>AW24-AX24-AX25</f>
        <v>0</v>
      </c>
      <c r="AZ25" s="919">
        <f t="shared" si="16"/>
        <v>0</v>
      </c>
      <c r="BA25" s="919">
        <f>AZ25*Pressupostos!$C$30</f>
        <v>0</v>
      </c>
      <c r="BB25" s="921">
        <f t="shared" si="17"/>
        <v>0</v>
      </c>
      <c r="BC25" s="14"/>
      <c r="BD25" s="917">
        <f>BD24</f>
        <v>4</v>
      </c>
      <c r="BE25" s="918" t="s">
        <v>250</v>
      </c>
      <c r="BF25" s="919">
        <f t="shared" si="36"/>
        <v>0</v>
      </c>
      <c r="BG25" s="920">
        <f t="shared" si="18"/>
        <v>0</v>
      </c>
      <c r="BH25" s="919">
        <f>BF24-BG24-BG25</f>
        <v>0</v>
      </c>
      <c r="BI25" s="919">
        <f t="shared" si="19"/>
        <v>0</v>
      </c>
      <c r="BJ25" s="919">
        <f>BI25*Pressupostos!$C$30</f>
        <v>0</v>
      </c>
      <c r="BK25" s="921">
        <f t="shared" si="20"/>
        <v>0</v>
      </c>
      <c r="BL25" s="14"/>
      <c r="BM25" s="917">
        <f>BM24</f>
        <v>4</v>
      </c>
      <c r="BN25" s="918" t="s">
        <v>250</v>
      </c>
      <c r="BO25" s="919">
        <f t="shared" si="37"/>
        <v>0</v>
      </c>
      <c r="BP25" s="920">
        <f t="shared" si="21"/>
        <v>0</v>
      </c>
      <c r="BQ25" s="919">
        <f>BO24-BP24-BP25</f>
        <v>0</v>
      </c>
      <c r="BR25" s="919">
        <f t="shared" si="22"/>
        <v>0</v>
      </c>
      <c r="BS25" s="919">
        <f>BR25*Pressupostos!$C$30</f>
        <v>0</v>
      </c>
      <c r="BT25" s="921">
        <f t="shared" si="23"/>
        <v>0</v>
      </c>
      <c r="BU25" s="14"/>
      <c r="BV25" s="917">
        <f>BV24</f>
        <v>4</v>
      </c>
      <c r="BW25" s="918" t="s">
        <v>250</v>
      </c>
      <c r="BX25" s="919">
        <f t="shared" si="38"/>
        <v>0</v>
      </c>
      <c r="BY25" s="920">
        <f t="shared" si="24"/>
        <v>0</v>
      </c>
      <c r="BZ25" s="919">
        <f>BX24-BY24-BY25</f>
        <v>0</v>
      </c>
      <c r="CA25" s="919">
        <f t="shared" si="25"/>
        <v>0</v>
      </c>
      <c r="CB25" s="919">
        <f>CA25*Pressupostos!$C$30</f>
        <v>0</v>
      </c>
      <c r="CC25" s="921">
        <f t="shared" si="26"/>
        <v>0</v>
      </c>
      <c r="CD25" s="14"/>
      <c r="CE25" s="917">
        <f>CE24</f>
        <v>4</v>
      </c>
      <c r="CF25" s="918" t="s">
        <v>250</v>
      </c>
      <c r="CG25" s="919">
        <f t="shared" si="39"/>
        <v>0</v>
      </c>
      <c r="CH25" s="920">
        <f t="shared" si="27"/>
        <v>0</v>
      </c>
      <c r="CI25" s="919">
        <f>CG24-CH24-CH25</f>
        <v>0</v>
      </c>
      <c r="CJ25" s="919">
        <f t="shared" si="28"/>
        <v>0</v>
      </c>
      <c r="CK25" s="919">
        <f>CJ25*Pressupostos!$C$30</f>
        <v>0</v>
      </c>
      <c r="CL25" s="921">
        <f t="shared" si="29"/>
        <v>0</v>
      </c>
      <c r="CM25" s="182"/>
    </row>
    <row r="26" spans="1:91" x14ac:dyDescent="0.25">
      <c r="A26" s="14"/>
      <c r="B26" s="917">
        <f>B25+1</f>
        <v>5</v>
      </c>
      <c r="C26" s="918" t="s">
        <v>249</v>
      </c>
      <c r="D26" s="919">
        <f t="shared" si="30"/>
        <v>0</v>
      </c>
      <c r="E26" s="920">
        <f t="shared" si="0"/>
        <v>0</v>
      </c>
      <c r="F26" s="919">
        <f>D26-E26</f>
        <v>0</v>
      </c>
      <c r="G26" s="919">
        <f t="shared" si="1"/>
        <v>0</v>
      </c>
      <c r="H26" s="909">
        <f>G26*Pressupostos!$C$30</f>
        <v>0</v>
      </c>
      <c r="I26" s="921">
        <f t="shared" si="2"/>
        <v>0</v>
      </c>
      <c r="J26" s="279"/>
      <c r="K26" s="917">
        <f>K25+1</f>
        <v>5</v>
      </c>
      <c r="L26" s="918" t="s">
        <v>249</v>
      </c>
      <c r="M26" s="919">
        <f t="shared" si="31"/>
        <v>0</v>
      </c>
      <c r="N26" s="920">
        <f t="shared" si="3"/>
        <v>0</v>
      </c>
      <c r="O26" s="919">
        <f>M26-N26</f>
        <v>0</v>
      </c>
      <c r="P26" s="919">
        <f t="shared" si="4"/>
        <v>0</v>
      </c>
      <c r="Q26" s="919">
        <f>P26*Pressupostos!$C$30</f>
        <v>0</v>
      </c>
      <c r="R26" s="921">
        <f t="shared" si="5"/>
        <v>0</v>
      </c>
      <c r="S26" s="14"/>
      <c r="T26" s="917">
        <f>T25+1</f>
        <v>5</v>
      </c>
      <c r="U26" s="918" t="s">
        <v>249</v>
      </c>
      <c r="V26" s="919">
        <f t="shared" si="32"/>
        <v>0</v>
      </c>
      <c r="W26" s="920">
        <f t="shared" si="6"/>
        <v>0</v>
      </c>
      <c r="X26" s="919">
        <f>V26-W26</f>
        <v>0</v>
      </c>
      <c r="Y26" s="919">
        <f t="shared" si="7"/>
        <v>0</v>
      </c>
      <c r="Z26" s="919">
        <f>Y26*Pressupostos!$C$30</f>
        <v>0</v>
      </c>
      <c r="AA26" s="921">
        <f t="shared" si="8"/>
        <v>0</v>
      </c>
      <c r="AB26" s="14"/>
      <c r="AC26" s="917">
        <f>AC25+1</f>
        <v>5</v>
      </c>
      <c r="AD26" s="918" t="s">
        <v>249</v>
      </c>
      <c r="AE26" s="919">
        <f t="shared" si="33"/>
        <v>0</v>
      </c>
      <c r="AF26" s="920">
        <f t="shared" si="9"/>
        <v>0</v>
      </c>
      <c r="AG26" s="919">
        <f>AE26-AF26</f>
        <v>0</v>
      </c>
      <c r="AH26" s="919">
        <f t="shared" si="10"/>
        <v>0</v>
      </c>
      <c r="AI26" s="919">
        <f>AH26*Pressupostos!$C$30</f>
        <v>0</v>
      </c>
      <c r="AJ26" s="921">
        <f t="shared" si="11"/>
        <v>0</v>
      </c>
      <c r="AK26" s="14"/>
      <c r="AL26" s="917">
        <f>AL25+1</f>
        <v>5</v>
      </c>
      <c r="AM26" s="918" t="s">
        <v>249</v>
      </c>
      <c r="AN26" s="919">
        <f t="shared" si="34"/>
        <v>0</v>
      </c>
      <c r="AO26" s="920">
        <f t="shared" si="12"/>
        <v>0</v>
      </c>
      <c r="AP26" s="919">
        <f>AN26-AO26</f>
        <v>0</v>
      </c>
      <c r="AQ26" s="919">
        <f t="shared" si="13"/>
        <v>0</v>
      </c>
      <c r="AR26" s="919">
        <f>AQ26*Pressupostos!$C$30</f>
        <v>0</v>
      </c>
      <c r="AS26" s="921">
        <f t="shared" si="14"/>
        <v>0</v>
      </c>
      <c r="AT26" s="14"/>
      <c r="AU26" s="917">
        <f>AU25+1</f>
        <v>5</v>
      </c>
      <c r="AV26" s="918" t="s">
        <v>249</v>
      </c>
      <c r="AW26" s="919">
        <f t="shared" si="35"/>
        <v>0</v>
      </c>
      <c r="AX26" s="920">
        <f t="shared" si="15"/>
        <v>0</v>
      </c>
      <c r="AY26" s="919">
        <f>AW26-AX26</f>
        <v>0</v>
      </c>
      <c r="AZ26" s="919">
        <f t="shared" si="16"/>
        <v>0</v>
      </c>
      <c r="BA26" s="919">
        <f>AZ26*Pressupostos!$C$30</f>
        <v>0</v>
      </c>
      <c r="BB26" s="921">
        <f t="shared" si="17"/>
        <v>0</v>
      </c>
      <c r="BC26" s="14"/>
      <c r="BD26" s="917">
        <f>BD25+1</f>
        <v>5</v>
      </c>
      <c r="BE26" s="918" t="s">
        <v>249</v>
      </c>
      <c r="BF26" s="919">
        <f t="shared" si="36"/>
        <v>0</v>
      </c>
      <c r="BG26" s="920">
        <f t="shared" si="18"/>
        <v>0</v>
      </c>
      <c r="BH26" s="919">
        <f>BF26-BG26</f>
        <v>0</v>
      </c>
      <c r="BI26" s="919">
        <f t="shared" si="19"/>
        <v>0</v>
      </c>
      <c r="BJ26" s="919">
        <f>BI26*Pressupostos!$C$30</f>
        <v>0</v>
      </c>
      <c r="BK26" s="921">
        <f t="shared" si="20"/>
        <v>0</v>
      </c>
      <c r="BL26" s="14"/>
      <c r="BM26" s="917">
        <f>BM25+1</f>
        <v>5</v>
      </c>
      <c r="BN26" s="918" t="s">
        <v>249</v>
      </c>
      <c r="BO26" s="919">
        <f t="shared" si="37"/>
        <v>0</v>
      </c>
      <c r="BP26" s="920">
        <f t="shared" si="21"/>
        <v>0</v>
      </c>
      <c r="BQ26" s="919">
        <f>BO26-BP26</f>
        <v>0</v>
      </c>
      <c r="BR26" s="919">
        <f t="shared" si="22"/>
        <v>0</v>
      </c>
      <c r="BS26" s="919">
        <f>BR26*Pressupostos!$C$30</f>
        <v>0</v>
      </c>
      <c r="BT26" s="921">
        <f t="shared" si="23"/>
        <v>0</v>
      </c>
      <c r="BU26" s="14"/>
      <c r="BV26" s="917">
        <f>BV25+1</f>
        <v>5</v>
      </c>
      <c r="BW26" s="918" t="s">
        <v>249</v>
      </c>
      <c r="BX26" s="919">
        <f t="shared" si="38"/>
        <v>0</v>
      </c>
      <c r="BY26" s="920">
        <f t="shared" si="24"/>
        <v>0</v>
      </c>
      <c r="BZ26" s="919">
        <f>BX26-BY26</f>
        <v>0</v>
      </c>
      <c r="CA26" s="919">
        <f t="shared" si="25"/>
        <v>0</v>
      </c>
      <c r="CB26" s="919">
        <f>CA26*Pressupostos!$C$30</f>
        <v>0</v>
      </c>
      <c r="CC26" s="921">
        <f t="shared" si="26"/>
        <v>0</v>
      </c>
      <c r="CD26" s="14"/>
      <c r="CE26" s="917">
        <f>CE25+1</f>
        <v>5</v>
      </c>
      <c r="CF26" s="918" t="s">
        <v>249</v>
      </c>
      <c r="CG26" s="919">
        <f t="shared" si="39"/>
        <v>0</v>
      </c>
      <c r="CH26" s="920">
        <f t="shared" si="27"/>
        <v>0</v>
      </c>
      <c r="CI26" s="919">
        <f>CG26-CH26</f>
        <v>0</v>
      </c>
      <c r="CJ26" s="919">
        <f t="shared" si="28"/>
        <v>0</v>
      </c>
      <c r="CK26" s="919">
        <f>CJ26*Pressupostos!$C$30</f>
        <v>0</v>
      </c>
      <c r="CL26" s="921">
        <f t="shared" si="29"/>
        <v>0</v>
      </c>
      <c r="CM26" s="182"/>
    </row>
    <row r="27" spans="1:91" x14ac:dyDescent="0.25">
      <c r="A27" s="14"/>
      <c r="B27" s="917">
        <f>B26</f>
        <v>5</v>
      </c>
      <c r="C27" s="918" t="s">
        <v>250</v>
      </c>
      <c r="D27" s="919">
        <f t="shared" si="30"/>
        <v>0</v>
      </c>
      <c r="E27" s="920">
        <f t="shared" si="0"/>
        <v>0</v>
      </c>
      <c r="F27" s="919">
        <f>D26-E26-E27</f>
        <v>0</v>
      </c>
      <c r="G27" s="919">
        <f t="shared" si="1"/>
        <v>0</v>
      </c>
      <c r="H27" s="909">
        <f>G27*Pressupostos!$C$30</f>
        <v>0</v>
      </c>
      <c r="I27" s="921">
        <f t="shared" si="2"/>
        <v>0</v>
      </c>
      <c r="J27" s="279"/>
      <c r="K27" s="917">
        <f>K26</f>
        <v>5</v>
      </c>
      <c r="L27" s="918" t="s">
        <v>250</v>
      </c>
      <c r="M27" s="919">
        <f t="shared" si="31"/>
        <v>0</v>
      </c>
      <c r="N27" s="920">
        <f t="shared" si="3"/>
        <v>0</v>
      </c>
      <c r="O27" s="919">
        <f>M26-N26-N27</f>
        <v>0</v>
      </c>
      <c r="P27" s="919">
        <f t="shared" si="4"/>
        <v>0</v>
      </c>
      <c r="Q27" s="919">
        <f>P27*Pressupostos!$C$30</f>
        <v>0</v>
      </c>
      <c r="R27" s="921">
        <f t="shared" si="5"/>
        <v>0</v>
      </c>
      <c r="S27" s="14"/>
      <c r="T27" s="917">
        <f>T26</f>
        <v>5</v>
      </c>
      <c r="U27" s="918" t="s">
        <v>250</v>
      </c>
      <c r="V27" s="919">
        <f t="shared" si="32"/>
        <v>0</v>
      </c>
      <c r="W27" s="920">
        <f t="shared" si="6"/>
        <v>0</v>
      </c>
      <c r="X27" s="919">
        <f>V26-W26-W27</f>
        <v>0</v>
      </c>
      <c r="Y27" s="919">
        <f t="shared" si="7"/>
        <v>0</v>
      </c>
      <c r="Z27" s="919">
        <f>Y27*Pressupostos!$C$30</f>
        <v>0</v>
      </c>
      <c r="AA27" s="921">
        <f t="shared" si="8"/>
        <v>0</v>
      </c>
      <c r="AB27" s="14"/>
      <c r="AC27" s="917">
        <f>AC26</f>
        <v>5</v>
      </c>
      <c r="AD27" s="918" t="s">
        <v>250</v>
      </c>
      <c r="AE27" s="919">
        <f t="shared" si="33"/>
        <v>0</v>
      </c>
      <c r="AF27" s="920">
        <f t="shared" si="9"/>
        <v>0</v>
      </c>
      <c r="AG27" s="919">
        <f>AE26-AF26-AF27</f>
        <v>0</v>
      </c>
      <c r="AH27" s="919">
        <f t="shared" si="10"/>
        <v>0</v>
      </c>
      <c r="AI27" s="919">
        <f>AH27*Pressupostos!$C$30</f>
        <v>0</v>
      </c>
      <c r="AJ27" s="921">
        <f t="shared" si="11"/>
        <v>0</v>
      </c>
      <c r="AK27" s="14"/>
      <c r="AL27" s="917">
        <f>AL26</f>
        <v>5</v>
      </c>
      <c r="AM27" s="918" t="s">
        <v>250</v>
      </c>
      <c r="AN27" s="919">
        <f t="shared" si="34"/>
        <v>0</v>
      </c>
      <c r="AO27" s="920">
        <f t="shared" si="12"/>
        <v>0</v>
      </c>
      <c r="AP27" s="919">
        <f>AN26-AO26-AO27</f>
        <v>0</v>
      </c>
      <c r="AQ27" s="919">
        <f t="shared" si="13"/>
        <v>0</v>
      </c>
      <c r="AR27" s="919">
        <f>AQ27*Pressupostos!$C$30</f>
        <v>0</v>
      </c>
      <c r="AS27" s="921">
        <f t="shared" si="14"/>
        <v>0</v>
      </c>
      <c r="AT27" s="14"/>
      <c r="AU27" s="917">
        <f>AU26</f>
        <v>5</v>
      </c>
      <c r="AV27" s="918" t="s">
        <v>250</v>
      </c>
      <c r="AW27" s="919">
        <f t="shared" si="35"/>
        <v>0</v>
      </c>
      <c r="AX27" s="920">
        <f t="shared" si="15"/>
        <v>0</v>
      </c>
      <c r="AY27" s="919">
        <f>AW26-AX26-AX27</f>
        <v>0</v>
      </c>
      <c r="AZ27" s="919">
        <f t="shared" si="16"/>
        <v>0</v>
      </c>
      <c r="BA27" s="919">
        <f>AZ27*Pressupostos!$C$30</f>
        <v>0</v>
      </c>
      <c r="BB27" s="921">
        <f t="shared" si="17"/>
        <v>0</v>
      </c>
      <c r="BC27" s="14"/>
      <c r="BD27" s="917">
        <f>BD26</f>
        <v>5</v>
      </c>
      <c r="BE27" s="918" t="s">
        <v>250</v>
      </c>
      <c r="BF27" s="919">
        <f t="shared" si="36"/>
        <v>0</v>
      </c>
      <c r="BG27" s="920">
        <f t="shared" si="18"/>
        <v>0</v>
      </c>
      <c r="BH27" s="919">
        <f>BF26-BG26-BG27</f>
        <v>0</v>
      </c>
      <c r="BI27" s="919">
        <f t="shared" si="19"/>
        <v>0</v>
      </c>
      <c r="BJ27" s="919">
        <f>BI27*Pressupostos!$C$30</f>
        <v>0</v>
      </c>
      <c r="BK27" s="921">
        <f t="shared" si="20"/>
        <v>0</v>
      </c>
      <c r="BL27" s="14"/>
      <c r="BM27" s="917">
        <f>BM26</f>
        <v>5</v>
      </c>
      <c r="BN27" s="918" t="s">
        <v>250</v>
      </c>
      <c r="BO27" s="919">
        <f t="shared" si="37"/>
        <v>0</v>
      </c>
      <c r="BP27" s="920">
        <f t="shared" si="21"/>
        <v>0</v>
      </c>
      <c r="BQ27" s="919">
        <f>BO26-BP26-BP27</f>
        <v>0</v>
      </c>
      <c r="BR27" s="919">
        <f t="shared" si="22"/>
        <v>0</v>
      </c>
      <c r="BS27" s="919">
        <f>BR27*Pressupostos!$C$30</f>
        <v>0</v>
      </c>
      <c r="BT27" s="921">
        <f t="shared" si="23"/>
        <v>0</v>
      </c>
      <c r="BU27" s="14"/>
      <c r="BV27" s="917">
        <f>BV26</f>
        <v>5</v>
      </c>
      <c r="BW27" s="918" t="s">
        <v>250</v>
      </c>
      <c r="BX27" s="919">
        <f t="shared" si="38"/>
        <v>0</v>
      </c>
      <c r="BY27" s="920">
        <f t="shared" si="24"/>
        <v>0</v>
      </c>
      <c r="BZ27" s="919">
        <f>BX26-BY26-BY27</f>
        <v>0</v>
      </c>
      <c r="CA27" s="919">
        <f t="shared" si="25"/>
        <v>0</v>
      </c>
      <c r="CB27" s="919">
        <f>CA27*Pressupostos!$C$30</f>
        <v>0</v>
      </c>
      <c r="CC27" s="921">
        <f t="shared" si="26"/>
        <v>0</v>
      </c>
      <c r="CD27" s="14"/>
      <c r="CE27" s="917">
        <f>CE26</f>
        <v>5</v>
      </c>
      <c r="CF27" s="918" t="s">
        <v>250</v>
      </c>
      <c r="CG27" s="919">
        <f t="shared" si="39"/>
        <v>0</v>
      </c>
      <c r="CH27" s="920">
        <f t="shared" si="27"/>
        <v>0</v>
      </c>
      <c r="CI27" s="919">
        <f>CG26-CH26-CH27</f>
        <v>0</v>
      </c>
      <c r="CJ27" s="919">
        <f t="shared" si="28"/>
        <v>0</v>
      </c>
      <c r="CK27" s="919">
        <f>CJ27*Pressupostos!$C$30</f>
        <v>0</v>
      </c>
      <c r="CL27" s="921">
        <f t="shared" si="29"/>
        <v>0</v>
      </c>
      <c r="CM27" s="182"/>
    </row>
    <row r="28" spans="1:91" x14ac:dyDescent="0.25">
      <c r="A28" s="14"/>
      <c r="B28" s="917">
        <f>B27+1</f>
        <v>6</v>
      </c>
      <c r="C28" s="918" t="s">
        <v>249</v>
      </c>
      <c r="D28" s="919">
        <f t="shared" si="30"/>
        <v>0</v>
      </c>
      <c r="E28" s="920">
        <f t="shared" si="0"/>
        <v>0</v>
      </c>
      <c r="F28" s="919">
        <f>D28-E28</f>
        <v>0</v>
      </c>
      <c r="G28" s="919">
        <f t="shared" si="1"/>
        <v>0</v>
      </c>
      <c r="H28" s="909">
        <f>G28*Pressupostos!$C$30</f>
        <v>0</v>
      </c>
      <c r="I28" s="921">
        <f t="shared" si="2"/>
        <v>0</v>
      </c>
      <c r="J28" s="279"/>
      <c r="K28" s="917">
        <f>K27+1</f>
        <v>6</v>
      </c>
      <c r="L28" s="918" t="s">
        <v>249</v>
      </c>
      <c r="M28" s="919">
        <f t="shared" si="31"/>
        <v>0</v>
      </c>
      <c r="N28" s="920">
        <f t="shared" si="3"/>
        <v>0</v>
      </c>
      <c r="O28" s="919">
        <f>M28-N28</f>
        <v>0</v>
      </c>
      <c r="P28" s="919">
        <f t="shared" si="4"/>
        <v>0</v>
      </c>
      <c r="Q28" s="919">
        <f>P28*Pressupostos!$C$30</f>
        <v>0</v>
      </c>
      <c r="R28" s="921">
        <f t="shared" si="5"/>
        <v>0</v>
      </c>
      <c r="S28" s="14"/>
      <c r="T28" s="917">
        <f>T27+1</f>
        <v>6</v>
      </c>
      <c r="U28" s="918" t="s">
        <v>249</v>
      </c>
      <c r="V28" s="919">
        <f t="shared" si="32"/>
        <v>0</v>
      </c>
      <c r="W28" s="920">
        <f t="shared" si="6"/>
        <v>0</v>
      </c>
      <c r="X28" s="919">
        <f>V28-W28</f>
        <v>0</v>
      </c>
      <c r="Y28" s="919">
        <f t="shared" si="7"/>
        <v>0</v>
      </c>
      <c r="Z28" s="919">
        <f>Y28*Pressupostos!$C$30</f>
        <v>0</v>
      </c>
      <c r="AA28" s="921">
        <f t="shared" si="8"/>
        <v>0</v>
      </c>
      <c r="AB28" s="14"/>
      <c r="AC28" s="917">
        <f>AC27+1</f>
        <v>6</v>
      </c>
      <c r="AD28" s="918" t="s">
        <v>249</v>
      </c>
      <c r="AE28" s="919">
        <f t="shared" si="33"/>
        <v>0</v>
      </c>
      <c r="AF28" s="920">
        <f t="shared" si="9"/>
        <v>0</v>
      </c>
      <c r="AG28" s="919">
        <f>AE28-AF28</f>
        <v>0</v>
      </c>
      <c r="AH28" s="919">
        <f t="shared" si="10"/>
        <v>0</v>
      </c>
      <c r="AI28" s="919">
        <f>AH28*Pressupostos!$C$30</f>
        <v>0</v>
      </c>
      <c r="AJ28" s="921">
        <f t="shared" si="11"/>
        <v>0</v>
      </c>
      <c r="AK28" s="14"/>
      <c r="AL28" s="917">
        <f>AL27+1</f>
        <v>6</v>
      </c>
      <c r="AM28" s="918" t="s">
        <v>249</v>
      </c>
      <c r="AN28" s="919">
        <f t="shared" si="34"/>
        <v>0</v>
      </c>
      <c r="AO28" s="920">
        <f t="shared" si="12"/>
        <v>0</v>
      </c>
      <c r="AP28" s="919">
        <f>AN28-AO28</f>
        <v>0</v>
      </c>
      <c r="AQ28" s="919">
        <f t="shared" si="13"/>
        <v>0</v>
      </c>
      <c r="AR28" s="919">
        <f>AQ28*Pressupostos!$C$30</f>
        <v>0</v>
      </c>
      <c r="AS28" s="921">
        <f t="shared" si="14"/>
        <v>0</v>
      </c>
      <c r="AT28" s="14"/>
      <c r="AU28" s="917">
        <f>AU27+1</f>
        <v>6</v>
      </c>
      <c r="AV28" s="918" t="s">
        <v>249</v>
      </c>
      <c r="AW28" s="919">
        <f t="shared" si="35"/>
        <v>0</v>
      </c>
      <c r="AX28" s="920">
        <f t="shared" si="15"/>
        <v>0</v>
      </c>
      <c r="AY28" s="919">
        <f>AW28-AX28</f>
        <v>0</v>
      </c>
      <c r="AZ28" s="919">
        <f t="shared" si="16"/>
        <v>0</v>
      </c>
      <c r="BA28" s="919">
        <f>AZ28*Pressupostos!$C$30</f>
        <v>0</v>
      </c>
      <c r="BB28" s="921">
        <f t="shared" si="17"/>
        <v>0</v>
      </c>
      <c r="BC28" s="14"/>
      <c r="BD28" s="917">
        <f>BD27+1</f>
        <v>6</v>
      </c>
      <c r="BE28" s="918" t="s">
        <v>249</v>
      </c>
      <c r="BF28" s="919">
        <f t="shared" si="36"/>
        <v>0</v>
      </c>
      <c r="BG28" s="920">
        <f t="shared" si="18"/>
        <v>0</v>
      </c>
      <c r="BH28" s="919">
        <f>BF28-BG28</f>
        <v>0</v>
      </c>
      <c r="BI28" s="919">
        <f t="shared" si="19"/>
        <v>0</v>
      </c>
      <c r="BJ28" s="919">
        <f>BI28*Pressupostos!$C$30</f>
        <v>0</v>
      </c>
      <c r="BK28" s="921">
        <f t="shared" si="20"/>
        <v>0</v>
      </c>
      <c r="BL28" s="14"/>
      <c r="BM28" s="917">
        <f>BM27+1</f>
        <v>6</v>
      </c>
      <c r="BN28" s="918" t="s">
        <v>249</v>
      </c>
      <c r="BO28" s="919">
        <f t="shared" si="37"/>
        <v>0</v>
      </c>
      <c r="BP28" s="920">
        <f t="shared" si="21"/>
        <v>0</v>
      </c>
      <c r="BQ28" s="919">
        <f>BO28-BP28</f>
        <v>0</v>
      </c>
      <c r="BR28" s="919">
        <f t="shared" si="22"/>
        <v>0</v>
      </c>
      <c r="BS28" s="919">
        <f>BR28*Pressupostos!$C$30</f>
        <v>0</v>
      </c>
      <c r="BT28" s="921">
        <f t="shared" si="23"/>
        <v>0</v>
      </c>
      <c r="BU28" s="14"/>
      <c r="BV28" s="917">
        <f>BV27+1</f>
        <v>6</v>
      </c>
      <c r="BW28" s="918" t="s">
        <v>249</v>
      </c>
      <c r="BX28" s="919">
        <f t="shared" si="38"/>
        <v>0</v>
      </c>
      <c r="BY28" s="920">
        <f t="shared" si="24"/>
        <v>0</v>
      </c>
      <c r="BZ28" s="919">
        <f>BX28-BY28</f>
        <v>0</v>
      </c>
      <c r="CA28" s="919">
        <f t="shared" si="25"/>
        <v>0</v>
      </c>
      <c r="CB28" s="919">
        <f>CA28*Pressupostos!$C$30</f>
        <v>0</v>
      </c>
      <c r="CC28" s="921">
        <f t="shared" si="26"/>
        <v>0</v>
      </c>
      <c r="CD28" s="14"/>
      <c r="CE28" s="917">
        <f>CE27+1</f>
        <v>6</v>
      </c>
      <c r="CF28" s="918" t="s">
        <v>249</v>
      </c>
      <c r="CG28" s="919">
        <f t="shared" si="39"/>
        <v>0</v>
      </c>
      <c r="CH28" s="920">
        <f t="shared" si="27"/>
        <v>0</v>
      </c>
      <c r="CI28" s="919">
        <f>CG28-CH28</f>
        <v>0</v>
      </c>
      <c r="CJ28" s="919">
        <f t="shared" si="28"/>
        <v>0</v>
      </c>
      <c r="CK28" s="919">
        <f>CJ28*Pressupostos!$C$30</f>
        <v>0</v>
      </c>
      <c r="CL28" s="921">
        <f t="shared" si="29"/>
        <v>0</v>
      </c>
      <c r="CM28" s="182"/>
    </row>
    <row r="29" spans="1:91" x14ac:dyDescent="0.25">
      <c r="A29" s="14"/>
      <c r="B29" s="917">
        <f>B28</f>
        <v>6</v>
      </c>
      <c r="C29" s="918" t="s">
        <v>250</v>
      </c>
      <c r="D29" s="919">
        <f t="shared" si="30"/>
        <v>0</v>
      </c>
      <c r="E29" s="920">
        <f t="shared" si="0"/>
        <v>0</v>
      </c>
      <c r="F29" s="919">
        <f>D28-E28-E29</f>
        <v>0</v>
      </c>
      <c r="G29" s="919">
        <f t="shared" si="1"/>
        <v>0</v>
      </c>
      <c r="H29" s="909">
        <f>G29*Pressupostos!$C$30</f>
        <v>0</v>
      </c>
      <c r="I29" s="921">
        <f t="shared" si="2"/>
        <v>0</v>
      </c>
      <c r="J29" s="279"/>
      <c r="K29" s="917">
        <f>K28</f>
        <v>6</v>
      </c>
      <c r="L29" s="918" t="s">
        <v>250</v>
      </c>
      <c r="M29" s="919">
        <f t="shared" si="31"/>
        <v>0</v>
      </c>
      <c r="N29" s="920">
        <f t="shared" si="3"/>
        <v>0</v>
      </c>
      <c r="O29" s="919">
        <f>M28-N28-N29</f>
        <v>0</v>
      </c>
      <c r="P29" s="919">
        <f t="shared" si="4"/>
        <v>0</v>
      </c>
      <c r="Q29" s="919">
        <f>P29*Pressupostos!$C$30</f>
        <v>0</v>
      </c>
      <c r="R29" s="921">
        <f t="shared" si="5"/>
        <v>0</v>
      </c>
      <c r="S29" s="14"/>
      <c r="T29" s="917">
        <f>T28</f>
        <v>6</v>
      </c>
      <c r="U29" s="918" t="s">
        <v>250</v>
      </c>
      <c r="V29" s="919">
        <f t="shared" si="32"/>
        <v>0</v>
      </c>
      <c r="W29" s="920">
        <f t="shared" si="6"/>
        <v>0</v>
      </c>
      <c r="X29" s="919">
        <f>V28-W28-W29</f>
        <v>0</v>
      </c>
      <c r="Y29" s="919">
        <f t="shared" si="7"/>
        <v>0</v>
      </c>
      <c r="Z29" s="919">
        <f>Y29*Pressupostos!$C$30</f>
        <v>0</v>
      </c>
      <c r="AA29" s="921">
        <f t="shared" si="8"/>
        <v>0</v>
      </c>
      <c r="AB29" s="14"/>
      <c r="AC29" s="917">
        <f>AC28</f>
        <v>6</v>
      </c>
      <c r="AD29" s="918" t="s">
        <v>250</v>
      </c>
      <c r="AE29" s="919">
        <f t="shared" si="33"/>
        <v>0</v>
      </c>
      <c r="AF29" s="920">
        <f t="shared" si="9"/>
        <v>0</v>
      </c>
      <c r="AG29" s="919">
        <f>AE28-AF28-AF29</f>
        <v>0</v>
      </c>
      <c r="AH29" s="919">
        <f t="shared" si="10"/>
        <v>0</v>
      </c>
      <c r="AI29" s="919">
        <f>AH29*Pressupostos!$C$30</f>
        <v>0</v>
      </c>
      <c r="AJ29" s="921">
        <f t="shared" si="11"/>
        <v>0</v>
      </c>
      <c r="AK29" s="14"/>
      <c r="AL29" s="917">
        <f>AL28</f>
        <v>6</v>
      </c>
      <c r="AM29" s="918" t="s">
        <v>250</v>
      </c>
      <c r="AN29" s="919">
        <f t="shared" si="34"/>
        <v>0</v>
      </c>
      <c r="AO29" s="920">
        <f t="shared" si="12"/>
        <v>0</v>
      </c>
      <c r="AP29" s="919">
        <f>AN28-AO28-AO29</f>
        <v>0</v>
      </c>
      <c r="AQ29" s="919">
        <f t="shared" si="13"/>
        <v>0</v>
      </c>
      <c r="AR29" s="919">
        <f>AQ29*Pressupostos!$C$30</f>
        <v>0</v>
      </c>
      <c r="AS29" s="921">
        <f t="shared" si="14"/>
        <v>0</v>
      </c>
      <c r="AT29" s="14"/>
      <c r="AU29" s="917">
        <f>AU28</f>
        <v>6</v>
      </c>
      <c r="AV29" s="918" t="s">
        <v>250</v>
      </c>
      <c r="AW29" s="919">
        <f t="shared" si="35"/>
        <v>0</v>
      </c>
      <c r="AX29" s="920">
        <f t="shared" si="15"/>
        <v>0</v>
      </c>
      <c r="AY29" s="919">
        <f>AW28-AX28-AX29</f>
        <v>0</v>
      </c>
      <c r="AZ29" s="919">
        <f t="shared" si="16"/>
        <v>0</v>
      </c>
      <c r="BA29" s="919">
        <f>AZ29*Pressupostos!$C$30</f>
        <v>0</v>
      </c>
      <c r="BB29" s="921">
        <f t="shared" si="17"/>
        <v>0</v>
      </c>
      <c r="BC29" s="14"/>
      <c r="BD29" s="917">
        <f>BD28</f>
        <v>6</v>
      </c>
      <c r="BE29" s="918" t="s">
        <v>250</v>
      </c>
      <c r="BF29" s="919">
        <f t="shared" si="36"/>
        <v>0</v>
      </c>
      <c r="BG29" s="920">
        <f t="shared" si="18"/>
        <v>0</v>
      </c>
      <c r="BH29" s="919">
        <f>BF28-BG28-BG29</f>
        <v>0</v>
      </c>
      <c r="BI29" s="919">
        <f t="shared" si="19"/>
        <v>0</v>
      </c>
      <c r="BJ29" s="919">
        <f>BI29*Pressupostos!$C$30</f>
        <v>0</v>
      </c>
      <c r="BK29" s="921">
        <f t="shared" si="20"/>
        <v>0</v>
      </c>
      <c r="BL29" s="14"/>
      <c r="BM29" s="917">
        <f>BM28</f>
        <v>6</v>
      </c>
      <c r="BN29" s="918" t="s">
        <v>250</v>
      </c>
      <c r="BO29" s="919">
        <f t="shared" si="37"/>
        <v>0</v>
      </c>
      <c r="BP29" s="920">
        <f t="shared" si="21"/>
        <v>0</v>
      </c>
      <c r="BQ29" s="919">
        <f>BO28-BP28-BP29</f>
        <v>0</v>
      </c>
      <c r="BR29" s="919">
        <f t="shared" si="22"/>
        <v>0</v>
      </c>
      <c r="BS29" s="919">
        <f>BR29*Pressupostos!$C$30</f>
        <v>0</v>
      </c>
      <c r="BT29" s="921">
        <f t="shared" si="23"/>
        <v>0</v>
      </c>
      <c r="BU29" s="14"/>
      <c r="BV29" s="917">
        <f>BV28</f>
        <v>6</v>
      </c>
      <c r="BW29" s="918" t="s">
        <v>250</v>
      </c>
      <c r="BX29" s="919">
        <f t="shared" si="38"/>
        <v>0</v>
      </c>
      <c r="BY29" s="920">
        <f t="shared" si="24"/>
        <v>0</v>
      </c>
      <c r="BZ29" s="919">
        <f>BX28-BY28-BY29</f>
        <v>0</v>
      </c>
      <c r="CA29" s="919">
        <f t="shared" si="25"/>
        <v>0</v>
      </c>
      <c r="CB29" s="919">
        <f>CA29*Pressupostos!$C$30</f>
        <v>0</v>
      </c>
      <c r="CC29" s="921">
        <f t="shared" si="26"/>
        <v>0</v>
      </c>
      <c r="CD29" s="14"/>
      <c r="CE29" s="917">
        <f>CE28</f>
        <v>6</v>
      </c>
      <c r="CF29" s="918" t="s">
        <v>250</v>
      </c>
      <c r="CG29" s="919">
        <f t="shared" si="39"/>
        <v>0</v>
      </c>
      <c r="CH29" s="920">
        <f t="shared" si="27"/>
        <v>0</v>
      </c>
      <c r="CI29" s="919">
        <f>CG28-CH28-CH29</f>
        <v>0</v>
      </c>
      <c r="CJ29" s="919">
        <f t="shared" si="28"/>
        <v>0</v>
      </c>
      <c r="CK29" s="919">
        <f>CJ29*Pressupostos!$C$30</f>
        <v>0</v>
      </c>
      <c r="CL29" s="921">
        <f t="shared" si="29"/>
        <v>0</v>
      </c>
      <c r="CM29" s="182"/>
    </row>
    <row r="30" spans="1:91" x14ac:dyDescent="0.25">
      <c r="A30" s="14"/>
      <c r="B30" s="917">
        <f>B29+1</f>
        <v>7</v>
      </c>
      <c r="C30" s="918" t="s">
        <v>249</v>
      </c>
      <c r="D30" s="919">
        <f t="shared" si="30"/>
        <v>0</v>
      </c>
      <c r="E30" s="920">
        <f t="shared" si="0"/>
        <v>0</v>
      </c>
      <c r="F30" s="919">
        <f>D30-E30</f>
        <v>0</v>
      </c>
      <c r="G30" s="919">
        <f t="shared" si="1"/>
        <v>0</v>
      </c>
      <c r="H30" s="909">
        <f>G30*Pressupostos!$C$30</f>
        <v>0</v>
      </c>
      <c r="I30" s="921">
        <f t="shared" si="2"/>
        <v>0</v>
      </c>
      <c r="J30" s="279"/>
      <c r="K30" s="917">
        <f>K29+1</f>
        <v>7</v>
      </c>
      <c r="L30" s="918" t="s">
        <v>249</v>
      </c>
      <c r="M30" s="919">
        <f t="shared" si="31"/>
        <v>0</v>
      </c>
      <c r="N30" s="920">
        <f t="shared" si="3"/>
        <v>0</v>
      </c>
      <c r="O30" s="919">
        <f>M30-N30</f>
        <v>0</v>
      </c>
      <c r="P30" s="919">
        <f t="shared" si="4"/>
        <v>0</v>
      </c>
      <c r="Q30" s="919">
        <f>P30*Pressupostos!$C$30</f>
        <v>0</v>
      </c>
      <c r="R30" s="921">
        <f t="shared" si="5"/>
        <v>0</v>
      </c>
      <c r="S30" s="14"/>
      <c r="T30" s="917">
        <f>T29+1</f>
        <v>7</v>
      </c>
      <c r="U30" s="918" t="s">
        <v>249</v>
      </c>
      <c r="V30" s="919">
        <f t="shared" si="32"/>
        <v>0</v>
      </c>
      <c r="W30" s="920">
        <f t="shared" si="6"/>
        <v>0</v>
      </c>
      <c r="X30" s="919">
        <f>V30-W30</f>
        <v>0</v>
      </c>
      <c r="Y30" s="919">
        <f t="shared" si="7"/>
        <v>0</v>
      </c>
      <c r="Z30" s="919">
        <f>Y30*Pressupostos!$C$30</f>
        <v>0</v>
      </c>
      <c r="AA30" s="921">
        <f t="shared" si="8"/>
        <v>0</v>
      </c>
      <c r="AB30" s="14"/>
      <c r="AC30" s="917">
        <f>AC29+1</f>
        <v>7</v>
      </c>
      <c r="AD30" s="918" t="s">
        <v>249</v>
      </c>
      <c r="AE30" s="919">
        <f t="shared" si="33"/>
        <v>0</v>
      </c>
      <c r="AF30" s="920">
        <f t="shared" si="9"/>
        <v>0</v>
      </c>
      <c r="AG30" s="919">
        <f>AE30-AF30</f>
        <v>0</v>
      </c>
      <c r="AH30" s="919">
        <f t="shared" si="10"/>
        <v>0</v>
      </c>
      <c r="AI30" s="919">
        <f>AH30*Pressupostos!$C$30</f>
        <v>0</v>
      </c>
      <c r="AJ30" s="921">
        <f t="shared" si="11"/>
        <v>0</v>
      </c>
      <c r="AK30" s="14"/>
      <c r="AL30" s="917">
        <f>AL29+1</f>
        <v>7</v>
      </c>
      <c r="AM30" s="918" t="s">
        <v>249</v>
      </c>
      <c r="AN30" s="919">
        <f t="shared" si="34"/>
        <v>0</v>
      </c>
      <c r="AO30" s="920">
        <f t="shared" si="12"/>
        <v>0</v>
      </c>
      <c r="AP30" s="919">
        <f>AN30-AO30</f>
        <v>0</v>
      </c>
      <c r="AQ30" s="919">
        <f t="shared" si="13"/>
        <v>0</v>
      </c>
      <c r="AR30" s="919">
        <f>AQ30*Pressupostos!$C$30</f>
        <v>0</v>
      </c>
      <c r="AS30" s="921">
        <f t="shared" si="14"/>
        <v>0</v>
      </c>
      <c r="AT30" s="14"/>
      <c r="AU30" s="917">
        <f>AU29+1</f>
        <v>7</v>
      </c>
      <c r="AV30" s="918" t="s">
        <v>249</v>
      </c>
      <c r="AW30" s="919">
        <f t="shared" si="35"/>
        <v>0</v>
      </c>
      <c r="AX30" s="920">
        <f t="shared" si="15"/>
        <v>0</v>
      </c>
      <c r="AY30" s="919">
        <f>AW30-AX30</f>
        <v>0</v>
      </c>
      <c r="AZ30" s="919">
        <f t="shared" si="16"/>
        <v>0</v>
      </c>
      <c r="BA30" s="919">
        <f>AZ30*Pressupostos!$C$30</f>
        <v>0</v>
      </c>
      <c r="BB30" s="921">
        <f t="shared" si="17"/>
        <v>0</v>
      </c>
      <c r="BC30" s="14"/>
      <c r="BD30" s="917">
        <f>BD29+1</f>
        <v>7</v>
      </c>
      <c r="BE30" s="918" t="s">
        <v>249</v>
      </c>
      <c r="BF30" s="919">
        <f t="shared" si="36"/>
        <v>0</v>
      </c>
      <c r="BG30" s="920">
        <f t="shared" si="18"/>
        <v>0</v>
      </c>
      <c r="BH30" s="919">
        <f>BF30-BG30</f>
        <v>0</v>
      </c>
      <c r="BI30" s="919">
        <f t="shared" si="19"/>
        <v>0</v>
      </c>
      <c r="BJ30" s="919">
        <f>BI30*Pressupostos!$C$30</f>
        <v>0</v>
      </c>
      <c r="BK30" s="921">
        <f t="shared" si="20"/>
        <v>0</v>
      </c>
      <c r="BL30" s="14"/>
      <c r="BM30" s="917">
        <f>BM29+1</f>
        <v>7</v>
      </c>
      <c r="BN30" s="918" t="s">
        <v>249</v>
      </c>
      <c r="BO30" s="919">
        <f t="shared" si="37"/>
        <v>0</v>
      </c>
      <c r="BP30" s="920">
        <f t="shared" si="21"/>
        <v>0</v>
      </c>
      <c r="BQ30" s="919">
        <f>BO30-BP30</f>
        <v>0</v>
      </c>
      <c r="BR30" s="919">
        <f t="shared" si="22"/>
        <v>0</v>
      </c>
      <c r="BS30" s="919">
        <f>BR30*Pressupostos!$C$30</f>
        <v>0</v>
      </c>
      <c r="BT30" s="921">
        <f t="shared" si="23"/>
        <v>0</v>
      </c>
      <c r="BU30" s="14"/>
      <c r="BV30" s="917">
        <f>BV29+1</f>
        <v>7</v>
      </c>
      <c r="BW30" s="918" t="s">
        <v>249</v>
      </c>
      <c r="BX30" s="919">
        <f t="shared" si="38"/>
        <v>0</v>
      </c>
      <c r="BY30" s="920">
        <f t="shared" si="24"/>
        <v>0</v>
      </c>
      <c r="BZ30" s="919">
        <f>BX30-BY30</f>
        <v>0</v>
      </c>
      <c r="CA30" s="919">
        <f t="shared" si="25"/>
        <v>0</v>
      </c>
      <c r="CB30" s="919">
        <f>CA30*Pressupostos!$C$30</f>
        <v>0</v>
      </c>
      <c r="CC30" s="921">
        <f t="shared" si="26"/>
        <v>0</v>
      </c>
      <c r="CD30" s="14"/>
      <c r="CE30" s="917">
        <f>CE29+1</f>
        <v>7</v>
      </c>
      <c r="CF30" s="918" t="s">
        <v>249</v>
      </c>
      <c r="CG30" s="919">
        <f t="shared" si="39"/>
        <v>0</v>
      </c>
      <c r="CH30" s="920">
        <f t="shared" si="27"/>
        <v>0</v>
      </c>
      <c r="CI30" s="919">
        <f>CG30-CH30</f>
        <v>0</v>
      </c>
      <c r="CJ30" s="919">
        <f t="shared" si="28"/>
        <v>0</v>
      </c>
      <c r="CK30" s="919">
        <f>CJ30*Pressupostos!$C$30</f>
        <v>0</v>
      </c>
      <c r="CL30" s="921">
        <f t="shared" si="29"/>
        <v>0</v>
      </c>
      <c r="CM30" s="182"/>
    </row>
    <row r="31" spans="1:91" x14ac:dyDescent="0.25">
      <c r="A31" s="14"/>
      <c r="B31" s="917">
        <f>B30</f>
        <v>7</v>
      </c>
      <c r="C31" s="918" t="s">
        <v>250</v>
      </c>
      <c r="D31" s="919">
        <f t="shared" si="30"/>
        <v>0</v>
      </c>
      <c r="E31" s="920">
        <f t="shared" si="0"/>
        <v>0</v>
      </c>
      <c r="F31" s="919">
        <f>D30-E30-E31</f>
        <v>0</v>
      </c>
      <c r="G31" s="919">
        <f t="shared" si="1"/>
        <v>0</v>
      </c>
      <c r="H31" s="909">
        <f>G31*Pressupostos!$C$30</f>
        <v>0</v>
      </c>
      <c r="I31" s="921">
        <f t="shared" si="2"/>
        <v>0</v>
      </c>
      <c r="J31" s="279"/>
      <c r="K31" s="917">
        <f>K30</f>
        <v>7</v>
      </c>
      <c r="L31" s="918" t="s">
        <v>250</v>
      </c>
      <c r="M31" s="919">
        <f t="shared" si="31"/>
        <v>0</v>
      </c>
      <c r="N31" s="920">
        <f t="shared" si="3"/>
        <v>0</v>
      </c>
      <c r="O31" s="919">
        <f>M30-N30-N31</f>
        <v>0</v>
      </c>
      <c r="P31" s="919">
        <f t="shared" si="4"/>
        <v>0</v>
      </c>
      <c r="Q31" s="919">
        <f>P31*Pressupostos!$C$30</f>
        <v>0</v>
      </c>
      <c r="R31" s="921">
        <f t="shared" si="5"/>
        <v>0</v>
      </c>
      <c r="S31" s="14"/>
      <c r="T31" s="917">
        <f>T30</f>
        <v>7</v>
      </c>
      <c r="U31" s="918" t="s">
        <v>250</v>
      </c>
      <c r="V31" s="919">
        <f t="shared" si="32"/>
        <v>0</v>
      </c>
      <c r="W31" s="920">
        <f t="shared" si="6"/>
        <v>0</v>
      </c>
      <c r="X31" s="919">
        <f>V30-W30-W31</f>
        <v>0</v>
      </c>
      <c r="Y31" s="919">
        <f t="shared" si="7"/>
        <v>0</v>
      </c>
      <c r="Z31" s="919">
        <f>Y31*Pressupostos!$C$30</f>
        <v>0</v>
      </c>
      <c r="AA31" s="921">
        <f t="shared" si="8"/>
        <v>0</v>
      </c>
      <c r="AB31" s="14"/>
      <c r="AC31" s="917">
        <f>AC30</f>
        <v>7</v>
      </c>
      <c r="AD31" s="918" t="s">
        <v>250</v>
      </c>
      <c r="AE31" s="919">
        <f t="shared" si="33"/>
        <v>0</v>
      </c>
      <c r="AF31" s="920">
        <f t="shared" si="9"/>
        <v>0</v>
      </c>
      <c r="AG31" s="919">
        <f>AE30-AF30-AF31</f>
        <v>0</v>
      </c>
      <c r="AH31" s="919">
        <f t="shared" si="10"/>
        <v>0</v>
      </c>
      <c r="AI31" s="919">
        <f>AH31*Pressupostos!$C$30</f>
        <v>0</v>
      </c>
      <c r="AJ31" s="921">
        <f t="shared" si="11"/>
        <v>0</v>
      </c>
      <c r="AK31" s="14"/>
      <c r="AL31" s="917">
        <f>AL30</f>
        <v>7</v>
      </c>
      <c r="AM31" s="918" t="s">
        <v>250</v>
      </c>
      <c r="AN31" s="919">
        <f t="shared" si="34"/>
        <v>0</v>
      </c>
      <c r="AO31" s="920">
        <f t="shared" si="12"/>
        <v>0</v>
      </c>
      <c r="AP31" s="919">
        <f>AN30-AO30-AO31</f>
        <v>0</v>
      </c>
      <c r="AQ31" s="919">
        <f t="shared" si="13"/>
        <v>0</v>
      </c>
      <c r="AR31" s="919">
        <f>AQ31*Pressupostos!$C$30</f>
        <v>0</v>
      </c>
      <c r="AS31" s="921">
        <f t="shared" si="14"/>
        <v>0</v>
      </c>
      <c r="AT31" s="14"/>
      <c r="AU31" s="917">
        <f>AU30</f>
        <v>7</v>
      </c>
      <c r="AV31" s="918" t="s">
        <v>250</v>
      </c>
      <c r="AW31" s="919">
        <f t="shared" si="35"/>
        <v>0</v>
      </c>
      <c r="AX31" s="920">
        <f t="shared" si="15"/>
        <v>0</v>
      </c>
      <c r="AY31" s="919">
        <f>AW30-AX30-AX31</f>
        <v>0</v>
      </c>
      <c r="AZ31" s="919">
        <f t="shared" si="16"/>
        <v>0</v>
      </c>
      <c r="BA31" s="919">
        <f>AZ31*Pressupostos!$C$30</f>
        <v>0</v>
      </c>
      <c r="BB31" s="921">
        <f t="shared" si="17"/>
        <v>0</v>
      </c>
      <c r="BC31" s="14"/>
      <c r="BD31" s="917">
        <f>BD30</f>
        <v>7</v>
      </c>
      <c r="BE31" s="918" t="s">
        <v>250</v>
      </c>
      <c r="BF31" s="919">
        <f t="shared" si="36"/>
        <v>0</v>
      </c>
      <c r="BG31" s="920">
        <f t="shared" si="18"/>
        <v>0</v>
      </c>
      <c r="BH31" s="919">
        <f>BF30-BG30-BG31</f>
        <v>0</v>
      </c>
      <c r="BI31" s="919">
        <f t="shared" si="19"/>
        <v>0</v>
      </c>
      <c r="BJ31" s="919">
        <f>BI31*Pressupostos!$C$30</f>
        <v>0</v>
      </c>
      <c r="BK31" s="921">
        <f t="shared" si="20"/>
        <v>0</v>
      </c>
      <c r="BL31" s="14"/>
      <c r="BM31" s="917">
        <f>BM30</f>
        <v>7</v>
      </c>
      <c r="BN31" s="918" t="s">
        <v>250</v>
      </c>
      <c r="BO31" s="919">
        <f t="shared" si="37"/>
        <v>0</v>
      </c>
      <c r="BP31" s="920">
        <f t="shared" si="21"/>
        <v>0</v>
      </c>
      <c r="BQ31" s="919">
        <f>BO30-BP30-BP31</f>
        <v>0</v>
      </c>
      <c r="BR31" s="919">
        <f t="shared" si="22"/>
        <v>0</v>
      </c>
      <c r="BS31" s="919">
        <f>BR31*Pressupostos!$C$30</f>
        <v>0</v>
      </c>
      <c r="BT31" s="921">
        <f t="shared" si="23"/>
        <v>0</v>
      </c>
      <c r="BU31" s="14"/>
      <c r="BV31" s="917">
        <f>BV30</f>
        <v>7</v>
      </c>
      <c r="BW31" s="918" t="s">
        <v>250</v>
      </c>
      <c r="BX31" s="919">
        <f t="shared" si="38"/>
        <v>0</v>
      </c>
      <c r="BY31" s="920">
        <f t="shared" si="24"/>
        <v>0</v>
      </c>
      <c r="BZ31" s="919">
        <f>BX30-BY30-BY31</f>
        <v>0</v>
      </c>
      <c r="CA31" s="919">
        <f t="shared" si="25"/>
        <v>0</v>
      </c>
      <c r="CB31" s="919">
        <f>CA31*Pressupostos!$C$30</f>
        <v>0</v>
      </c>
      <c r="CC31" s="921">
        <f t="shared" si="26"/>
        <v>0</v>
      </c>
      <c r="CD31" s="14"/>
      <c r="CE31" s="917">
        <f>CE30</f>
        <v>7</v>
      </c>
      <c r="CF31" s="918" t="s">
        <v>250</v>
      </c>
      <c r="CG31" s="919">
        <f t="shared" si="39"/>
        <v>0</v>
      </c>
      <c r="CH31" s="920">
        <f t="shared" si="27"/>
        <v>0</v>
      </c>
      <c r="CI31" s="919">
        <f>CG30-CH30-CH31</f>
        <v>0</v>
      </c>
      <c r="CJ31" s="919">
        <f t="shared" si="28"/>
        <v>0</v>
      </c>
      <c r="CK31" s="919">
        <f>CJ31*Pressupostos!$C$30</f>
        <v>0</v>
      </c>
      <c r="CL31" s="921">
        <f t="shared" si="29"/>
        <v>0</v>
      </c>
      <c r="CM31" s="182"/>
    </row>
    <row r="32" spans="1:91" x14ac:dyDescent="0.25">
      <c r="A32" s="14"/>
      <c r="B32" s="917">
        <f>B31+1</f>
        <v>8</v>
      </c>
      <c r="C32" s="918" t="s">
        <v>249</v>
      </c>
      <c r="D32" s="919">
        <f t="shared" si="30"/>
        <v>0</v>
      </c>
      <c r="E32" s="920">
        <f t="shared" si="0"/>
        <v>0</v>
      </c>
      <c r="F32" s="919">
        <f>D32-E32</f>
        <v>0</v>
      </c>
      <c r="G32" s="919">
        <f t="shared" si="1"/>
        <v>0</v>
      </c>
      <c r="H32" s="909">
        <f>G32*Pressupostos!$C$30</f>
        <v>0</v>
      </c>
      <c r="I32" s="921">
        <f t="shared" si="2"/>
        <v>0</v>
      </c>
      <c r="J32" s="279"/>
      <c r="K32" s="917">
        <f>K31+1</f>
        <v>8</v>
      </c>
      <c r="L32" s="918" t="s">
        <v>249</v>
      </c>
      <c r="M32" s="919">
        <f t="shared" si="31"/>
        <v>0</v>
      </c>
      <c r="N32" s="920">
        <f t="shared" si="3"/>
        <v>0</v>
      </c>
      <c r="O32" s="919">
        <f>M32-N32</f>
        <v>0</v>
      </c>
      <c r="P32" s="919">
        <f t="shared" si="4"/>
        <v>0</v>
      </c>
      <c r="Q32" s="919">
        <f>P32*Pressupostos!$C$30</f>
        <v>0</v>
      </c>
      <c r="R32" s="921">
        <f t="shared" si="5"/>
        <v>0</v>
      </c>
      <c r="S32" s="14"/>
      <c r="T32" s="917">
        <f>T31+1</f>
        <v>8</v>
      </c>
      <c r="U32" s="918" t="s">
        <v>249</v>
      </c>
      <c r="V32" s="919">
        <f t="shared" si="32"/>
        <v>0</v>
      </c>
      <c r="W32" s="920">
        <f t="shared" si="6"/>
        <v>0</v>
      </c>
      <c r="X32" s="919">
        <f>V32-W32</f>
        <v>0</v>
      </c>
      <c r="Y32" s="919">
        <f t="shared" si="7"/>
        <v>0</v>
      </c>
      <c r="Z32" s="919">
        <f>Y32*Pressupostos!$C$30</f>
        <v>0</v>
      </c>
      <c r="AA32" s="921">
        <f t="shared" si="8"/>
        <v>0</v>
      </c>
      <c r="AB32" s="14"/>
      <c r="AC32" s="917">
        <f>AC31+1</f>
        <v>8</v>
      </c>
      <c r="AD32" s="918" t="s">
        <v>249</v>
      </c>
      <c r="AE32" s="919">
        <f t="shared" si="33"/>
        <v>0</v>
      </c>
      <c r="AF32" s="920">
        <f t="shared" si="9"/>
        <v>0</v>
      </c>
      <c r="AG32" s="919">
        <f>AE32-AF32</f>
        <v>0</v>
      </c>
      <c r="AH32" s="919">
        <f t="shared" si="10"/>
        <v>0</v>
      </c>
      <c r="AI32" s="919">
        <f>AH32*Pressupostos!$C$30</f>
        <v>0</v>
      </c>
      <c r="AJ32" s="921">
        <f t="shared" si="11"/>
        <v>0</v>
      </c>
      <c r="AK32" s="14"/>
      <c r="AL32" s="917">
        <f>AL31+1</f>
        <v>8</v>
      </c>
      <c r="AM32" s="918" t="s">
        <v>249</v>
      </c>
      <c r="AN32" s="919">
        <f t="shared" si="34"/>
        <v>0</v>
      </c>
      <c r="AO32" s="920">
        <f t="shared" si="12"/>
        <v>0</v>
      </c>
      <c r="AP32" s="919">
        <f>AN32-AO32</f>
        <v>0</v>
      </c>
      <c r="AQ32" s="919">
        <f t="shared" si="13"/>
        <v>0</v>
      </c>
      <c r="AR32" s="919">
        <f>AQ32*Pressupostos!$C$30</f>
        <v>0</v>
      </c>
      <c r="AS32" s="921">
        <f t="shared" si="14"/>
        <v>0</v>
      </c>
      <c r="AT32" s="14"/>
      <c r="AU32" s="917">
        <f>AU31+1</f>
        <v>8</v>
      </c>
      <c r="AV32" s="918" t="s">
        <v>249</v>
      </c>
      <c r="AW32" s="919">
        <f t="shared" si="35"/>
        <v>0</v>
      </c>
      <c r="AX32" s="920">
        <f t="shared" si="15"/>
        <v>0</v>
      </c>
      <c r="AY32" s="919">
        <f>AW32-AX32</f>
        <v>0</v>
      </c>
      <c r="AZ32" s="919">
        <f t="shared" si="16"/>
        <v>0</v>
      </c>
      <c r="BA32" s="919">
        <f>AZ32*Pressupostos!$C$30</f>
        <v>0</v>
      </c>
      <c r="BB32" s="921">
        <f t="shared" si="17"/>
        <v>0</v>
      </c>
      <c r="BC32" s="14"/>
      <c r="BD32" s="917">
        <f>BD31+1</f>
        <v>8</v>
      </c>
      <c r="BE32" s="918" t="s">
        <v>249</v>
      </c>
      <c r="BF32" s="919">
        <f t="shared" si="36"/>
        <v>0</v>
      </c>
      <c r="BG32" s="920">
        <f t="shared" si="18"/>
        <v>0</v>
      </c>
      <c r="BH32" s="919">
        <f>BF32-BG32</f>
        <v>0</v>
      </c>
      <c r="BI32" s="919">
        <f t="shared" si="19"/>
        <v>0</v>
      </c>
      <c r="BJ32" s="919">
        <f>BI32*Pressupostos!$C$30</f>
        <v>0</v>
      </c>
      <c r="BK32" s="921">
        <f t="shared" si="20"/>
        <v>0</v>
      </c>
      <c r="BL32" s="14"/>
      <c r="BM32" s="917">
        <f>BM31+1</f>
        <v>8</v>
      </c>
      <c r="BN32" s="918" t="s">
        <v>249</v>
      </c>
      <c r="BO32" s="919">
        <f t="shared" si="37"/>
        <v>0</v>
      </c>
      <c r="BP32" s="920">
        <f t="shared" si="21"/>
        <v>0</v>
      </c>
      <c r="BQ32" s="919">
        <f>BO32-BP32</f>
        <v>0</v>
      </c>
      <c r="BR32" s="919">
        <f t="shared" si="22"/>
        <v>0</v>
      </c>
      <c r="BS32" s="919">
        <f>BR32*Pressupostos!$C$30</f>
        <v>0</v>
      </c>
      <c r="BT32" s="921">
        <f t="shared" si="23"/>
        <v>0</v>
      </c>
      <c r="BU32" s="14"/>
      <c r="BV32" s="917">
        <f>BV31+1</f>
        <v>8</v>
      </c>
      <c r="BW32" s="918" t="s">
        <v>249</v>
      </c>
      <c r="BX32" s="919">
        <f t="shared" si="38"/>
        <v>0</v>
      </c>
      <c r="BY32" s="920">
        <f t="shared" si="24"/>
        <v>0</v>
      </c>
      <c r="BZ32" s="919">
        <f>BX32-BY32</f>
        <v>0</v>
      </c>
      <c r="CA32" s="919">
        <f t="shared" si="25"/>
        <v>0</v>
      </c>
      <c r="CB32" s="919">
        <f>CA32*Pressupostos!$C$30</f>
        <v>0</v>
      </c>
      <c r="CC32" s="921">
        <f t="shared" si="26"/>
        <v>0</v>
      </c>
      <c r="CD32" s="14"/>
      <c r="CE32" s="917">
        <f>CE31+1</f>
        <v>8</v>
      </c>
      <c r="CF32" s="918" t="s">
        <v>249</v>
      </c>
      <c r="CG32" s="919">
        <f t="shared" si="39"/>
        <v>0</v>
      </c>
      <c r="CH32" s="920">
        <f t="shared" si="27"/>
        <v>0</v>
      </c>
      <c r="CI32" s="919">
        <f>CG32-CH32</f>
        <v>0</v>
      </c>
      <c r="CJ32" s="919">
        <f t="shared" si="28"/>
        <v>0</v>
      </c>
      <c r="CK32" s="919">
        <f>CJ32*Pressupostos!$C$30</f>
        <v>0</v>
      </c>
      <c r="CL32" s="921">
        <f t="shared" si="29"/>
        <v>0</v>
      </c>
      <c r="CM32" s="182"/>
    </row>
    <row r="33" spans="1:91" x14ac:dyDescent="0.25">
      <c r="A33" s="14"/>
      <c r="B33" s="917">
        <f>B32</f>
        <v>8</v>
      </c>
      <c r="C33" s="918" t="s">
        <v>250</v>
      </c>
      <c r="D33" s="919">
        <f t="shared" si="30"/>
        <v>0</v>
      </c>
      <c r="E33" s="920">
        <f t="shared" si="0"/>
        <v>0</v>
      </c>
      <c r="F33" s="919">
        <f>D32-E32-E33</f>
        <v>0</v>
      </c>
      <c r="G33" s="919">
        <f t="shared" si="1"/>
        <v>0</v>
      </c>
      <c r="H33" s="909">
        <f>G33*Pressupostos!$C$30</f>
        <v>0</v>
      </c>
      <c r="I33" s="921">
        <f t="shared" si="2"/>
        <v>0</v>
      </c>
      <c r="J33" s="279"/>
      <c r="K33" s="917">
        <f>K32</f>
        <v>8</v>
      </c>
      <c r="L33" s="918" t="s">
        <v>250</v>
      </c>
      <c r="M33" s="919">
        <f t="shared" si="31"/>
        <v>0</v>
      </c>
      <c r="N33" s="920">
        <f t="shared" si="3"/>
        <v>0</v>
      </c>
      <c r="O33" s="919">
        <f>M32-N32-N33</f>
        <v>0</v>
      </c>
      <c r="P33" s="919">
        <f t="shared" si="4"/>
        <v>0</v>
      </c>
      <c r="Q33" s="919">
        <f>P33*Pressupostos!$C$30</f>
        <v>0</v>
      </c>
      <c r="R33" s="921">
        <f t="shared" si="5"/>
        <v>0</v>
      </c>
      <c r="S33" s="14"/>
      <c r="T33" s="917">
        <f>T32</f>
        <v>8</v>
      </c>
      <c r="U33" s="918" t="s">
        <v>250</v>
      </c>
      <c r="V33" s="919">
        <f t="shared" si="32"/>
        <v>0</v>
      </c>
      <c r="W33" s="920">
        <f t="shared" si="6"/>
        <v>0</v>
      </c>
      <c r="X33" s="919">
        <f>V32-W32-W33</f>
        <v>0</v>
      </c>
      <c r="Y33" s="919">
        <f t="shared" si="7"/>
        <v>0</v>
      </c>
      <c r="Z33" s="919">
        <f>Y33*Pressupostos!$C$30</f>
        <v>0</v>
      </c>
      <c r="AA33" s="921">
        <f t="shared" si="8"/>
        <v>0</v>
      </c>
      <c r="AB33" s="14"/>
      <c r="AC33" s="917">
        <f>AC32</f>
        <v>8</v>
      </c>
      <c r="AD33" s="918" t="s">
        <v>250</v>
      </c>
      <c r="AE33" s="919">
        <f t="shared" si="33"/>
        <v>0</v>
      </c>
      <c r="AF33" s="920">
        <f t="shared" si="9"/>
        <v>0</v>
      </c>
      <c r="AG33" s="919">
        <f>AE32-AF32-AF33</f>
        <v>0</v>
      </c>
      <c r="AH33" s="919">
        <f t="shared" si="10"/>
        <v>0</v>
      </c>
      <c r="AI33" s="919">
        <f>AH33*Pressupostos!$C$30</f>
        <v>0</v>
      </c>
      <c r="AJ33" s="921">
        <f t="shared" si="11"/>
        <v>0</v>
      </c>
      <c r="AK33" s="14"/>
      <c r="AL33" s="917">
        <f>AL32</f>
        <v>8</v>
      </c>
      <c r="AM33" s="918" t="s">
        <v>250</v>
      </c>
      <c r="AN33" s="919">
        <f t="shared" si="34"/>
        <v>0</v>
      </c>
      <c r="AO33" s="920">
        <f t="shared" si="12"/>
        <v>0</v>
      </c>
      <c r="AP33" s="919">
        <f>AN32-AO32-AO33</f>
        <v>0</v>
      </c>
      <c r="AQ33" s="919">
        <f t="shared" si="13"/>
        <v>0</v>
      </c>
      <c r="AR33" s="919">
        <f>AQ33*Pressupostos!$C$30</f>
        <v>0</v>
      </c>
      <c r="AS33" s="921">
        <f t="shared" si="14"/>
        <v>0</v>
      </c>
      <c r="AT33" s="14"/>
      <c r="AU33" s="917">
        <f>AU32</f>
        <v>8</v>
      </c>
      <c r="AV33" s="918" t="s">
        <v>250</v>
      </c>
      <c r="AW33" s="919">
        <f t="shared" si="35"/>
        <v>0</v>
      </c>
      <c r="AX33" s="920">
        <f t="shared" si="15"/>
        <v>0</v>
      </c>
      <c r="AY33" s="919">
        <f>AW32-AX32-AX33</f>
        <v>0</v>
      </c>
      <c r="AZ33" s="919">
        <f t="shared" si="16"/>
        <v>0</v>
      </c>
      <c r="BA33" s="919">
        <f>AZ33*Pressupostos!$C$30</f>
        <v>0</v>
      </c>
      <c r="BB33" s="921">
        <f t="shared" si="17"/>
        <v>0</v>
      </c>
      <c r="BC33" s="14"/>
      <c r="BD33" s="917">
        <f>BD32</f>
        <v>8</v>
      </c>
      <c r="BE33" s="918" t="s">
        <v>250</v>
      </c>
      <c r="BF33" s="919">
        <f t="shared" si="36"/>
        <v>0</v>
      </c>
      <c r="BG33" s="920">
        <f t="shared" si="18"/>
        <v>0</v>
      </c>
      <c r="BH33" s="919">
        <f>BF32-BG32-BG33</f>
        <v>0</v>
      </c>
      <c r="BI33" s="919">
        <f t="shared" si="19"/>
        <v>0</v>
      </c>
      <c r="BJ33" s="919">
        <f>BI33*Pressupostos!$C$30</f>
        <v>0</v>
      </c>
      <c r="BK33" s="921">
        <f t="shared" si="20"/>
        <v>0</v>
      </c>
      <c r="BL33" s="14"/>
      <c r="BM33" s="917">
        <f>BM32</f>
        <v>8</v>
      </c>
      <c r="BN33" s="918" t="s">
        <v>250</v>
      </c>
      <c r="BO33" s="919">
        <f t="shared" si="37"/>
        <v>0</v>
      </c>
      <c r="BP33" s="920">
        <f t="shared" si="21"/>
        <v>0</v>
      </c>
      <c r="BQ33" s="919">
        <f>BO32-BP32-BP33</f>
        <v>0</v>
      </c>
      <c r="BR33" s="919">
        <f t="shared" si="22"/>
        <v>0</v>
      </c>
      <c r="BS33" s="919">
        <f>BR33*Pressupostos!$C$30</f>
        <v>0</v>
      </c>
      <c r="BT33" s="921">
        <f t="shared" si="23"/>
        <v>0</v>
      </c>
      <c r="BU33" s="14"/>
      <c r="BV33" s="917">
        <f>BV32</f>
        <v>8</v>
      </c>
      <c r="BW33" s="918" t="s">
        <v>250</v>
      </c>
      <c r="BX33" s="919">
        <f t="shared" si="38"/>
        <v>0</v>
      </c>
      <c r="BY33" s="920">
        <f t="shared" si="24"/>
        <v>0</v>
      </c>
      <c r="BZ33" s="919">
        <f>BX32-BY32-BY33</f>
        <v>0</v>
      </c>
      <c r="CA33" s="919">
        <f t="shared" si="25"/>
        <v>0</v>
      </c>
      <c r="CB33" s="919">
        <f>CA33*Pressupostos!$C$30</f>
        <v>0</v>
      </c>
      <c r="CC33" s="921">
        <f t="shared" si="26"/>
        <v>0</v>
      </c>
      <c r="CD33" s="14"/>
      <c r="CE33" s="917">
        <f>CE32</f>
        <v>8</v>
      </c>
      <c r="CF33" s="918" t="s">
        <v>250</v>
      </c>
      <c r="CG33" s="919">
        <f t="shared" si="39"/>
        <v>0</v>
      </c>
      <c r="CH33" s="920">
        <f t="shared" si="27"/>
        <v>0</v>
      </c>
      <c r="CI33" s="919">
        <f>CG32-CH32-CH33</f>
        <v>0</v>
      </c>
      <c r="CJ33" s="919">
        <f t="shared" si="28"/>
        <v>0</v>
      </c>
      <c r="CK33" s="919">
        <f>CJ33*Pressupostos!$C$30</f>
        <v>0</v>
      </c>
      <c r="CL33" s="921">
        <f t="shared" si="29"/>
        <v>0</v>
      </c>
      <c r="CM33" s="182"/>
    </row>
    <row r="34" spans="1:91" x14ac:dyDescent="0.25">
      <c r="A34" s="14"/>
      <c r="B34" s="917">
        <f>B33+1</f>
        <v>9</v>
      </c>
      <c r="C34" s="918" t="s">
        <v>249</v>
      </c>
      <c r="D34" s="919">
        <f t="shared" si="30"/>
        <v>0</v>
      </c>
      <c r="E34" s="920">
        <f t="shared" si="0"/>
        <v>0</v>
      </c>
      <c r="F34" s="919">
        <f>D34-E34</f>
        <v>0</v>
      </c>
      <c r="G34" s="919">
        <f t="shared" si="1"/>
        <v>0</v>
      </c>
      <c r="H34" s="909">
        <f>G34*Pressupostos!$C$30</f>
        <v>0</v>
      </c>
      <c r="I34" s="921">
        <f t="shared" si="2"/>
        <v>0</v>
      </c>
      <c r="J34" s="279"/>
      <c r="K34" s="917">
        <f>K33+1</f>
        <v>9</v>
      </c>
      <c r="L34" s="918" t="s">
        <v>249</v>
      </c>
      <c r="M34" s="919">
        <f t="shared" si="31"/>
        <v>0</v>
      </c>
      <c r="N34" s="920">
        <f t="shared" si="3"/>
        <v>0</v>
      </c>
      <c r="O34" s="919">
        <f>M34-N34</f>
        <v>0</v>
      </c>
      <c r="P34" s="919">
        <f t="shared" si="4"/>
        <v>0</v>
      </c>
      <c r="Q34" s="919">
        <f>P34*Pressupostos!$C$30</f>
        <v>0</v>
      </c>
      <c r="R34" s="921">
        <f t="shared" si="5"/>
        <v>0</v>
      </c>
      <c r="S34" s="14"/>
      <c r="T34" s="917">
        <f>T33+1</f>
        <v>9</v>
      </c>
      <c r="U34" s="918" t="s">
        <v>249</v>
      </c>
      <c r="V34" s="919">
        <f t="shared" si="32"/>
        <v>0</v>
      </c>
      <c r="W34" s="920">
        <f t="shared" si="6"/>
        <v>0</v>
      </c>
      <c r="X34" s="919">
        <f>V34-W34</f>
        <v>0</v>
      </c>
      <c r="Y34" s="919">
        <f t="shared" si="7"/>
        <v>0</v>
      </c>
      <c r="Z34" s="919">
        <f>Y34*Pressupostos!$C$30</f>
        <v>0</v>
      </c>
      <c r="AA34" s="921">
        <f t="shared" si="8"/>
        <v>0</v>
      </c>
      <c r="AB34" s="14"/>
      <c r="AC34" s="917">
        <f>AC33+1</f>
        <v>9</v>
      </c>
      <c r="AD34" s="918" t="s">
        <v>249</v>
      </c>
      <c r="AE34" s="919">
        <f t="shared" si="33"/>
        <v>0</v>
      </c>
      <c r="AF34" s="920">
        <f t="shared" si="9"/>
        <v>0</v>
      </c>
      <c r="AG34" s="919">
        <f>AE34-AF34</f>
        <v>0</v>
      </c>
      <c r="AH34" s="919">
        <f t="shared" si="10"/>
        <v>0</v>
      </c>
      <c r="AI34" s="919">
        <f>AH34*Pressupostos!$C$30</f>
        <v>0</v>
      </c>
      <c r="AJ34" s="921">
        <f t="shared" si="11"/>
        <v>0</v>
      </c>
      <c r="AK34" s="14"/>
      <c r="AL34" s="917">
        <f>AL33+1</f>
        <v>9</v>
      </c>
      <c r="AM34" s="918" t="s">
        <v>249</v>
      </c>
      <c r="AN34" s="919">
        <f t="shared" si="34"/>
        <v>0</v>
      </c>
      <c r="AO34" s="920">
        <f t="shared" si="12"/>
        <v>0</v>
      </c>
      <c r="AP34" s="919">
        <f>AN34-AO34</f>
        <v>0</v>
      </c>
      <c r="AQ34" s="919">
        <f t="shared" si="13"/>
        <v>0</v>
      </c>
      <c r="AR34" s="919">
        <f>AQ34*Pressupostos!$C$30</f>
        <v>0</v>
      </c>
      <c r="AS34" s="921">
        <f t="shared" si="14"/>
        <v>0</v>
      </c>
      <c r="AT34" s="14"/>
      <c r="AU34" s="917">
        <f>AU33+1</f>
        <v>9</v>
      </c>
      <c r="AV34" s="918" t="s">
        <v>249</v>
      </c>
      <c r="AW34" s="919">
        <f t="shared" si="35"/>
        <v>0</v>
      </c>
      <c r="AX34" s="920">
        <f t="shared" si="15"/>
        <v>0</v>
      </c>
      <c r="AY34" s="919">
        <f>AW34-AX34</f>
        <v>0</v>
      </c>
      <c r="AZ34" s="919">
        <f t="shared" si="16"/>
        <v>0</v>
      </c>
      <c r="BA34" s="919">
        <f>AZ34*Pressupostos!$C$30</f>
        <v>0</v>
      </c>
      <c r="BB34" s="921">
        <f t="shared" si="17"/>
        <v>0</v>
      </c>
      <c r="BC34" s="14"/>
      <c r="BD34" s="917">
        <f>BD33+1</f>
        <v>9</v>
      </c>
      <c r="BE34" s="918" t="s">
        <v>249</v>
      </c>
      <c r="BF34" s="919">
        <f t="shared" si="36"/>
        <v>0</v>
      </c>
      <c r="BG34" s="920">
        <f t="shared" si="18"/>
        <v>0</v>
      </c>
      <c r="BH34" s="919">
        <f>BF34-BG34</f>
        <v>0</v>
      </c>
      <c r="BI34" s="919">
        <f t="shared" si="19"/>
        <v>0</v>
      </c>
      <c r="BJ34" s="919">
        <f>BI34*Pressupostos!$C$30</f>
        <v>0</v>
      </c>
      <c r="BK34" s="921">
        <f t="shared" si="20"/>
        <v>0</v>
      </c>
      <c r="BL34" s="14"/>
      <c r="BM34" s="917">
        <f>BM33+1</f>
        <v>9</v>
      </c>
      <c r="BN34" s="918" t="s">
        <v>249</v>
      </c>
      <c r="BO34" s="919">
        <f t="shared" si="37"/>
        <v>0</v>
      </c>
      <c r="BP34" s="920">
        <f t="shared" si="21"/>
        <v>0</v>
      </c>
      <c r="BQ34" s="919">
        <f>BO34-BP34</f>
        <v>0</v>
      </c>
      <c r="BR34" s="919">
        <f t="shared" si="22"/>
        <v>0</v>
      </c>
      <c r="BS34" s="919">
        <f>BR34*Pressupostos!$C$30</f>
        <v>0</v>
      </c>
      <c r="BT34" s="921">
        <f t="shared" si="23"/>
        <v>0</v>
      </c>
      <c r="BU34" s="14"/>
      <c r="BV34" s="917">
        <f>BV33+1</f>
        <v>9</v>
      </c>
      <c r="BW34" s="918" t="s">
        <v>249</v>
      </c>
      <c r="BX34" s="919">
        <f t="shared" si="38"/>
        <v>0</v>
      </c>
      <c r="BY34" s="920">
        <f t="shared" si="24"/>
        <v>0</v>
      </c>
      <c r="BZ34" s="919">
        <f>BX34-BY34</f>
        <v>0</v>
      </c>
      <c r="CA34" s="919">
        <f t="shared" si="25"/>
        <v>0</v>
      </c>
      <c r="CB34" s="919">
        <f>CA34*Pressupostos!$C$30</f>
        <v>0</v>
      </c>
      <c r="CC34" s="921">
        <f t="shared" si="26"/>
        <v>0</v>
      </c>
      <c r="CD34" s="14"/>
      <c r="CE34" s="917">
        <f>CE33+1</f>
        <v>9</v>
      </c>
      <c r="CF34" s="918" t="s">
        <v>249</v>
      </c>
      <c r="CG34" s="919">
        <f t="shared" si="39"/>
        <v>0</v>
      </c>
      <c r="CH34" s="920">
        <f t="shared" si="27"/>
        <v>0</v>
      </c>
      <c r="CI34" s="919">
        <f>CG34-CH34</f>
        <v>0</v>
      </c>
      <c r="CJ34" s="919">
        <f t="shared" si="28"/>
        <v>0</v>
      </c>
      <c r="CK34" s="919">
        <f>CJ34*Pressupostos!$C$30</f>
        <v>0</v>
      </c>
      <c r="CL34" s="921">
        <f t="shared" si="29"/>
        <v>0</v>
      </c>
      <c r="CM34" s="182"/>
    </row>
    <row r="35" spans="1:91" x14ac:dyDescent="0.25">
      <c r="A35" s="14"/>
      <c r="B35" s="917">
        <f>B34</f>
        <v>9</v>
      </c>
      <c r="C35" s="918" t="s">
        <v>250</v>
      </c>
      <c r="D35" s="919">
        <f t="shared" si="30"/>
        <v>0</v>
      </c>
      <c r="E35" s="920">
        <f t="shared" si="0"/>
        <v>0</v>
      </c>
      <c r="F35" s="919">
        <f>D34-E34-E35</f>
        <v>0</v>
      </c>
      <c r="G35" s="919">
        <f t="shared" si="1"/>
        <v>0</v>
      </c>
      <c r="H35" s="909">
        <f>G35*Pressupostos!$C$30</f>
        <v>0</v>
      </c>
      <c r="I35" s="921">
        <f t="shared" si="2"/>
        <v>0</v>
      </c>
      <c r="J35" s="279"/>
      <c r="K35" s="917">
        <f>K34</f>
        <v>9</v>
      </c>
      <c r="L35" s="918" t="s">
        <v>250</v>
      </c>
      <c r="M35" s="919">
        <f t="shared" si="31"/>
        <v>0</v>
      </c>
      <c r="N35" s="920">
        <f t="shared" si="3"/>
        <v>0</v>
      </c>
      <c r="O35" s="919">
        <f>M34-N34-N35</f>
        <v>0</v>
      </c>
      <c r="P35" s="919">
        <f t="shared" si="4"/>
        <v>0</v>
      </c>
      <c r="Q35" s="919">
        <f>P35*Pressupostos!$C$30</f>
        <v>0</v>
      </c>
      <c r="R35" s="921">
        <f t="shared" si="5"/>
        <v>0</v>
      </c>
      <c r="S35" s="14"/>
      <c r="T35" s="917">
        <f>T34</f>
        <v>9</v>
      </c>
      <c r="U35" s="918" t="s">
        <v>250</v>
      </c>
      <c r="V35" s="919">
        <f t="shared" si="32"/>
        <v>0</v>
      </c>
      <c r="W35" s="920">
        <f t="shared" si="6"/>
        <v>0</v>
      </c>
      <c r="X35" s="919">
        <f>V34-W34-W35</f>
        <v>0</v>
      </c>
      <c r="Y35" s="919">
        <f t="shared" si="7"/>
        <v>0</v>
      </c>
      <c r="Z35" s="919">
        <f>Y35*Pressupostos!$C$30</f>
        <v>0</v>
      </c>
      <c r="AA35" s="921">
        <f t="shared" si="8"/>
        <v>0</v>
      </c>
      <c r="AB35" s="14"/>
      <c r="AC35" s="917">
        <f>AC34</f>
        <v>9</v>
      </c>
      <c r="AD35" s="918" t="s">
        <v>250</v>
      </c>
      <c r="AE35" s="919">
        <f t="shared" si="33"/>
        <v>0</v>
      </c>
      <c r="AF35" s="920">
        <f t="shared" si="9"/>
        <v>0</v>
      </c>
      <c r="AG35" s="919">
        <f>AE34-AF34-AF35</f>
        <v>0</v>
      </c>
      <c r="AH35" s="919">
        <f t="shared" si="10"/>
        <v>0</v>
      </c>
      <c r="AI35" s="919">
        <f>AH35*Pressupostos!$C$30</f>
        <v>0</v>
      </c>
      <c r="AJ35" s="921">
        <f t="shared" si="11"/>
        <v>0</v>
      </c>
      <c r="AK35" s="14"/>
      <c r="AL35" s="917">
        <f>AL34</f>
        <v>9</v>
      </c>
      <c r="AM35" s="918" t="s">
        <v>250</v>
      </c>
      <c r="AN35" s="919">
        <f t="shared" si="34"/>
        <v>0</v>
      </c>
      <c r="AO35" s="920">
        <f t="shared" si="12"/>
        <v>0</v>
      </c>
      <c r="AP35" s="919">
        <f>AN34-AO34-AO35</f>
        <v>0</v>
      </c>
      <c r="AQ35" s="919">
        <f t="shared" si="13"/>
        <v>0</v>
      </c>
      <c r="AR35" s="919">
        <f>AQ35*Pressupostos!$C$30</f>
        <v>0</v>
      </c>
      <c r="AS35" s="921">
        <f t="shared" si="14"/>
        <v>0</v>
      </c>
      <c r="AT35" s="14"/>
      <c r="AU35" s="917">
        <f>AU34</f>
        <v>9</v>
      </c>
      <c r="AV35" s="918" t="s">
        <v>250</v>
      </c>
      <c r="AW35" s="919">
        <f t="shared" si="35"/>
        <v>0</v>
      </c>
      <c r="AX35" s="920">
        <f t="shared" si="15"/>
        <v>0</v>
      </c>
      <c r="AY35" s="919">
        <f>AW34-AX34-AX35</f>
        <v>0</v>
      </c>
      <c r="AZ35" s="919">
        <f t="shared" si="16"/>
        <v>0</v>
      </c>
      <c r="BA35" s="919">
        <f>AZ35*Pressupostos!$C$30</f>
        <v>0</v>
      </c>
      <c r="BB35" s="921">
        <f t="shared" si="17"/>
        <v>0</v>
      </c>
      <c r="BC35" s="14"/>
      <c r="BD35" s="917">
        <f>BD34</f>
        <v>9</v>
      </c>
      <c r="BE35" s="918" t="s">
        <v>250</v>
      </c>
      <c r="BF35" s="919">
        <f t="shared" si="36"/>
        <v>0</v>
      </c>
      <c r="BG35" s="920">
        <f t="shared" si="18"/>
        <v>0</v>
      </c>
      <c r="BH35" s="919">
        <f>BF34-BG34-BG35</f>
        <v>0</v>
      </c>
      <c r="BI35" s="919">
        <f t="shared" si="19"/>
        <v>0</v>
      </c>
      <c r="BJ35" s="919">
        <f>BI35*Pressupostos!$C$30</f>
        <v>0</v>
      </c>
      <c r="BK35" s="921">
        <f t="shared" si="20"/>
        <v>0</v>
      </c>
      <c r="BL35" s="14"/>
      <c r="BM35" s="917">
        <f>BM34</f>
        <v>9</v>
      </c>
      <c r="BN35" s="918" t="s">
        <v>250</v>
      </c>
      <c r="BO35" s="919">
        <f t="shared" si="37"/>
        <v>0</v>
      </c>
      <c r="BP35" s="920">
        <f t="shared" si="21"/>
        <v>0</v>
      </c>
      <c r="BQ35" s="919">
        <f>BO34-BP34-BP35</f>
        <v>0</v>
      </c>
      <c r="BR35" s="919">
        <f t="shared" si="22"/>
        <v>0</v>
      </c>
      <c r="BS35" s="919">
        <f>BR35*Pressupostos!$C$30</f>
        <v>0</v>
      </c>
      <c r="BT35" s="921">
        <f t="shared" si="23"/>
        <v>0</v>
      </c>
      <c r="BU35" s="14"/>
      <c r="BV35" s="917">
        <f>BV34</f>
        <v>9</v>
      </c>
      <c r="BW35" s="918" t="s">
        <v>250</v>
      </c>
      <c r="BX35" s="919">
        <f t="shared" si="38"/>
        <v>0</v>
      </c>
      <c r="BY35" s="920">
        <f t="shared" si="24"/>
        <v>0</v>
      </c>
      <c r="BZ35" s="919">
        <f>BX34-BY34-BY35</f>
        <v>0</v>
      </c>
      <c r="CA35" s="919">
        <f t="shared" si="25"/>
        <v>0</v>
      </c>
      <c r="CB35" s="919">
        <f>CA35*Pressupostos!$C$30</f>
        <v>0</v>
      </c>
      <c r="CC35" s="921">
        <f t="shared" si="26"/>
        <v>0</v>
      </c>
      <c r="CD35" s="14"/>
      <c r="CE35" s="917">
        <f>CE34</f>
        <v>9</v>
      </c>
      <c r="CF35" s="918" t="s">
        <v>250</v>
      </c>
      <c r="CG35" s="919">
        <f t="shared" si="39"/>
        <v>0</v>
      </c>
      <c r="CH35" s="920">
        <f t="shared" si="27"/>
        <v>0</v>
      </c>
      <c r="CI35" s="919">
        <f>CG34-CH34-CH35</f>
        <v>0</v>
      </c>
      <c r="CJ35" s="919">
        <f t="shared" si="28"/>
        <v>0</v>
      </c>
      <c r="CK35" s="919">
        <f>CJ35*Pressupostos!$C$30</f>
        <v>0</v>
      </c>
      <c r="CL35" s="921">
        <f t="shared" si="29"/>
        <v>0</v>
      </c>
      <c r="CM35" s="182"/>
    </row>
    <row r="36" spans="1:91" x14ac:dyDescent="0.25">
      <c r="A36" s="14"/>
      <c r="B36" s="917">
        <f>B35+1</f>
        <v>10</v>
      </c>
      <c r="C36" s="918" t="s">
        <v>249</v>
      </c>
      <c r="D36" s="919">
        <f t="shared" si="30"/>
        <v>0</v>
      </c>
      <c r="E36" s="920">
        <f t="shared" si="0"/>
        <v>0</v>
      </c>
      <c r="F36" s="919">
        <f>D36-E36</f>
        <v>0</v>
      </c>
      <c r="G36" s="919">
        <f t="shared" si="1"/>
        <v>0</v>
      </c>
      <c r="H36" s="909">
        <f>G36*Pressupostos!$C$30</f>
        <v>0</v>
      </c>
      <c r="I36" s="921">
        <f t="shared" si="2"/>
        <v>0</v>
      </c>
      <c r="J36" s="279"/>
      <c r="K36" s="917">
        <f>K35+1</f>
        <v>10</v>
      </c>
      <c r="L36" s="918" t="s">
        <v>249</v>
      </c>
      <c r="M36" s="919">
        <f t="shared" si="31"/>
        <v>0</v>
      </c>
      <c r="N36" s="920">
        <f t="shared" si="3"/>
        <v>0</v>
      </c>
      <c r="O36" s="919">
        <f>M36-N36</f>
        <v>0</v>
      </c>
      <c r="P36" s="919">
        <f t="shared" si="4"/>
        <v>0</v>
      </c>
      <c r="Q36" s="919">
        <f>P36*Pressupostos!$C$30</f>
        <v>0</v>
      </c>
      <c r="R36" s="921">
        <f t="shared" si="5"/>
        <v>0</v>
      </c>
      <c r="S36" s="14"/>
      <c r="T36" s="917">
        <f>T35+1</f>
        <v>10</v>
      </c>
      <c r="U36" s="918" t="s">
        <v>249</v>
      </c>
      <c r="V36" s="919">
        <f t="shared" si="32"/>
        <v>0</v>
      </c>
      <c r="W36" s="920">
        <f t="shared" si="6"/>
        <v>0</v>
      </c>
      <c r="X36" s="919">
        <f>V36-W36</f>
        <v>0</v>
      </c>
      <c r="Y36" s="919">
        <f t="shared" si="7"/>
        <v>0</v>
      </c>
      <c r="Z36" s="919">
        <f>Y36*Pressupostos!$C$30</f>
        <v>0</v>
      </c>
      <c r="AA36" s="921">
        <f t="shared" si="8"/>
        <v>0</v>
      </c>
      <c r="AB36" s="14"/>
      <c r="AC36" s="917">
        <f>AC35+1</f>
        <v>10</v>
      </c>
      <c r="AD36" s="918" t="s">
        <v>249</v>
      </c>
      <c r="AE36" s="919">
        <f t="shared" si="33"/>
        <v>0</v>
      </c>
      <c r="AF36" s="920">
        <f t="shared" si="9"/>
        <v>0</v>
      </c>
      <c r="AG36" s="919">
        <f>AE36-AF36</f>
        <v>0</v>
      </c>
      <c r="AH36" s="919">
        <f t="shared" si="10"/>
        <v>0</v>
      </c>
      <c r="AI36" s="919">
        <f>AH36*Pressupostos!$C$30</f>
        <v>0</v>
      </c>
      <c r="AJ36" s="921">
        <f t="shared" si="11"/>
        <v>0</v>
      </c>
      <c r="AK36" s="14"/>
      <c r="AL36" s="917">
        <f>AL35+1</f>
        <v>10</v>
      </c>
      <c r="AM36" s="918" t="s">
        <v>249</v>
      </c>
      <c r="AN36" s="919">
        <f t="shared" si="34"/>
        <v>0</v>
      </c>
      <c r="AO36" s="920">
        <f t="shared" si="12"/>
        <v>0</v>
      </c>
      <c r="AP36" s="919">
        <f>AN36-AO36</f>
        <v>0</v>
      </c>
      <c r="AQ36" s="919">
        <f t="shared" si="13"/>
        <v>0</v>
      </c>
      <c r="AR36" s="919">
        <f>AQ36*Pressupostos!$C$30</f>
        <v>0</v>
      </c>
      <c r="AS36" s="921">
        <f t="shared" si="14"/>
        <v>0</v>
      </c>
      <c r="AT36" s="14"/>
      <c r="AU36" s="917">
        <f>AU35+1</f>
        <v>10</v>
      </c>
      <c r="AV36" s="918" t="s">
        <v>249</v>
      </c>
      <c r="AW36" s="919">
        <f t="shared" si="35"/>
        <v>0</v>
      </c>
      <c r="AX36" s="920">
        <f t="shared" si="15"/>
        <v>0</v>
      </c>
      <c r="AY36" s="919">
        <f>AW36-AX36</f>
        <v>0</v>
      </c>
      <c r="AZ36" s="919">
        <f t="shared" si="16"/>
        <v>0</v>
      </c>
      <c r="BA36" s="919">
        <f>AZ36*Pressupostos!$C$30</f>
        <v>0</v>
      </c>
      <c r="BB36" s="921">
        <f t="shared" si="17"/>
        <v>0</v>
      </c>
      <c r="BC36" s="14"/>
      <c r="BD36" s="917">
        <f>BD35+1</f>
        <v>10</v>
      </c>
      <c r="BE36" s="918" t="s">
        <v>249</v>
      </c>
      <c r="BF36" s="919">
        <f t="shared" si="36"/>
        <v>0</v>
      </c>
      <c r="BG36" s="920">
        <f t="shared" si="18"/>
        <v>0</v>
      </c>
      <c r="BH36" s="919">
        <f>BF36-BG36</f>
        <v>0</v>
      </c>
      <c r="BI36" s="919">
        <f t="shared" si="19"/>
        <v>0</v>
      </c>
      <c r="BJ36" s="919">
        <f>BI36*Pressupostos!$C$30</f>
        <v>0</v>
      </c>
      <c r="BK36" s="921">
        <f t="shared" si="20"/>
        <v>0</v>
      </c>
      <c r="BL36" s="14"/>
      <c r="BM36" s="917">
        <f>BM35+1</f>
        <v>10</v>
      </c>
      <c r="BN36" s="918" t="s">
        <v>249</v>
      </c>
      <c r="BO36" s="919">
        <f t="shared" si="37"/>
        <v>0</v>
      </c>
      <c r="BP36" s="920">
        <f t="shared" si="21"/>
        <v>0</v>
      </c>
      <c r="BQ36" s="919">
        <f>BO36-BP36</f>
        <v>0</v>
      </c>
      <c r="BR36" s="919">
        <f t="shared" si="22"/>
        <v>0</v>
      </c>
      <c r="BS36" s="919">
        <f>BR36*Pressupostos!$C$30</f>
        <v>0</v>
      </c>
      <c r="BT36" s="921">
        <f t="shared" si="23"/>
        <v>0</v>
      </c>
      <c r="BU36" s="14"/>
      <c r="BV36" s="917">
        <f>BV35+1</f>
        <v>10</v>
      </c>
      <c r="BW36" s="918" t="s">
        <v>249</v>
      </c>
      <c r="BX36" s="919">
        <f t="shared" si="38"/>
        <v>0</v>
      </c>
      <c r="BY36" s="920">
        <f t="shared" si="24"/>
        <v>0</v>
      </c>
      <c r="BZ36" s="919">
        <f>BX36-BY36</f>
        <v>0</v>
      </c>
      <c r="CA36" s="919">
        <f t="shared" si="25"/>
        <v>0</v>
      </c>
      <c r="CB36" s="919">
        <f>CA36*Pressupostos!$C$30</f>
        <v>0</v>
      </c>
      <c r="CC36" s="921">
        <f t="shared" si="26"/>
        <v>0</v>
      </c>
      <c r="CD36" s="14"/>
      <c r="CE36" s="917">
        <f>CE35+1</f>
        <v>10</v>
      </c>
      <c r="CF36" s="918" t="s">
        <v>249</v>
      </c>
      <c r="CG36" s="919">
        <f t="shared" si="39"/>
        <v>0</v>
      </c>
      <c r="CH36" s="920">
        <f t="shared" si="27"/>
        <v>0</v>
      </c>
      <c r="CI36" s="919">
        <f>CG36-CH36</f>
        <v>0</v>
      </c>
      <c r="CJ36" s="919">
        <f t="shared" si="28"/>
        <v>0</v>
      </c>
      <c r="CK36" s="919">
        <f>CJ36*Pressupostos!$C$30</f>
        <v>0</v>
      </c>
      <c r="CL36" s="921">
        <f t="shared" si="29"/>
        <v>0</v>
      </c>
      <c r="CM36" s="182"/>
    </row>
    <row r="37" spans="1:91" x14ac:dyDescent="0.25">
      <c r="A37" s="14"/>
      <c r="B37" s="917">
        <f>B36</f>
        <v>10</v>
      </c>
      <c r="C37" s="918" t="s">
        <v>250</v>
      </c>
      <c r="D37" s="919">
        <f t="shared" si="30"/>
        <v>0</v>
      </c>
      <c r="E37" s="920">
        <f t="shared" si="0"/>
        <v>0</v>
      </c>
      <c r="F37" s="919">
        <f>D36-E36-E37</f>
        <v>0</v>
      </c>
      <c r="G37" s="919">
        <f t="shared" si="1"/>
        <v>0</v>
      </c>
      <c r="H37" s="909">
        <f>G37*Pressupostos!$C$30</f>
        <v>0</v>
      </c>
      <c r="I37" s="921">
        <f t="shared" si="2"/>
        <v>0</v>
      </c>
      <c r="J37" s="279"/>
      <c r="K37" s="917">
        <f>K36</f>
        <v>10</v>
      </c>
      <c r="L37" s="918" t="s">
        <v>250</v>
      </c>
      <c r="M37" s="919">
        <f t="shared" si="31"/>
        <v>0</v>
      </c>
      <c r="N37" s="920">
        <f t="shared" si="3"/>
        <v>0</v>
      </c>
      <c r="O37" s="919">
        <f>M36-N36-N37</f>
        <v>0</v>
      </c>
      <c r="P37" s="919">
        <f t="shared" si="4"/>
        <v>0</v>
      </c>
      <c r="Q37" s="919">
        <f>P37*Pressupostos!$C$30</f>
        <v>0</v>
      </c>
      <c r="R37" s="921">
        <f t="shared" si="5"/>
        <v>0</v>
      </c>
      <c r="S37" s="14"/>
      <c r="T37" s="917">
        <f>T36</f>
        <v>10</v>
      </c>
      <c r="U37" s="918" t="s">
        <v>250</v>
      </c>
      <c r="V37" s="919">
        <f t="shared" si="32"/>
        <v>0</v>
      </c>
      <c r="W37" s="920">
        <f t="shared" si="6"/>
        <v>0</v>
      </c>
      <c r="X37" s="919">
        <f>V36-W36-W37</f>
        <v>0</v>
      </c>
      <c r="Y37" s="919">
        <f t="shared" si="7"/>
        <v>0</v>
      </c>
      <c r="Z37" s="919">
        <f>Y37*Pressupostos!$C$30</f>
        <v>0</v>
      </c>
      <c r="AA37" s="921">
        <f t="shared" si="8"/>
        <v>0</v>
      </c>
      <c r="AB37" s="14"/>
      <c r="AC37" s="917">
        <f>AC36</f>
        <v>10</v>
      </c>
      <c r="AD37" s="918" t="s">
        <v>250</v>
      </c>
      <c r="AE37" s="919">
        <f t="shared" si="33"/>
        <v>0</v>
      </c>
      <c r="AF37" s="920">
        <f t="shared" si="9"/>
        <v>0</v>
      </c>
      <c r="AG37" s="919">
        <f>AE36-AF36-AF37</f>
        <v>0</v>
      </c>
      <c r="AH37" s="919">
        <f t="shared" si="10"/>
        <v>0</v>
      </c>
      <c r="AI37" s="919">
        <f>AH37*Pressupostos!$C$30</f>
        <v>0</v>
      </c>
      <c r="AJ37" s="921">
        <f t="shared" si="11"/>
        <v>0</v>
      </c>
      <c r="AK37" s="14"/>
      <c r="AL37" s="917">
        <f>AL36</f>
        <v>10</v>
      </c>
      <c r="AM37" s="918" t="s">
        <v>250</v>
      </c>
      <c r="AN37" s="919">
        <f t="shared" si="34"/>
        <v>0</v>
      </c>
      <c r="AO37" s="920">
        <f t="shared" si="12"/>
        <v>0</v>
      </c>
      <c r="AP37" s="919">
        <f>AN36-AO36-AO37</f>
        <v>0</v>
      </c>
      <c r="AQ37" s="919">
        <f t="shared" si="13"/>
        <v>0</v>
      </c>
      <c r="AR37" s="919">
        <f>AQ37*Pressupostos!$C$30</f>
        <v>0</v>
      </c>
      <c r="AS37" s="921">
        <f t="shared" si="14"/>
        <v>0</v>
      </c>
      <c r="AT37" s="14"/>
      <c r="AU37" s="917">
        <f>AU36</f>
        <v>10</v>
      </c>
      <c r="AV37" s="918" t="s">
        <v>250</v>
      </c>
      <c r="AW37" s="919">
        <f t="shared" si="35"/>
        <v>0</v>
      </c>
      <c r="AX37" s="920">
        <f t="shared" si="15"/>
        <v>0</v>
      </c>
      <c r="AY37" s="919">
        <f>AW36-AX36-AX37</f>
        <v>0</v>
      </c>
      <c r="AZ37" s="919">
        <f t="shared" si="16"/>
        <v>0</v>
      </c>
      <c r="BA37" s="919">
        <f>AZ37*Pressupostos!$C$30</f>
        <v>0</v>
      </c>
      <c r="BB37" s="921">
        <f t="shared" si="17"/>
        <v>0</v>
      </c>
      <c r="BC37" s="14"/>
      <c r="BD37" s="917">
        <f>BD36</f>
        <v>10</v>
      </c>
      <c r="BE37" s="918" t="s">
        <v>250</v>
      </c>
      <c r="BF37" s="919">
        <f t="shared" si="36"/>
        <v>0</v>
      </c>
      <c r="BG37" s="920">
        <f t="shared" si="18"/>
        <v>0</v>
      </c>
      <c r="BH37" s="919">
        <f>BF36-BG36-BG37</f>
        <v>0</v>
      </c>
      <c r="BI37" s="919">
        <f t="shared" si="19"/>
        <v>0</v>
      </c>
      <c r="BJ37" s="919">
        <f>BI37*Pressupostos!$C$30</f>
        <v>0</v>
      </c>
      <c r="BK37" s="921">
        <f t="shared" si="20"/>
        <v>0</v>
      </c>
      <c r="BL37" s="14"/>
      <c r="BM37" s="917">
        <f>BM36</f>
        <v>10</v>
      </c>
      <c r="BN37" s="918" t="s">
        <v>250</v>
      </c>
      <c r="BO37" s="919">
        <f t="shared" si="37"/>
        <v>0</v>
      </c>
      <c r="BP37" s="920">
        <f t="shared" si="21"/>
        <v>0</v>
      </c>
      <c r="BQ37" s="919">
        <f>BO36-BP36-BP37</f>
        <v>0</v>
      </c>
      <c r="BR37" s="919">
        <f t="shared" si="22"/>
        <v>0</v>
      </c>
      <c r="BS37" s="919">
        <f>BR37*Pressupostos!$C$30</f>
        <v>0</v>
      </c>
      <c r="BT37" s="921">
        <f t="shared" si="23"/>
        <v>0</v>
      </c>
      <c r="BU37" s="14"/>
      <c r="BV37" s="917">
        <f>BV36</f>
        <v>10</v>
      </c>
      <c r="BW37" s="918" t="s">
        <v>250</v>
      </c>
      <c r="BX37" s="919">
        <f t="shared" si="38"/>
        <v>0</v>
      </c>
      <c r="BY37" s="920">
        <f t="shared" si="24"/>
        <v>0</v>
      </c>
      <c r="BZ37" s="919">
        <f>BX36-BY36-BY37</f>
        <v>0</v>
      </c>
      <c r="CA37" s="919">
        <f t="shared" si="25"/>
        <v>0</v>
      </c>
      <c r="CB37" s="919">
        <f>CA37*Pressupostos!$C$30</f>
        <v>0</v>
      </c>
      <c r="CC37" s="921">
        <f t="shared" si="26"/>
        <v>0</v>
      </c>
      <c r="CD37" s="14"/>
      <c r="CE37" s="917">
        <f>CE36</f>
        <v>10</v>
      </c>
      <c r="CF37" s="918" t="s">
        <v>250</v>
      </c>
      <c r="CG37" s="919">
        <f t="shared" si="39"/>
        <v>0</v>
      </c>
      <c r="CH37" s="920">
        <f t="shared" si="27"/>
        <v>0</v>
      </c>
      <c r="CI37" s="919">
        <f>CG36-CH36-CH37</f>
        <v>0</v>
      </c>
      <c r="CJ37" s="919">
        <f t="shared" si="28"/>
        <v>0</v>
      </c>
      <c r="CK37" s="919">
        <f>CJ37*Pressupostos!$C$30</f>
        <v>0</v>
      </c>
      <c r="CL37" s="921">
        <f t="shared" si="29"/>
        <v>0</v>
      </c>
      <c r="CM37" s="182"/>
    </row>
    <row r="38" spans="1:91" x14ac:dyDescent="0.25">
      <c r="A38" s="14"/>
      <c r="B38" s="917">
        <f>B37+1</f>
        <v>11</v>
      </c>
      <c r="C38" s="918" t="s">
        <v>249</v>
      </c>
      <c r="D38" s="919">
        <f t="shared" si="30"/>
        <v>0</v>
      </c>
      <c r="E38" s="920">
        <f t="shared" si="0"/>
        <v>0</v>
      </c>
      <c r="F38" s="919">
        <f>D38-E38</f>
        <v>0</v>
      </c>
      <c r="G38" s="919">
        <f t="shared" si="1"/>
        <v>0</v>
      </c>
      <c r="H38" s="909">
        <f>G38*Pressupostos!$C$30</f>
        <v>0</v>
      </c>
      <c r="I38" s="921">
        <f t="shared" si="2"/>
        <v>0</v>
      </c>
      <c r="J38" s="279"/>
      <c r="K38" s="917">
        <f>K37+1</f>
        <v>11</v>
      </c>
      <c r="L38" s="918" t="s">
        <v>249</v>
      </c>
      <c r="M38" s="919">
        <f t="shared" si="31"/>
        <v>0</v>
      </c>
      <c r="N38" s="920">
        <f t="shared" si="3"/>
        <v>0</v>
      </c>
      <c r="O38" s="919">
        <f>M38-N38</f>
        <v>0</v>
      </c>
      <c r="P38" s="919">
        <f t="shared" si="4"/>
        <v>0</v>
      </c>
      <c r="Q38" s="919">
        <f>P38*Pressupostos!$C$30</f>
        <v>0</v>
      </c>
      <c r="R38" s="921">
        <f t="shared" si="5"/>
        <v>0</v>
      </c>
      <c r="S38" s="14"/>
      <c r="T38" s="917">
        <f>T37+1</f>
        <v>11</v>
      </c>
      <c r="U38" s="918" t="s">
        <v>249</v>
      </c>
      <c r="V38" s="919">
        <f t="shared" si="32"/>
        <v>0</v>
      </c>
      <c r="W38" s="920">
        <f t="shared" si="6"/>
        <v>0</v>
      </c>
      <c r="X38" s="919">
        <f>V38-W38</f>
        <v>0</v>
      </c>
      <c r="Y38" s="919">
        <f t="shared" si="7"/>
        <v>0</v>
      </c>
      <c r="Z38" s="919">
        <f>Y38*Pressupostos!$C$30</f>
        <v>0</v>
      </c>
      <c r="AA38" s="921">
        <f t="shared" si="8"/>
        <v>0</v>
      </c>
      <c r="AB38" s="14"/>
      <c r="AC38" s="917">
        <f>AC37+1</f>
        <v>11</v>
      </c>
      <c r="AD38" s="918" t="s">
        <v>249</v>
      </c>
      <c r="AE38" s="919">
        <f t="shared" si="33"/>
        <v>0</v>
      </c>
      <c r="AF38" s="920">
        <f t="shared" si="9"/>
        <v>0</v>
      </c>
      <c r="AG38" s="919">
        <f>AE38-AF38</f>
        <v>0</v>
      </c>
      <c r="AH38" s="919">
        <f t="shared" si="10"/>
        <v>0</v>
      </c>
      <c r="AI38" s="919">
        <f>AH38*Pressupostos!$C$30</f>
        <v>0</v>
      </c>
      <c r="AJ38" s="921">
        <f t="shared" si="11"/>
        <v>0</v>
      </c>
      <c r="AK38" s="14"/>
      <c r="AL38" s="917">
        <f>AL37+1</f>
        <v>11</v>
      </c>
      <c r="AM38" s="918" t="s">
        <v>249</v>
      </c>
      <c r="AN38" s="919">
        <f t="shared" si="34"/>
        <v>0</v>
      </c>
      <c r="AO38" s="920">
        <f t="shared" si="12"/>
        <v>0</v>
      </c>
      <c r="AP38" s="919">
        <f>AN38-AO38</f>
        <v>0</v>
      </c>
      <c r="AQ38" s="919">
        <f t="shared" si="13"/>
        <v>0</v>
      </c>
      <c r="AR38" s="919">
        <f>AQ38*Pressupostos!$C$30</f>
        <v>0</v>
      </c>
      <c r="AS38" s="921">
        <f t="shared" si="14"/>
        <v>0</v>
      </c>
      <c r="AT38" s="14"/>
      <c r="AU38" s="917">
        <f>AU37+1</f>
        <v>11</v>
      </c>
      <c r="AV38" s="918" t="s">
        <v>249</v>
      </c>
      <c r="AW38" s="919">
        <f t="shared" si="35"/>
        <v>0</v>
      </c>
      <c r="AX38" s="920">
        <f t="shared" si="15"/>
        <v>0</v>
      </c>
      <c r="AY38" s="919">
        <f>AW38-AX38</f>
        <v>0</v>
      </c>
      <c r="AZ38" s="919">
        <f t="shared" si="16"/>
        <v>0</v>
      </c>
      <c r="BA38" s="919">
        <f>AZ38*Pressupostos!$C$30</f>
        <v>0</v>
      </c>
      <c r="BB38" s="921">
        <f t="shared" si="17"/>
        <v>0</v>
      </c>
      <c r="BC38" s="14"/>
      <c r="BD38" s="917">
        <f>BD37+1</f>
        <v>11</v>
      </c>
      <c r="BE38" s="918" t="s">
        <v>249</v>
      </c>
      <c r="BF38" s="919">
        <f t="shared" si="36"/>
        <v>0</v>
      </c>
      <c r="BG38" s="920">
        <f t="shared" si="18"/>
        <v>0</v>
      </c>
      <c r="BH38" s="919">
        <f>BF38-BG38</f>
        <v>0</v>
      </c>
      <c r="BI38" s="919">
        <f t="shared" si="19"/>
        <v>0</v>
      </c>
      <c r="BJ38" s="919">
        <f>BI38*Pressupostos!$C$30</f>
        <v>0</v>
      </c>
      <c r="BK38" s="921">
        <f t="shared" si="20"/>
        <v>0</v>
      </c>
      <c r="BL38" s="14"/>
      <c r="BM38" s="917">
        <f>BM37+1</f>
        <v>11</v>
      </c>
      <c r="BN38" s="918" t="s">
        <v>249</v>
      </c>
      <c r="BO38" s="919">
        <f t="shared" si="37"/>
        <v>0</v>
      </c>
      <c r="BP38" s="920">
        <f t="shared" si="21"/>
        <v>0</v>
      </c>
      <c r="BQ38" s="919">
        <f>BO38-BP38</f>
        <v>0</v>
      </c>
      <c r="BR38" s="919">
        <f t="shared" si="22"/>
        <v>0</v>
      </c>
      <c r="BS38" s="919">
        <f>BR38*Pressupostos!$C$30</f>
        <v>0</v>
      </c>
      <c r="BT38" s="921">
        <f t="shared" si="23"/>
        <v>0</v>
      </c>
      <c r="BU38" s="14"/>
      <c r="BV38" s="917">
        <f>BV37+1</f>
        <v>11</v>
      </c>
      <c r="BW38" s="918" t="s">
        <v>249</v>
      </c>
      <c r="BX38" s="919">
        <f t="shared" si="38"/>
        <v>0</v>
      </c>
      <c r="BY38" s="920">
        <f t="shared" si="24"/>
        <v>0</v>
      </c>
      <c r="BZ38" s="919">
        <f>BX38-BY38</f>
        <v>0</v>
      </c>
      <c r="CA38" s="919">
        <f t="shared" si="25"/>
        <v>0</v>
      </c>
      <c r="CB38" s="919">
        <f>CA38*Pressupostos!$C$30</f>
        <v>0</v>
      </c>
      <c r="CC38" s="921">
        <f t="shared" si="26"/>
        <v>0</v>
      </c>
      <c r="CD38" s="14"/>
      <c r="CE38" s="917">
        <f>CE37+1</f>
        <v>11</v>
      </c>
      <c r="CF38" s="918" t="s">
        <v>249</v>
      </c>
      <c r="CG38" s="919">
        <f t="shared" si="39"/>
        <v>0</v>
      </c>
      <c r="CH38" s="920">
        <f t="shared" si="27"/>
        <v>0</v>
      </c>
      <c r="CI38" s="919">
        <f>CG38-CH38</f>
        <v>0</v>
      </c>
      <c r="CJ38" s="919">
        <f t="shared" si="28"/>
        <v>0</v>
      </c>
      <c r="CK38" s="919">
        <f>CJ38*Pressupostos!$C$30</f>
        <v>0</v>
      </c>
      <c r="CL38" s="921">
        <f t="shared" si="29"/>
        <v>0</v>
      </c>
      <c r="CM38" s="182"/>
    </row>
    <row r="39" spans="1:91" x14ac:dyDescent="0.25">
      <c r="A39" s="14"/>
      <c r="B39" s="917">
        <f>B38</f>
        <v>11</v>
      </c>
      <c r="C39" s="918" t="s">
        <v>250</v>
      </c>
      <c r="D39" s="919">
        <f t="shared" si="30"/>
        <v>0</v>
      </c>
      <c r="E39" s="920">
        <f t="shared" si="0"/>
        <v>0</v>
      </c>
      <c r="F39" s="919">
        <f>D38-E38-E39</f>
        <v>0</v>
      </c>
      <c r="G39" s="919">
        <f t="shared" si="1"/>
        <v>0</v>
      </c>
      <c r="H39" s="909">
        <f>G39*Pressupostos!$C$30</f>
        <v>0</v>
      </c>
      <c r="I39" s="921">
        <f t="shared" si="2"/>
        <v>0</v>
      </c>
      <c r="J39" s="279"/>
      <c r="K39" s="917">
        <f>K38</f>
        <v>11</v>
      </c>
      <c r="L39" s="918" t="s">
        <v>250</v>
      </c>
      <c r="M39" s="919">
        <f t="shared" si="31"/>
        <v>0</v>
      </c>
      <c r="N39" s="920">
        <f t="shared" si="3"/>
        <v>0</v>
      </c>
      <c r="O39" s="919">
        <f>M38-N38-N39</f>
        <v>0</v>
      </c>
      <c r="P39" s="919">
        <f t="shared" si="4"/>
        <v>0</v>
      </c>
      <c r="Q39" s="919">
        <f>P39*Pressupostos!$C$30</f>
        <v>0</v>
      </c>
      <c r="R39" s="921">
        <f t="shared" si="5"/>
        <v>0</v>
      </c>
      <c r="S39" s="14"/>
      <c r="T39" s="917">
        <f>T38</f>
        <v>11</v>
      </c>
      <c r="U39" s="918" t="s">
        <v>250</v>
      </c>
      <c r="V39" s="919">
        <f t="shared" si="32"/>
        <v>0</v>
      </c>
      <c r="W39" s="920">
        <f t="shared" si="6"/>
        <v>0</v>
      </c>
      <c r="X39" s="919">
        <f>V38-W38-W39</f>
        <v>0</v>
      </c>
      <c r="Y39" s="919">
        <f t="shared" si="7"/>
        <v>0</v>
      </c>
      <c r="Z39" s="919">
        <f>Y39*Pressupostos!$C$30</f>
        <v>0</v>
      </c>
      <c r="AA39" s="921">
        <f t="shared" si="8"/>
        <v>0</v>
      </c>
      <c r="AB39" s="14"/>
      <c r="AC39" s="917">
        <f>AC38</f>
        <v>11</v>
      </c>
      <c r="AD39" s="918" t="s">
        <v>250</v>
      </c>
      <c r="AE39" s="919">
        <f t="shared" si="33"/>
        <v>0</v>
      </c>
      <c r="AF39" s="920">
        <f t="shared" si="9"/>
        <v>0</v>
      </c>
      <c r="AG39" s="919">
        <f>AE38-AF38-AF39</f>
        <v>0</v>
      </c>
      <c r="AH39" s="919">
        <f t="shared" si="10"/>
        <v>0</v>
      </c>
      <c r="AI39" s="919">
        <f>AH39*Pressupostos!$C$30</f>
        <v>0</v>
      </c>
      <c r="AJ39" s="921">
        <f t="shared" si="11"/>
        <v>0</v>
      </c>
      <c r="AK39" s="14"/>
      <c r="AL39" s="917">
        <f>AL38</f>
        <v>11</v>
      </c>
      <c r="AM39" s="918" t="s">
        <v>250</v>
      </c>
      <c r="AN39" s="919">
        <f t="shared" si="34"/>
        <v>0</v>
      </c>
      <c r="AO39" s="920">
        <f t="shared" si="12"/>
        <v>0</v>
      </c>
      <c r="AP39" s="919">
        <f>AN38-AO38-AO39</f>
        <v>0</v>
      </c>
      <c r="AQ39" s="919">
        <f t="shared" si="13"/>
        <v>0</v>
      </c>
      <c r="AR39" s="919">
        <f>AQ39*Pressupostos!$C$30</f>
        <v>0</v>
      </c>
      <c r="AS39" s="921">
        <f t="shared" si="14"/>
        <v>0</v>
      </c>
      <c r="AT39" s="14"/>
      <c r="AU39" s="917">
        <f>AU38</f>
        <v>11</v>
      </c>
      <c r="AV39" s="918" t="s">
        <v>250</v>
      </c>
      <c r="AW39" s="919">
        <f t="shared" si="35"/>
        <v>0</v>
      </c>
      <c r="AX39" s="920">
        <f t="shared" si="15"/>
        <v>0</v>
      </c>
      <c r="AY39" s="919">
        <f>AW38-AX38-AX39</f>
        <v>0</v>
      </c>
      <c r="AZ39" s="919">
        <f t="shared" si="16"/>
        <v>0</v>
      </c>
      <c r="BA39" s="919">
        <f>AZ39*Pressupostos!$C$30</f>
        <v>0</v>
      </c>
      <c r="BB39" s="921">
        <f t="shared" si="17"/>
        <v>0</v>
      </c>
      <c r="BC39" s="14"/>
      <c r="BD39" s="917">
        <f>BD38</f>
        <v>11</v>
      </c>
      <c r="BE39" s="918" t="s">
        <v>250</v>
      </c>
      <c r="BF39" s="919">
        <f t="shared" si="36"/>
        <v>0</v>
      </c>
      <c r="BG39" s="920">
        <f t="shared" si="18"/>
        <v>0</v>
      </c>
      <c r="BH39" s="919">
        <f>BF38-BG38-BG39</f>
        <v>0</v>
      </c>
      <c r="BI39" s="919">
        <f t="shared" si="19"/>
        <v>0</v>
      </c>
      <c r="BJ39" s="919">
        <f>BI39*Pressupostos!$C$30</f>
        <v>0</v>
      </c>
      <c r="BK39" s="921">
        <f t="shared" si="20"/>
        <v>0</v>
      </c>
      <c r="BL39" s="14"/>
      <c r="BM39" s="917">
        <f>BM38</f>
        <v>11</v>
      </c>
      <c r="BN39" s="918" t="s">
        <v>250</v>
      </c>
      <c r="BO39" s="919">
        <f t="shared" si="37"/>
        <v>0</v>
      </c>
      <c r="BP39" s="920">
        <f t="shared" si="21"/>
        <v>0</v>
      </c>
      <c r="BQ39" s="919">
        <f>BO38-BP38-BP39</f>
        <v>0</v>
      </c>
      <c r="BR39" s="919">
        <f t="shared" si="22"/>
        <v>0</v>
      </c>
      <c r="BS39" s="919">
        <f>BR39*Pressupostos!$C$30</f>
        <v>0</v>
      </c>
      <c r="BT39" s="921">
        <f t="shared" si="23"/>
        <v>0</v>
      </c>
      <c r="BU39" s="14"/>
      <c r="BV39" s="917">
        <f>BV38</f>
        <v>11</v>
      </c>
      <c r="BW39" s="918" t="s">
        <v>250</v>
      </c>
      <c r="BX39" s="919">
        <f t="shared" si="38"/>
        <v>0</v>
      </c>
      <c r="BY39" s="920">
        <f t="shared" si="24"/>
        <v>0</v>
      </c>
      <c r="BZ39" s="919">
        <f>BX38-BY38-BY39</f>
        <v>0</v>
      </c>
      <c r="CA39" s="919">
        <f t="shared" si="25"/>
        <v>0</v>
      </c>
      <c r="CB39" s="919">
        <f>CA39*Pressupostos!$C$30</f>
        <v>0</v>
      </c>
      <c r="CC39" s="921">
        <f t="shared" si="26"/>
        <v>0</v>
      </c>
      <c r="CD39" s="14"/>
      <c r="CE39" s="917">
        <f>CE38</f>
        <v>11</v>
      </c>
      <c r="CF39" s="918" t="s">
        <v>250</v>
      </c>
      <c r="CG39" s="919">
        <f t="shared" si="39"/>
        <v>0</v>
      </c>
      <c r="CH39" s="920">
        <f t="shared" si="27"/>
        <v>0</v>
      </c>
      <c r="CI39" s="919">
        <f>CG38-CH38-CH39</f>
        <v>0</v>
      </c>
      <c r="CJ39" s="919">
        <f t="shared" si="28"/>
        <v>0</v>
      </c>
      <c r="CK39" s="919">
        <f>CJ39*Pressupostos!$C$30</f>
        <v>0</v>
      </c>
      <c r="CL39" s="921">
        <f t="shared" si="29"/>
        <v>0</v>
      </c>
      <c r="CM39" s="182"/>
    </row>
    <row r="40" spans="1:91" x14ac:dyDescent="0.25">
      <c r="A40" s="14"/>
      <c r="B40" s="917">
        <f>B39+1</f>
        <v>12</v>
      </c>
      <c r="C40" s="918" t="s">
        <v>249</v>
      </c>
      <c r="D40" s="919">
        <f t="shared" si="30"/>
        <v>0</v>
      </c>
      <c r="E40" s="920">
        <f t="shared" si="0"/>
        <v>0</v>
      </c>
      <c r="F40" s="919">
        <f>D40-E40</f>
        <v>0</v>
      </c>
      <c r="G40" s="919">
        <f t="shared" si="1"/>
        <v>0</v>
      </c>
      <c r="H40" s="909">
        <f>G40*Pressupostos!$C$30</f>
        <v>0</v>
      </c>
      <c r="I40" s="921">
        <f t="shared" si="2"/>
        <v>0</v>
      </c>
      <c r="J40" s="279"/>
      <c r="K40" s="917">
        <f>K39+1</f>
        <v>12</v>
      </c>
      <c r="L40" s="918" t="s">
        <v>249</v>
      </c>
      <c r="M40" s="919">
        <f t="shared" si="31"/>
        <v>0</v>
      </c>
      <c r="N40" s="920">
        <f t="shared" si="3"/>
        <v>0</v>
      </c>
      <c r="O40" s="919">
        <f>M40-N40</f>
        <v>0</v>
      </c>
      <c r="P40" s="919">
        <f t="shared" si="4"/>
        <v>0</v>
      </c>
      <c r="Q40" s="919">
        <f>P40*Pressupostos!$C$30</f>
        <v>0</v>
      </c>
      <c r="R40" s="921">
        <f t="shared" si="5"/>
        <v>0</v>
      </c>
      <c r="S40" s="14"/>
      <c r="T40" s="917">
        <f>T39+1</f>
        <v>12</v>
      </c>
      <c r="U40" s="918" t="s">
        <v>249</v>
      </c>
      <c r="V40" s="919">
        <f t="shared" si="32"/>
        <v>0</v>
      </c>
      <c r="W40" s="920">
        <f t="shared" si="6"/>
        <v>0</v>
      </c>
      <c r="X40" s="919">
        <f>V40-W40</f>
        <v>0</v>
      </c>
      <c r="Y40" s="919">
        <f t="shared" si="7"/>
        <v>0</v>
      </c>
      <c r="Z40" s="919">
        <f>Y40*Pressupostos!$C$30</f>
        <v>0</v>
      </c>
      <c r="AA40" s="921">
        <f t="shared" si="8"/>
        <v>0</v>
      </c>
      <c r="AB40" s="14"/>
      <c r="AC40" s="917">
        <f>AC39+1</f>
        <v>12</v>
      </c>
      <c r="AD40" s="918" t="s">
        <v>249</v>
      </c>
      <c r="AE40" s="919">
        <f t="shared" si="33"/>
        <v>0</v>
      </c>
      <c r="AF40" s="920">
        <f t="shared" si="9"/>
        <v>0</v>
      </c>
      <c r="AG40" s="919">
        <f>AE40-AF40</f>
        <v>0</v>
      </c>
      <c r="AH40" s="919">
        <f t="shared" si="10"/>
        <v>0</v>
      </c>
      <c r="AI40" s="919">
        <f>AH40*Pressupostos!$C$30</f>
        <v>0</v>
      </c>
      <c r="AJ40" s="921">
        <f t="shared" si="11"/>
        <v>0</v>
      </c>
      <c r="AK40" s="14"/>
      <c r="AL40" s="917">
        <f>AL39+1</f>
        <v>12</v>
      </c>
      <c r="AM40" s="918" t="s">
        <v>249</v>
      </c>
      <c r="AN40" s="919">
        <f t="shared" si="34"/>
        <v>0</v>
      </c>
      <c r="AO40" s="920">
        <f t="shared" si="12"/>
        <v>0</v>
      </c>
      <c r="AP40" s="919">
        <f>AN40-AO40</f>
        <v>0</v>
      </c>
      <c r="AQ40" s="919">
        <f t="shared" si="13"/>
        <v>0</v>
      </c>
      <c r="AR40" s="919">
        <f>AQ40*Pressupostos!$C$30</f>
        <v>0</v>
      </c>
      <c r="AS40" s="921">
        <f t="shared" si="14"/>
        <v>0</v>
      </c>
      <c r="AT40" s="14"/>
      <c r="AU40" s="917">
        <f>AU39+1</f>
        <v>12</v>
      </c>
      <c r="AV40" s="918" t="s">
        <v>249</v>
      </c>
      <c r="AW40" s="919">
        <f t="shared" si="35"/>
        <v>0</v>
      </c>
      <c r="AX40" s="920">
        <f t="shared" si="15"/>
        <v>0</v>
      </c>
      <c r="AY40" s="919">
        <f>AW40-AX40</f>
        <v>0</v>
      </c>
      <c r="AZ40" s="919">
        <f t="shared" si="16"/>
        <v>0</v>
      </c>
      <c r="BA40" s="919">
        <f>AZ40*Pressupostos!$C$30</f>
        <v>0</v>
      </c>
      <c r="BB40" s="921">
        <f t="shared" si="17"/>
        <v>0</v>
      </c>
      <c r="BC40" s="14"/>
      <c r="BD40" s="917">
        <f>BD39+1</f>
        <v>12</v>
      </c>
      <c r="BE40" s="918" t="s">
        <v>249</v>
      </c>
      <c r="BF40" s="919">
        <f t="shared" si="36"/>
        <v>0</v>
      </c>
      <c r="BG40" s="920">
        <f t="shared" si="18"/>
        <v>0</v>
      </c>
      <c r="BH40" s="919">
        <f>BF40-BG40</f>
        <v>0</v>
      </c>
      <c r="BI40" s="919">
        <f t="shared" si="19"/>
        <v>0</v>
      </c>
      <c r="BJ40" s="919">
        <f>BI40*Pressupostos!$C$30</f>
        <v>0</v>
      </c>
      <c r="BK40" s="921">
        <f t="shared" si="20"/>
        <v>0</v>
      </c>
      <c r="BL40" s="14"/>
      <c r="BM40" s="917">
        <f>BM39+1</f>
        <v>12</v>
      </c>
      <c r="BN40" s="918" t="s">
        <v>249</v>
      </c>
      <c r="BO40" s="919">
        <f t="shared" si="37"/>
        <v>0</v>
      </c>
      <c r="BP40" s="920">
        <f t="shared" si="21"/>
        <v>0</v>
      </c>
      <c r="BQ40" s="919">
        <f>BO40-BP40</f>
        <v>0</v>
      </c>
      <c r="BR40" s="919">
        <f t="shared" si="22"/>
        <v>0</v>
      </c>
      <c r="BS40" s="919">
        <f>BR40*Pressupostos!$C$30</f>
        <v>0</v>
      </c>
      <c r="BT40" s="921">
        <f t="shared" si="23"/>
        <v>0</v>
      </c>
      <c r="BU40" s="14"/>
      <c r="BV40" s="917">
        <f>BV39+1</f>
        <v>12</v>
      </c>
      <c r="BW40" s="918" t="s">
        <v>249</v>
      </c>
      <c r="BX40" s="919">
        <f t="shared" si="38"/>
        <v>0</v>
      </c>
      <c r="BY40" s="920">
        <f t="shared" si="24"/>
        <v>0</v>
      </c>
      <c r="BZ40" s="919">
        <f>BX40-BY40</f>
        <v>0</v>
      </c>
      <c r="CA40" s="919">
        <f t="shared" si="25"/>
        <v>0</v>
      </c>
      <c r="CB40" s="919">
        <f>CA40*Pressupostos!$C$30</f>
        <v>0</v>
      </c>
      <c r="CC40" s="921">
        <f t="shared" si="26"/>
        <v>0</v>
      </c>
      <c r="CD40" s="14"/>
      <c r="CE40" s="917">
        <f>CE39+1</f>
        <v>12</v>
      </c>
      <c r="CF40" s="918" t="s">
        <v>249</v>
      </c>
      <c r="CG40" s="919">
        <f t="shared" si="39"/>
        <v>0</v>
      </c>
      <c r="CH40" s="920">
        <f t="shared" si="27"/>
        <v>0</v>
      </c>
      <c r="CI40" s="919">
        <f>CG40-CH40</f>
        <v>0</v>
      </c>
      <c r="CJ40" s="919">
        <f t="shared" si="28"/>
        <v>0</v>
      </c>
      <c r="CK40" s="919">
        <f>CJ40*Pressupostos!$C$30</f>
        <v>0</v>
      </c>
      <c r="CL40" s="921">
        <f t="shared" si="29"/>
        <v>0</v>
      </c>
      <c r="CM40" s="182"/>
    </row>
    <row r="41" spans="1:91" x14ac:dyDescent="0.25">
      <c r="A41" s="14"/>
      <c r="B41" s="917">
        <f>B40</f>
        <v>12</v>
      </c>
      <c r="C41" s="918" t="s">
        <v>250</v>
      </c>
      <c r="D41" s="919">
        <f t="shared" si="30"/>
        <v>0</v>
      </c>
      <c r="E41" s="920">
        <f t="shared" si="0"/>
        <v>0</v>
      </c>
      <c r="F41" s="919">
        <f>D40-E40-E41</f>
        <v>0</v>
      </c>
      <c r="G41" s="919">
        <f t="shared" si="1"/>
        <v>0</v>
      </c>
      <c r="H41" s="909">
        <f>G41*Pressupostos!$C$30</f>
        <v>0</v>
      </c>
      <c r="I41" s="921">
        <f t="shared" si="2"/>
        <v>0</v>
      </c>
      <c r="J41" s="279"/>
      <c r="K41" s="917">
        <f>K40</f>
        <v>12</v>
      </c>
      <c r="L41" s="918" t="s">
        <v>250</v>
      </c>
      <c r="M41" s="919">
        <f t="shared" si="31"/>
        <v>0</v>
      </c>
      <c r="N41" s="920">
        <f t="shared" si="3"/>
        <v>0</v>
      </c>
      <c r="O41" s="919">
        <f>M40-N40-N41</f>
        <v>0</v>
      </c>
      <c r="P41" s="919">
        <f t="shared" si="4"/>
        <v>0</v>
      </c>
      <c r="Q41" s="919">
        <f>P41*Pressupostos!$C$30</f>
        <v>0</v>
      </c>
      <c r="R41" s="921">
        <f t="shared" si="5"/>
        <v>0</v>
      </c>
      <c r="S41" s="14"/>
      <c r="T41" s="917">
        <f>T40</f>
        <v>12</v>
      </c>
      <c r="U41" s="918" t="s">
        <v>250</v>
      </c>
      <c r="V41" s="919">
        <f t="shared" si="32"/>
        <v>0</v>
      </c>
      <c r="W41" s="920">
        <f t="shared" si="6"/>
        <v>0</v>
      </c>
      <c r="X41" s="919">
        <f>V40-W40-W41</f>
        <v>0</v>
      </c>
      <c r="Y41" s="919">
        <f t="shared" si="7"/>
        <v>0</v>
      </c>
      <c r="Z41" s="919">
        <f>Y41*Pressupostos!$C$30</f>
        <v>0</v>
      </c>
      <c r="AA41" s="921">
        <f t="shared" si="8"/>
        <v>0</v>
      </c>
      <c r="AB41" s="14"/>
      <c r="AC41" s="917">
        <f>AC40</f>
        <v>12</v>
      </c>
      <c r="AD41" s="918" t="s">
        <v>250</v>
      </c>
      <c r="AE41" s="919">
        <f t="shared" si="33"/>
        <v>0</v>
      </c>
      <c r="AF41" s="920">
        <f t="shared" si="9"/>
        <v>0</v>
      </c>
      <c r="AG41" s="919">
        <f>AE40-AF40-AF41</f>
        <v>0</v>
      </c>
      <c r="AH41" s="919">
        <f t="shared" si="10"/>
        <v>0</v>
      </c>
      <c r="AI41" s="919">
        <f>AH41*Pressupostos!$C$30</f>
        <v>0</v>
      </c>
      <c r="AJ41" s="921">
        <f t="shared" si="11"/>
        <v>0</v>
      </c>
      <c r="AK41" s="14"/>
      <c r="AL41" s="917">
        <f>AL40</f>
        <v>12</v>
      </c>
      <c r="AM41" s="918" t="s">
        <v>250</v>
      </c>
      <c r="AN41" s="919">
        <f t="shared" si="34"/>
        <v>0</v>
      </c>
      <c r="AO41" s="920">
        <f t="shared" si="12"/>
        <v>0</v>
      </c>
      <c r="AP41" s="919">
        <f>AN40-AO40-AO41</f>
        <v>0</v>
      </c>
      <c r="AQ41" s="919">
        <f t="shared" si="13"/>
        <v>0</v>
      </c>
      <c r="AR41" s="919">
        <f>AQ41*Pressupostos!$C$30</f>
        <v>0</v>
      </c>
      <c r="AS41" s="921">
        <f t="shared" si="14"/>
        <v>0</v>
      </c>
      <c r="AT41" s="14"/>
      <c r="AU41" s="917">
        <f>AU40</f>
        <v>12</v>
      </c>
      <c r="AV41" s="918" t="s">
        <v>250</v>
      </c>
      <c r="AW41" s="919">
        <f t="shared" si="35"/>
        <v>0</v>
      </c>
      <c r="AX41" s="920">
        <f t="shared" si="15"/>
        <v>0</v>
      </c>
      <c r="AY41" s="919">
        <f>AW40-AX40-AX41</f>
        <v>0</v>
      </c>
      <c r="AZ41" s="919">
        <f t="shared" si="16"/>
        <v>0</v>
      </c>
      <c r="BA41" s="919">
        <f>AZ41*Pressupostos!$C$30</f>
        <v>0</v>
      </c>
      <c r="BB41" s="921">
        <f t="shared" si="17"/>
        <v>0</v>
      </c>
      <c r="BC41" s="14"/>
      <c r="BD41" s="917">
        <f>BD40</f>
        <v>12</v>
      </c>
      <c r="BE41" s="918" t="s">
        <v>250</v>
      </c>
      <c r="BF41" s="919">
        <f t="shared" si="36"/>
        <v>0</v>
      </c>
      <c r="BG41" s="920">
        <f t="shared" si="18"/>
        <v>0</v>
      </c>
      <c r="BH41" s="919">
        <f>BF40-BG40-BG41</f>
        <v>0</v>
      </c>
      <c r="BI41" s="919">
        <f t="shared" si="19"/>
        <v>0</v>
      </c>
      <c r="BJ41" s="919">
        <f>BI41*Pressupostos!$C$30</f>
        <v>0</v>
      </c>
      <c r="BK41" s="921">
        <f t="shared" si="20"/>
        <v>0</v>
      </c>
      <c r="BL41" s="14"/>
      <c r="BM41" s="917">
        <f>BM40</f>
        <v>12</v>
      </c>
      <c r="BN41" s="918" t="s">
        <v>250</v>
      </c>
      <c r="BO41" s="919">
        <f t="shared" si="37"/>
        <v>0</v>
      </c>
      <c r="BP41" s="920">
        <f t="shared" si="21"/>
        <v>0</v>
      </c>
      <c r="BQ41" s="919">
        <f>BO40-BP40-BP41</f>
        <v>0</v>
      </c>
      <c r="BR41" s="919">
        <f t="shared" si="22"/>
        <v>0</v>
      </c>
      <c r="BS41" s="919">
        <f>BR41*Pressupostos!$C$30</f>
        <v>0</v>
      </c>
      <c r="BT41" s="921">
        <f t="shared" si="23"/>
        <v>0</v>
      </c>
      <c r="BU41" s="14"/>
      <c r="BV41" s="917">
        <f>BV40</f>
        <v>12</v>
      </c>
      <c r="BW41" s="918" t="s">
        <v>250</v>
      </c>
      <c r="BX41" s="919">
        <f t="shared" si="38"/>
        <v>0</v>
      </c>
      <c r="BY41" s="920">
        <f t="shared" si="24"/>
        <v>0</v>
      </c>
      <c r="BZ41" s="919">
        <f>BX40-BY40-BY41</f>
        <v>0</v>
      </c>
      <c r="CA41" s="919">
        <f t="shared" si="25"/>
        <v>0</v>
      </c>
      <c r="CB41" s="919">
        <f>CA41*Pressupostos!$C$30</f>
        <v>0</v>
      </c>
      <c r="CC41" s="921">
        <f t="shared" si="26"/>
        <v>0</v>
      </c>
      <c r="CD41" s="14"/>
      <c r="CE41" s="917">
        <f>CE40</f>
        <v>12</v>
      </c>
      <c r="CF41" s="918" t="s">
        <v>250</v>
      </c>
      <c r="CG41" s="919">
        <f t="shared" si="39"/>
        <v>0</v>
      </c>
      <c r="CH41" s="920">
        <f t="shared" si="27"/>
        <v>0</v>
      </c>
      <c r="CI41" s="919">
        <f>CG40-CH40-CH41</f>
        <v>0</v>
      </c>
      <c r="CJ41" s="919">
        <f t="shared" si="28"/>
        <v>0</v>
      </c>
      <c r="CK41" s="919">
        <f>CJ41*Pressupostos!$C$30</f>
        <v>0</v>
      </c>
      <c r="CL41" s="921">
        <f t="shared" si="29"/>
        <v>0</v>
      </c>
      <c r="CM41" s="182"/>
    </row>
    <row r="42" spans="1:91" x14ac:dyDescent="0.25">
      <c r="A42" s="14"/>
      <c r="B42" s="917">
        <f>B41+1</f>
        <v>13</v>
      </c>
      <c r="C42" s="918" t="s">
        <v>249</v>
      </c>
      <c r="D42" s="919">
        <f t="shared" si="30"/>
        <v>0</v>
      </c>
      <c r="E42" s="920">
        <f t="shared" si="0"/>
        <v>0</v>
      </c>
      <c r="F42" s="919">
        <f>D42-E42</f>
        <v>0</v>
      </c>
      <c r="G42" s="919">
        <f t="shared" si="1"/>
        <v>0</v>
      </c>
      <c r="H42" s="909">
        <f>G42*Pressupostos!$C$30</f>
        <v>0</v>
      </c>
      <c r="I42" s="921">
        <f t="shared" si="2"/>
        <v>0</v>
      </c>
      <c r="J42" s="279"/>
      <c r="K42" s="917">
        <f>K41+1</f>
        <v>13</v>
      </c>
      <c r="L42" s="918" t="s">
        <v>249</v>
      </c>
      <c r="M42" s="919">
        <f t="shared" si="31"/>
        <v>0</v>
      </c>
      <c r="N42" s="920">
        <f t="shared" si="3"/>
        <v>0</v>
      </c>
      <c r="O42" s="919">
        <f>M42-N42</f>
        <v>0</v>
      </c>
      <c r="P42" s="919">
        <f t="shared" si="4"/>
        <v>0</v>
      </c>
      <c r="Q42" s="919">
        <f>P42*Pressupostos!$C$30</f>
        <v>0</v>
      </c>
      <c r="R42" s="921">
        <f t="shared" si="5"/>
        <v>0</v>
      </c>
      <c r="S42" s="14"/>
      <c r="T42" s="917">
        <f>T41+1</f>
        <v>13</v>
      </c>
      <c r="U42" s="918" t="s">
        <v>249</v>
      </c>
      <c r="V42" s="919">
        <f t="shared" si="32"/>
        <v>0</v>
      </c>
      <c r="W42" s="920">
        <f t="shared" si="6"/>
        <v>0</v>
      </c>
      <c r="X42" s="919">
        <f>V42-W42</f>
        <v>0</v>
      </c>
      <c r="Y42" s="919">
        <f t="shared" si="7"/>
        <v>0</v>
      </c>
      <c r="Z42" s="919">
        <f>Y42*Pressupostos!$C$30</f>
        <v>0</v>
      </c>
      <c r="AA42" s="921">
        <f t="shared" si="8"/>
        <v>0</v>
      </c>
      <c r="AB42" s="14"/>
      <c r="AC42" s="917">
        <f>AC41+1</f>
        <v>13</v>
      </c>
      <c r="AD42" s="918" t="s">
        <v>249</v>
      </c>
      <c r="AE42" s="919">
        <f t="shared" si="33"/>
        <v>0</v>
      </c>
      <c r="AF42" s="920">
        <f t="shared" si="9"/>
        <v>0</v>
      </c>
      <c r="AG42" s="919">
        <f>AE42-AF42</f>
        <v>0</v>
      </c>
      <c r="AH42" s="919">
        <f t="shared" si="10"/>
        <v>0</v>
      </c>
      <c r="AI42" s="919">
        <f>AH42*Pressupostos!$C$30</f>
        <v>0</v>
      </c>
      <c r="AJ42" s="921">
        <f t="shared" si="11"/>
        <v>0</v>
      </c>
      <c r="AK42" s="14"/>
      <c r="AL42" s="917">
        <f>AL41+1</f>
        <v>13</v>
      </c>
      <c r="AM42" s="918" t="s">
        <v>249</v>
      </c>
      <c r="AN42" s="919">
        <f t="shared" si="34"/>
        <v>0</v>
      </c>
      <c r="AO42" s="920">
        <f t="shared" si="12"/>
        <v>0</v>
      </c>
      <c r="AP42" s="919">
        <f>AN42-AO42</f>
        <v>0</v>
      </c>
      <c r="AQ42" s="919">
        <f t="shared" si="13"/>
        <v>0</v>
      </c>
      <c r="AR42" s="919">
        <f>AQ42*Pressupostos!$C$30</f>
        <v>0</v>
      </c>
      <c r="AS42" s="921">
        <f t="shared" si="14"/>
        <v>0</v>
      </c>
      <c r="AT42" s="14"/>
      <c r="AU42" s="917">
        <f>AU41+1</f>
        <v>13</v>
      </c>
      <c r="AV42" s="918" t="s">
        <v>249</v>
      </c>
      <c r="AW42" s="919">
        <f t="shared" si="35"/>
        <v>0</v>
      </c>
      <c r="AX42" s="920">
        <f t="shared" si="15"/>
        <v>0</v>
      </c>
      <c r="AY42" s="919">
        <f>AW42-AX42</f>
        <v>0</v>
      </c>
      <c r="AZ42" s="919">
        <f t="shared" si="16"/>
        <v>0</v>
      </c>
      <c r="BA42" s="919">
        <f>AZ42*Pressupostos!$C$30</f>
        <v>0</v>
      </c>
      <c r="BB42" s="921">
        <f t="shared" si="17"/>
        <v>0</v>
      </c>
      <c r="BC42" s="14"/>
      <c r="BD42" s="917">
        <f>BD41+1</f>
        <v>13</v>
      </c>
      <c r="BE42" s="918" t="s">
        <v>249</v>
      </c>
      <c r="BF42" s="919">
        <f t="shared" si="36"/>
        <v>0</v>
      </c>
      <c r="BG42" s="920">
        <f t="shared" si="18"/>
        <v>0</v>
      </c>
      <c r="BH42" s="919">
        <f>BF42-BG42</f>
        <v>0</v>
      </c>
      <c r="BI42" s="919">
        <f t="shared" si="19"/>
        <v>0</v>
      </c>
      <c r="BJ42" s="919">
        <f>BI42*Pressupostos!$C$30</f>
        <v>0</v>
      </c>
      <c r="BK42" s="921">
        <f t="shared" si="20"/>
        <v>0</v>
      </c>
      <c r="BL42" s="14"/>
      <c r="BM42" s="917">
        <f>BM41+1</f>
        <v>13</v>
      </c>
      <c r="BN42" s="918" t="s">
        <v>249</v>
      </c>
      <c r="BO42" s="919">
        <f t="shared" si="37"/>
        <v>0</v>
      </c>
      <c r="BP42" s="920">
        <f t="shared" si="21"/>
        <v>0</v>
      </c>
      <c r="BQ42" s="919">
        <f>BO42-BP42</f>
        <v>0</v>
      </c>
      <c r="BR42" s="919">
        <f t="shared" si="22"/>
        <v>0</v>
      </c>
      <c r="BS42" s="919">
        <f>BR42*Pressupostos!$C$30</f>
        <v>0</v>
      </c>
      <c r="BT42" s="921">
        <f t="shared" si="23"/>
        <v>0</v>
      </c>
      <c r="BU42" s="14"/>
      <c r="BV42" s="917">
        <f>BV41+1</f>
        <v>13</v>
      </c>
      <c r="BW42" s="918" t="s">
        <v>249</v>
      </c>
      <c r="BX42" s="919">
        <f t="shared" si="38"/>
        <v>0</v>
      </c>
      <c r="BY42" s="920">
        <f t="shared" si="24"/>
        <v>0</v>
      </c>
      <c r="BZ42" s="919">
        <f>BX42-BY42</f>
        <v>0</v>
      </c>
      <c r="CA42" s="919">
        <f t="shared" si="25"/>
        <v>0</v>
      </c>
      <c r="CB42" s="919">
        <f>CA42*Pressupostos!$C$30</f>
        <v>0</v>
      </c>
      <c r="CC42" s="921">
        <f t="shared" si="26"/>
        <v>0</v>
      </c>
      <c r="CD42" s="14"/>
      <c r="CE42" s="917">
        <f>CE41+1</f>
        <v>13</v>
      </c>
      <c r="CF42" s="918" t="s">
        <v>249</v>
      </c>
      <c r="CG42" s="919">
        <f t="shared" si="39"/>
        <v>0</v>
      </c>
      <c r="CH42" s="920">
        <f t="shared" si="27"/>
        <v>0</v>
      </c>
      <c r="CI42" s="919">
        <f>CG42-CH42</f>
        <v>0</v>
      </c>
      <c r="CJ42" s="919">
        <f t="shared" si="28"/>
        <v>0</v>
      </c>
      <c r="CK42" s="919">
        <f>CJ42*Pressupostos!$C$30</f>
        <v>0</v>
      </c>
      <c r="CL42" s="921">
        <f t="shared" si="29"/>
        <v>0</v>
      </c>
      <c r="CM42" s="182"/>
    </row>
    <row r="43" spans="1:91" x14ac:dyDescent="0.25">
      <c r="A43" s="14"/>
      <c r="B43" s="917">
        <f>B42</f>
        <v>13</v>
      </c>
      <c r="C43" s="918" t="s">
        <v>250</v>
      </c>
      <c r="D43" s="919">
        <f t="shared" si="30"/>
        <v>0</v>
      </c>
      <c r="E43" s="920">
        <f t="shared" si="0"/>
        <v>0</v>
      </c>
      <c r="F43" s="919">
        <f>D42-E42-E43</f>
        <v>0</v>
      </c>
      <c r="G43" s="919">
        <f t="shared" si="1"/>
        <v>0</v>
      </c>
      <c r="H43" s="909">
        <f>G43*Pressupostos!$C$30</f>
        <v>0</v>
      </c>
      <c r="I43" s="921">
        <f t="shared" si="2"/>
        <v>0</v>
      </c>
      <c r="J43" s="279"/>
      <c r="K43" s="917">
        <f>K42</f>
        <v>13</v>
      </c>
      <c r="L43" s="918" t="s">
        <v>250</v>
      </c>
      <c r="M43" s="919">
        <f t="shared" si="31"/>
        <v>0</v>
      </c>
      <c r="N43" s="920">
        <f t="shared" si="3"/>
        <v>0</v>
      </c>
      <c r="O43" s="919">
        <f>M42-N42-N43</f>
        <v>0</v>
      </c>
      <c r="P43" s="919">
        <f t="shared" si="4"/>
        <v>0</v>
      </c>
      <c r="Q43" s="919">
        <f>P43*Pressupostos!$C$30</f>
        <v>0</v>
      </c>
      <c r="R43" s="921">
        <f t="shared" si="5"/>
        <v>0</v>
      </c>
      <c r="S43" s="14"/>
      <c r="T43" s="917">
        <f>T42</f>
        <v>13</v>
      </c>
      <c r="U43" s="918" t="s">
        <v>250</v>
      </c>
      <c r="V43" s="919">
        <f t="shared" si="32"/>
        <v>0</v>
      </c>
      <c r="W43" s="920">
        <f t="shared" si="6"/>
        <v>0</v>
      </c>
      <c r="X43" s="919">
        <f>V42-W42-W43</f>
        <v>0</v>
      </c>
      <c r="Y43" s="919">
        <f t="shared" si="7"/>
        <v>0</v>
      </c>
      <c r="Z43" s="919">
        <f>Y43*Pressupostos!$C$30</f>
        <v>0</v>
      </c>
      <c r="AA43" s="921">
        <f t="shared" si="8"/>
        <v>0</v>
      </c>
      <c r="AB43" s="14"/>
      <c r="AC43" s="917">
        <f>AC42</f>
        <v>13</v>
      </c>
      <c r="AD43" s="918" t="s">
        <v>250</v>
      </c>
      <c r="AE43" s="919">
        <f t="shared" si="33"/>
        <v>0</v>
      </c>
      <c r="AF43" s="920">
        <f t="shared" si="9"/>
        <v>0</v>
      </c>
      <c r="AG43" s="919">
        <f>AE42-AF42-AF43</f>
        <v>0</v>
      </c>
      <c r="AH43" s="919">
        <f t="shared" si="10"/>
        <v>0</v>
      </c>
      <c r="AI43" s="919">
        <f>AH43*Pressupostos!$C$30</f>
        <v>0</v>
      </c>
      <c r="AJ43" s="921">
        <f t="shared" si="11"/>
        <v>0</v>
      </c>
      <c r="AK43" s="14"/>
      <c r="AL43" s="917">
        <f>AL42</f>
        <v>13</v>
      </c>
      <c r="AM43" s="918" t="s">
        <v>250</v>
      </c>
      <c r="AN43" s="919">
        <f t="shared" si="34"/>
        <v>0</v>
      </c>
      <c r="AO43" s="920">
        <f t="shared" si="12"/>
        <v>0</v>
      </c>
      <c r="AP43" s="919">
        <f>AN42-AO42-AO43</f>
        <v>0</v>
      </c>
      <c r="AQ43" s="919">
        <f t="shared" si="13"/>
        <v>0</v>
      </c>
      <c r="AR43" s="919">
        <f>AQ43*Pressupostos!$C$30</f>
        <v>0</v>
      </c>
      <c r="AS43" s="921">
        <f t="shared" si="14"/>
        <v>0</v>
      </c>
      <c r="AT43" s="14"/>
      <c r="AU43" s="917">
        <f>AU42</f>
        <v>13</v>
      </c>
      <c r="AV43" s="918" t="s">
        <v>250</v>
      </c>
      <c r="AW43" s="919">
        <f t="shared" si="35"/>
        <v>0</v>
      </c>
      <c r="AX43" s="920">
        <f t="shared" si="15"/>
        <v>0</v>
      </c>
      <c r="AY43" s="919">
        <f>AW42-AX42-AX43</f>
        <v>0</v>
      </c>
      <c r="AZ43" s="919">
        <f t="shared" si="16"/>
        <v>0</v>
      </c>
      <c r="BA43" s="919">
        <f>AZ43*Pressupostos!$C$30</f>
        <v>0</v>
      </c>
      <c r="BB43" s="921">
        <f t="shared" si="17"/>
        <v>0</v>
      </c>
      <c r="BC43" s="14"/>
      <c r="BD43" s="917">
        <f>BD42</f>
        <v>13</v>
      </c>
      <c r="BE43" s="918" t="s">
        <v>250</v>
      </c>
      <c r="BF43" s="919">
        <f t="shared" si="36"/>
        <v>0</v>
      </c>
      <c r="BG43" s="920">
        <f t="shared" si="18"/>
        <v>0</v>
      </c>
      <c r="BH43" s="919">
        <f>BF42-BG42-BG43</f>
        <v>0</v>
      </c>
      <c r="BI43" s="919">
        <f t="shared" si="19"/>
        <v>0</v>
      </c>
      <c r="BJ43" s="919">
        <f>BI43*Pressupostos!$C$30</f>
        <v>0</v>
      </c>
      <c r="BK43" s="921">
        <f t="shared" si="20"/>
        <v>0</v>
      </c>
      <c r="BL43" s="14"/>
      <c r="BM43" s="917">
        <f>BM42</f>
        <v>13</v>
      </c>
      <c r="BN43" s="918" t="s">
        <v>250</v>
      </c>
      <c r="BO43" s="919">
        <f t="shared" si="37"/>
        <v>0</v>
      </c>
      <c r="BP43" s="920">
        <f t="shared" si="21"/>
        <v>0</v>
      </c>
      <c r="BQ43" s="919">
        <f>BO42-BP42-BP43</f>
        <v>0</v>
      </c>
      <c r="BR43" s="919">
        <f t="shared" si="22"/>
        <v>0</v>
      </c>
      <c r="BS43" s="919">
        <f>BR43*Pressupostos!$C$30</f>
        <v>0</v>
      </c>
      <c r="BT43" s="921">
        <f t="shared" si="23"/>
        <v>0</v>
      </c>
      <c r="BU43" s="14"/>
      <c r="BV43" s="917">
        <f>BV42</f>
        <v>13</v>
      </c>
      <c r="BW43" s="918" t="s">
        <v>250</v>
      </c>
      <c r="BX43" s="919">
        <f t="shared" si="38"/>
        <v>0</v>
      </c>
      <c r="BY43" s="920">
        <f t="shared" si="24"/>
        <v>0</v>
      </c>
      <c r="BZ43" s="919">
        <f>BX42-BY42-BY43</f>
        <v>0</v>
      </c>
      <c r="CA43" s="919">
        <f t="shared" si="25"/>
        <v>0</v>
      </c>
      <c r="CB43" s="919">
        <f>CA43*Pressupostos!$C$30</f>
        <v>0</v>
      </c>
      <c r="CC43" s="921">
        <f t="shared" si="26"/>
        <v>0</v>
      </c>
      <c r="CD43" s="14"/>
      <c r="CE43" s="917">
        <f>CE42</f>
        <v>13</v>
      </c>
      <c r="CF43" s="918" t="s">
        <v>250</v>
      </c>
      <c r="CG43" s="919">
        <f t="shared" si="39"/>
        <v>0</v>
      </c>
      <c r="CH43" s="920">
        <f t="shared" si="27"/>
        <v>0</v>
      </c>
      <c r="CI43" s="919">
        <f>CG42-CH42-CH43</f>
        <v>0</v>
      </c>
      <c r="CJ43" s="919">
        <f t="shared" si="28"/>
        <v>0</v>
      </c>
      <c r="CK43" s="919">
        <f>CJ43*Pressupostos!$C$30</f>
        <v>0</v>
      </c>
      <c r="CL43" s="921">
        <f t="shared" si="29"/>
        <v>0</v>
      </c>
      <c r="CM43" s="182"/>
    </row>
    <row r="44" spans="1:91" x14ac:dyDescent="0.25">
      <c r="A44" s="14"/>
      <c r="B44" s="917">
        <f>B43+1</f>
        <v>14</v>
      </c>
      <c r="C44" s="918" t="s">
        <v>249</v>
      </c>
      <c r="D44" s="919">
        <f t="shared" si="30"/>
        <v>0</v>
      </c>
      <c r="E44" s="920">
        <f t="shared" si="0"/>
        <v>0</v>
      </c>
      <c r="F44" s="919">
        <f>D44-E44</f>
        <v>0</v>
      </c>
      <c r="G44" s="919">
        <f t="shared" si="1"/>
        <v>0</v>
      </c>
      <c r="H44" s="909">
        <f>G44*Pressupostos!$C$30</f>
        <v>0</v>
      </c>
      <c r="I44" s="921">
        <f t="shared" si="2"/>
        <v>0</v>
      </c>
      <c r="J44" s="279"/>
      <c r="K44" s="917">
        <f>K43+1</f>
        <v>14</v>
      </c>
      <c r="L44" s="918" t="s">
        <v>249</v>
      </c>
      <c r="M44" s="919">
        <f t="shared" si="31"/>
        <v>0</v>
      </c>
      <c r="N44" s="920">
        <f t="shared" si="3"/>
        <v>0</v>
      </c>
      <c r="O44" s="919">
        <f>M44-N44</f>
        <v>0</v>
      </c>
      <c r="P44" s="919">
        <f t="shared" si="4"/>
        <v>0</v>
      </c>
      <c r="Q44" s="919">
        <f>P44*Pressupostos!$C$30</f>
        <v>0</v>
      </c>
      <c r="R44" s="921">
        <f t="shared" si="5"/>
        <v>0</v>
      </c>
      <c r="S44" s="14"/>
      <c r="T44" s="917">
        <f>T43+1</f>
        <v>14</v>
      </c>
      <c r="U44" s="918" t="s">
        <v>249</v>
      </c>
      <c r="V44" s="919">
        <f t="shared" si="32"/>
        <v>0</v>
      </c>
      <c r="W44" s="920">
        <f t="shared" si="6"/>
        <v>0</v>
      </c>
      <c r="X44" s="919">
        <f>V44-W44</f>
        <v>0</v>
      </c>
      <c r="Y44" s="919">
        <f t="shared" si="7"/>
        <v>0</v>
      </c>
      <c r="Z44" s="919">
        <f>Y44*Pressupostos!$C$30</f>
        <v>0</v>
      </c>
      <c r="AA44" s="921">
        <f t="shared" si="8"/>
        <v>0</v>
      </c>
      <c r="AB44" s="14"/>
      <c r="AC44" s="917">
        <f>AC43+1</f>
        <v>14</v>
      </c>
      <c r="AD44" s="918" t="s">
        <v>249</v>
      </c>
      <c r="AE44" s="919">
        <f t="shared" si="33"/>
        <v>0</v>
      </c>
      <c r="AF44" s="920">
        <f t="shared" si="9"/>
        <v>0</v>
      </c>
      <c r="AG44" s="919">
        <f>AE44-AF44</f>
        <v>0</v>
      </c>
      <c r="AH44" s="919">
        <f t="shared" si="10"/>
        <v>0</v>
      </c>
      <c r="AI44" s="919">
        <f>AH44*Pressupostos!$C$30</f>
        <v>0</v>
      </c>
      <c r="AJ44" s="921">
        <f t="shared" si="11"/>
        <v>0</v>
      </c>
      <c r="AK44" s="14"/>
      <c r="AL44" s="917">
        <f>AL43+1</f>
        <v>14</v>
      </c>
      <c r="AM44" s="918" t="s">
        <v>249</v>
      </c>
      <c r="AN44" s="919">
        <f t="shared" si="34"/>
        <v>0</v>
      </c>
      <c r="AO44" s="920">
        <f t="shared" si="12"/>
        <v>0</v>
      </c>
      <c r="AP44" s="919">
        <f>AN44-AO44</f>
        <v>0</v>
      </c>
      <c r="AQ44" s="919">
        <f t="shared" si="13"/>
        <v>0</v>
      </c>
      <c r="AR44" s="919">
        <f>AQ44*Pressupostos!$C$30</f>
        <v>0</v>
      </c>
      <c r="AS44" s="921">
        <f t="shared" si="14"/>
        <v>0</v>
      </c>
      <c r="AT44" s="14"/>
      <c r="AU44" s="917">
        <f>AU43+1</f>
        <v>14</v>
      </c>
      <c r="AV44" s="918" t="s">
        <v>249</v>
      </c>
      <c r="AW44" s="919">
        <f t="shared" si="35"/>
        <v>0</v>
      </c>
      <c r="AX44" s="920">
        <f t="shared" si="15"/>
        <v>0</v>
      </c>
      <c r="AY44" s="919">
        <f>AW44-AX44</f>
        <v>0</v>
      </c>
      <c r="AZ44" s="919">
        <f t="shared" si="16"/>
        <v>0</v>
      </c>
      <c r="BA44" s="919">
        <f>AZ44*Pressupostos!$C$30</f>
        <v>0</v>
      </c>
      <c r="BB44" s="921">
        <f t="shared" si="17"/>
        <v>0</v>
      </c>
      <c r="BC44" s="14"/>
      <c r="BD44" s="917">
        <f>BD43+1</f>
        <v>14</v>
      </c>
      <c r="BE44" s="918" t="s">
        <v>249</v>
      </c>
      <c r="BF44" s="919">
        <f t="shared" si="36"/>
        <v>0</v>
      </c>
      <c r="BG44" s="920">
        <f t="shared" si="18"/>
        <v>0</v>
      </c>
      <c r="BH44" s="919">
        <f>BF44-BG44</f>
        <v>0</v>
      </c>
      <c r="BI44" s="919">
        <f t="shared" si="19"/>
        <v>0</v>
      </c>
      <c r="BJ44" s="919">
        <f>BI44*Pressupostos!$C$30</f>
        <v>0</v>
      </c>
      <c r="BK44" s="921">
        <f t="shared" si="20"/>
        <v>0</v>
      </c>
      <c r="BL44" s="14"/>
      <c r="BM44" s="917">
        <f>BM43+1</f>
        <v>14</v>
      </c>
      <c r="BN44" s="918" t="s">
        <v>249</v>
      </c>
      <c r="BO44" s="919">
        <f t="shared" si="37"/>
        <v>0</v>
      </c>
      <c r="BP44" s="920">
        <f t="shared" si="21"/>
        <v>0</v>
      </c>
      <c r="BQ44" s="919">
        <f>BO44-BP44</f>
        <v>0</v>
      </c>
      <c r="BR44" s="919">
        <f t="shared" si="22"/>
        <v>0</v>
      </c>
      <c r="BS44" s="919">
        <f>BR44*Pressupostos!$C$30</f>
        <v>0</v>
      </c>
      <c r="BT44" s="921">
        <f t="shared" si="23"/>
        <v>0</v>
      </c>
      <c r="BU44" s="14"/>
      <c r="BV44" s="917">
        <f>BV43+1</f>
        <v>14</v>
      </c>
      <c r="BW44" s="918" t="s">
        <v>249</v>
      </c>
      <c r="BX44" s="919">
        <f t="shared" si="38"/>
        <v>0</v>
      </c>
      <c r="BY44" s="920">
        <f t="shared" si="24"/>
        <v>0</v>
      </c>
      <c r="BZ44" s="919">
        <f>BX44-BY44</f>
        <v>0</v>
      </c>
      <c r="CA44" s="919">
        <f t="shared" si="25"/>
        <v>0</v>
      </c>
      <c r="CB44" s="919">
        <f>CA44*Pressupostos!$C$30</f>
        <v>0</v>
      </c>
      <c r="CC44" s="921">
        <f t="shared" si="26"/>
        <v>0</v>
      </c>
      <c r="CD44" s="14"/>
      <c r="CE44" s="917">
        <f>CE43+1</f>
        <v>14</v>
      </c>
      <c r="CF44" s="918" t="s">
        <v>249</v>
      </c>
      <c r="CG44" s="919">
        <f t="shared" si="39"/>
        <v>0</v>
      </c>
      <c r="CH44" s="920">
        <f t="shared" si="27"/>
        <v>0</v>
      </c>
      <c r="CI44" s="919">
        <f>CG44-CH44</f>
        <v>0</v>
      </c>
      <c r="CJ44" s="919">
        <f t="shared" si="28"/>
        <v>0</v>
      </c>
      <c r="CK44" s="919">
        <f>CJ44*Pressupostos!$C$30</f>
        <v>0</v>
      </c>
      <c r="CL44" s="921">
        <f t="shared" si="29"/>
        <v>0</v>
      </c>
      <c r="CM44" s="182"/>
    </row>
    <row r="45" spans="1:91" x14ac:dyDescent="0.25">
      <c r="A45" s="14"/>
      <c r="B45" s="917">
        <f>B44</f>
        <v>14</v>
      </c>
      <c r="C45" s="918" t="s">
        <v>250</v>
      </c>
      <c r="D45" s="919">
        <f t="shared" si="30"/>
        <v>0</v>
      </c>
      <c r="E45" s="920">
        <f t="shared" si="0"/>
        <v>0</v>
      </c>
      <c r="F45" s="919">
        <f>D44-E44-E45</f>
        <v>0</v>
      </c>
      <c r="G45" s="919">
        <f t="shared" si="1"/>
        <v>0</v>
      </c>
      <c r="H45" s="909">
        <f>G45*Pressupostos!$C$30</f>
        <v>0</v>
      </c>
      <c r="I45" s="921">
        <f t="shared" si="2"/>
        <v>0</v>
      </c>
      <c r="J45" s="279"/>
      <c r="K45" s="917">
        <f>K44</f>
        <v>14</v>
      </c>
      <c r="L45" s="918" t="s">
        <v>250</v>
      </c>
      <c r="M45" s="919">
        <f t="shared" si="31"/>
        <v>0</v>
      </c>
      <c r="N45" s="920">
        <f t="shared" si="3"/>
        <v>0</v>
      </c>
      <c r="O45" s="919">
        <f>M44-N44-N45</f>
        <v>0</v>
      </c>
      <c r="P45" s="919">
        <f t="shared" si="4"/>
        <v>0</v>
      </c>
      <c r="Q45" s="919">
        <f>P45*Pressupostos!$C$30</f>
        <v>0</v>
      </c>
      <c r="R45" s="921">
        <f t="shared" si="5"/>
        <v>0</v>
      </c>
      <c r="S45" s="14"/>
      <c r="T45" s="917">
        <f>T44</f>
        <v>14</v>
      </c>
      <c r="U45" s="918" t="s">
        <v>250</v>
      </c>
      <c r="V45" s="919">
        <f t="shared" si="32"/>
        <v>0</v>
      </c>
      <c r="W45" s="920">
        <f t="shared" si="6"/>
        <v>0</v>
      </c>
      <c r="X45" s="919">
        <f>V44-W44-W45</f>
        <v>0</v>
      </c>
      <c r="Y45" s="919">
        <f t="shared" si="7"/>
        <v>0</v>
      </c>
      <c r="Z45" s="919">
        <f>Y45*Pressupostos!$C$30</f>
        <v>0</v>
      </c>
      <c r="AA45" s="921">
        <f t="shared" si="8"/>
        <v>0</v>
      </c>
      <c r="AB45" s="14"/>
      <c r="AC45" s="917">
        <f>AC44</f>
        <v>14</v>
      </c>
      <c r="AD45" s="918" t="s">
        <v>250</v>
      </c>
      <c r="AE45" s="919">
        <f t="shared" si="33"/>
        <v>0</v>
      </c>
      <c r="AF45" s="920">
        <f t="shared" si="9"/>
        <v>0</v>
      </c>
      <c r="AG45" s="919">
        <f>AE44-AF44-AF45</f>
        <v>0</v>
      </c>
      <c r="AH45" s="919">
        <f t="shared" si="10"/>
        <v>0</v>
      </c>
      <c r="AI45" s="919">
        <f>AH45*Pressupostos!$C$30</f>
        <v>0</v>
      </c>
      <c r="AJ45" s="921">
        <f t="shared" si="11"/>
        <v>0</v>
      </c>
      <c r="AK45" s="14"/>
      <c r="AL45" s="917">
        <f>AL44</f>
        <v>14</v>
      </c>
      <c r="AM45" s="918" t="s">
        <v>250</v>
      </c>
      <c r="AN45" s="919">
        <f t="shared" si="34"/>
        <v>0</v>
      </c>
      <c r="AO45" s="920">
        <f t="shared" si="12"/>
        <v>0</v>
      </c>
      <c r="AP45" s="919">
        <f>AN44-AO44-AO45</f>
        <v>0</v>
      </c>
      <c r="AQ45" s="919">
        <f t="shared" si="13"/>
        <v>0</v>
      </c>
      <c r="AR45" s="919">
        <f>AQ45*Pressupostos!$C$30</f>
        <v>0</v>
      </c>
      <c r="AS45" s="921">
        <f t="shared" si="14"/>
        <v>0</v>
      </c>
      <c r="AT45" s="14"/>
      <c r="AU45" s="917">
        <f>AU44</f>
        <v>14</v>
      </c>
      <c r="AV45" s="918" t="s">
        <v>250</v>
      </c>
      <c r="AW45" s="919">
        <f t="shared" si="35"/>
        <v>0</v>
      </c>
      <c r="AX45" s="920">
        <f t="shared" si="15"/>
        <v>0</v>
      </c>
      <c r="AY45" s="919">
        <f>AW44-AX44-AX45</f>
        <v>0</v>
      </c>
      <c r="AZ45" s="919">
        <f t="shared" si="16"/>
        <v>0</v>
      </c>
      <c r="BA45" s="919">
        <f>AZ45*Pressupostos!$C$30</f>
        <v>0</v>
      </c>
      <c r="BB45" s="921">
        <f t="shared" si="17"/>
        <v>0</v>
      </c>
      <c r="BC45" s="14"/>
      <c r="BD45" s="917">
        <f>BD44</f>
        <v>14</v>
      </c>
      <c r="BE45" s="918" t="s">
        <v>250</v>
      </c>
      <c r="BF45" s="919">
        <f t="shared" si="36"/>
        <v>0</v>
      </c>
      <c r="BG45" s="920">
        <f t="shared" si="18"/>
        <v>0</v>
      </c>
      <c r="BH45" s="919">
        <f>BF44-BG44-BG45</f>
        <v>0</v>
      </c>
      <c r="BI45" s="919">
        <f t="shared" si="19"/>
        <v>0</v>
      </c>
      <c r="BJ45" s="919">
        <f>BI45*Pressupostos!$C$30</f>
        <v>0</v>
      </c>
      <c r="BK45" s="921">
        <f t="shared" si="20"/>
        <v>0</v>
      </c>
      <c r="BL45" s="14"/>
      <c r="BM45" s="917">
        <f>BM44</f>
        <v>14</v>
      </c>
      <c r="BN45" s="918" t="s">
        <v>250</v>
      </c>
      <c r="BO45" s="919">
        <f t="shared" si="37"/>
        <v>0</v>
      </c>
      <c r="BP45" s="920">
        <f t="shared" si="21"/>
        <v>0</v>
      </c>
      <c r="BQ45" s="919">
        <f>BO44-BP44-BP45</f>
        <v>0</v>
      </c>
      <c r="BR45" s="919">
        <f t="shared" si="22"/>
        <v>0</v>
      </c>
      <c r="BS45" s="919">
        <f>BR45*Pressupostos!$C$30</f>
        <v>0</v>
      </c>
      <c r="BT45" s="921">
        <f t="shared" si="23"/>
        <v>0</v>
      </c>
      <c r="BU45" s="14"/>
      <c r="BV45" s="917">
        <f>BV44</f>
        <v>14</v>
      </c>
      <c r="BW45" s="918" t="s">
        <v>250</v>
      </c>
      <c r="BX45" s="919">
        <f t="shared" si="38"/>
        <v>0</v>
      </c>
      <c r="BY45" s="920">
        <f t="shared" si="24"/>
        <v>0</v>
      </c>
      <c r="BZ45" s="919">
        <f>BX44-BY44-BY45</f>
        <v>0</v>
      </c>
      <c r="CA45" s="919">
        <f t="shared" si="25"/>
        <v>0</v>
      </c>
      <c r="CB45" s="919">
        <f>CA45*Pressupostos!$C$30</f>
        <v>0</v>
      </c>
      <c r="CC45" s="921">
        <f t="shared" si="26"/>
        <v>0</v>
      </c>
      <c r="CD45" s="14"/>
      <c r="CE45" s="917">
        <f>CE44</f>
        <v>14</v>
      </c>
      <c r="CF45" s="918" t="s">
        <v>250</v>
      </c>
      <c r="CG45" s="919">
        <f t="shared" si="39"/>
        <v>0</v>
      </c>
      <c r="CH45" s="920">
        <f t="shared" si="27"/>
        <v>0</v>
      </c>
      <c r="CI45" s="919">
        <f>CG44-CH44-CH45</f>
        <v>0</v>
      </c>
      <c r="CJ45" s="919">
        <f t="shared" si="28"/>
        <v>0</v>
      </c>
      <c r="CK45" s="919">
        <f>CJ45*Pressupostos!$C$30</f>
        <v>0</v>
      </c>
      <c r="CL45" s="921">
        <f t="shared" si="29"/>
        <v>0</v>
      </c>
      <c r="CM45" s="182"/>
    </row>
    <row r="46" spans="1:91" x14ac:dyDescent="0.25">
      <c r="A46" s="14"/>
      <c r="B46" s="917">
        <f>B45+1</f>
        <v>15</v>
      </c>
      <c r="C46" s="918" t="s">
        <v>249</v>
      </c>
      <c r="D46" s="919">
        <f t="shared" si="30"/>
        <v>0</v>
      </c>
      <c r="E46" s="920">
        <f t="shared" si="0"/>
        <v>0</v>
      </c>
      <c r="F46" s="919">
        <f>D46-E46</f>
        <v>0</v>
      </c>
      <c r="G46" s="919">
        <f t="shared" si="1"/>
        <v>0</v>
      </c>
      <c r="H46" s="909">
        <f>G46*Pressupostos!$C$30</f>
        <v>0</v>
      </c>
      <c r="I46" s="921">
        <f t="shared" si="2"/>
        <v>0</v>
      </c>
      <c r="J46" s="279"/>
      <c r="K46" s="917">
        <f>K45+1</f>
        <v>15</v>
      </c>
      <c r="L46" s="918" t="s">
        <v>249</v>
      </c>
      <c r="M46" s="919">
        <f t="shared" si="31"/>
        <v>0</v>
      </c>
      <c r="N46" s="920">
        <f t="shared" si="3"/>
        <v>0</v>
      </c>
      <c r="O46" s="919">
        <f>M46-N46</f>
        <v>0</v>
      </c>
      <c r="P46" s="919">
        <f t="shared" si="4"/>
        <v>0</v>
      </c>
      <c r="Q46" s="919">
        <f>P46*Pressupostos!$C$30</f>
        <v>0</v>
      </c>
      <c r="R46" s="921">
        <f t="shared" si="5"/>
        <v>0</v>
      </c>
      <c r="S46" s="14"/>
      <c r="T46" s="917">
        <f>T45+1</f>
        <v>15</v>
      </c>
      <c r="U46" s="918" t="s">
        <v>249</v>
      </c>
      <c r="V46" s="919">
        <f t="shared" si="32"/>
        <v>0</v>
      </c>
      <c r="W46" s="920">
        <f t="shared" si="6"/>
        <v>0</v>
      </c>
      <c r="X46" s="919">
        <f>V46-W46</f>
        <v>0</v>
      </c>
      <c r="Y46" s="919">
        <f t="shared" si="7"/>
        <v>0</v>
      </c>
      <c r="Z46" s="919">
        <f>Y46*Pressupostos!$C$30</f>
        <v>0</v>
      </c>
      <c r="AA46" s="921">
        <f t="shared" si="8"/>
        <v>0</v>
      </c>
      <c r="AB46" s="14"/>
      <c r="AC46" s="917">
        <f>AC45+1</f>
        <v>15</v>
      </c>
      <c r="AD46" s="918" t="s">
        <v>249</v>
      </c>
      <c r="AE46" s="919">
        <f t="shared" si="33"/>
        <v>0</v>
      </c>
      <c r="AF46" s="920">
        <f t="shared" si="9"/>
        <v>0</v>
      </c>
      <c r="AG46" s="919">
        <f>AE46-AF46</f>
        <v>0</v>
      </c>
      <c r="AH46" s="919">
        <f t="shared" si="10"/>
        <v>0</v>
      </c>
      <c r="AI46" s="919">
        <f>AH46*Pressupostos!$C$30</f>
        <v>0</v>
      </c>
      <c r="AJ46" s="921">
        <f t="shared" si="11"/>
        <v>0</v>
      </c>
      <c r="AK46" s="14"/>
      <c r="AL46" s="917">
        <f>AL45+1</f>
        <v>15</v>
      </c>
      <c r="AM46" s="918" t="s">
        <v>249</v>
      </c>
      <c r="AN46" s="919">
        <f t="shared" si="34"/>
        <v>0</v>
      </c>
      <c r="AO46" s="920">
        <f t="shared" si="12"/>
        <v>0</v>
      </c>
      <c r="AP46" s="919">
        <f>AN46-AO46</f>
        <v>0</v>
      </c>
      <c r="AQ46" s="919">
        <f t="shared" si="13"/>
        <v>0</v>
      </c>
      <c r="AR46" s="919">
        <f>AQ46*Pressupostos!$C$30</f>
        <v>0</v>
      </c>
      <c r="AS46" s="921">
        <f t="shared" si="14"/>
        <v>0</v>
      </c>
      <c r="AT46" s="14"/>
      <c r="AU46" s="917">
        <f>AU45+1</f>
        <v>15</v>
      </c>
      <c r="AV46" s="918" t="s">
        <v>249</v>
      </c>
      <c r="AW46" s="919">
        <f t="shared" si="35"/>
        <v>0</v>
      </c>
      <c r="AX46" s="920">
        <f t="shared" si="15"/>
        <v>0</v>
      </c>
      <c r="AY46" s="919">
        <f>AW46-AX46</f>
        <v>0</v>
      </c>
      <c r="AZ46" s="919">
        <f t="shared" si="16"/>
        <v>0</v>
      </c>
      <c r="BA46" s="919">
        <f>AZ46*Pressupostos!$C$30</f>
        <v>0</v>
      </c>
      <c r="BB46" s="921">
        <f t="shared" si="17"/>
        <v>0</v>
      </c>
      <c r="BC46" s="14"/>
      <c r="BD46" s="917">
        <f>BD45+1</f>
        <v>15</v>
      </c>
      <c r="BE46" s="918" t="s">
        <v>249</v>
      </c>
      <c r="BF46" s="919">
        <f t="shared" si="36"/>
        <v>0</v>
      </c>
      <c r="BG46" s="920">
        <f t="shared" si="18"/>
        <v>0</v>
      </c>
      <c r="BH46" s="919">
        <f>BF46-BG46</f>
        <v>0</v>
      </c>
      <c r="BI46" s="919">
        <f t="shared" si="19"/>
        <v>0</v>
      </c>
      <c r="BJ46" s="919">
        <f>BI46*Pressupostos!$C$30</f>
        <v>0</v>
      </c>
      <c r="BK46" s="921">
        <f t="shared" si="20"/>
        <v>0</v>
      </c>
      <c r="BL46" s="14"/>
      <c r="BM46" s="917">
        <f>BM45+1</f>
        <v>15</v>
      </c>
      <c r="BN46" s="918" t="s">
        <v>249</v>
      </c>
      <c r="BO46" s="919">
        <f t="shared" si="37"/>
        <v>0</v>
      </c>
      <c r="BP46" s="920">
        <f t="shared" si="21"/>
        <v>0</v>
      </c>
      <c r="BQ46" s="919">
        <f>BO46-BP46</f>
        <v>0</v>
      </c>
      <c r="BR46" s="919">
        <f t="shared" si="22"/>
        <v>0</v>
      </c>
      <c r="BS46" s="919">
        <f>BR46*Pressupostos!$C$30</f>
        <v>0</v>
      </c>
      <c r="BT46" s="921">
        <f t="shared" si="23"/>
        <v>0</v>
      </c>
      <c r="BU46" s="14"/>
      <c r="BV46" s="917">
        <f>BV45+1</f>
        <v>15</v>
      </c>
      <c r="BW46" s="918" t="s">
        <v>249</v>
      </c>
      <c r="BX46" s="919">
        <f t="shared" si="38"/>
        <v>0</v>
      </c>
      <c r="BY46" s="920">
        <f t="shared" si="24"/>
        <v>0</v>
      </c>
      <c r="BZ46" s="919">
        <f>BX46-BY46</f>
        <v>0</v>
      </c>
      <c r="CA46" s="919">
        <f t="shared" si="25"/>
        <v>0</v>
      </c>
      <c r="CB46" s="919">
        <f>CA46*Pressupostos!$C$30</f>
        <v>0</v>
      </c>
      <c r="CC46" s="921">
        <f t="shared" si="26"/>
        <v>0</v>
      </c>
      <c r="CD46" s="14"/>
      <c r="CE46" s="917">
        <f>CE45+1</f>
        <v>15</v>
      </c>
      <c r="CF46" s="918" t="s">
        <v>249</v>
      </c>
      <c r="CG46" s="919">
        <f t="shared" si="39"/>
        <v>0</v>
      </c>
      <c r="CH46" s="920">
        <f t="shared" si="27"/>
        <v>0</v>
      </c>
      <c r="CI46" s="919">
        <f>CG46-CH46</f>
        <v>0</v>
      </c>
      <c r="CJ46" s="919">
        <f t="shared" si="28"/>
        <v>0</v>
      </c>
      <c r="CK46" s="919">
        <f>CJ46*Pressupostos!$C$30</f>
        <v>0</v>
      </c>
      <c r="CL46" s="921">
        <f t="shared" si="29"/>
        <v>0</v>
      </c>
      <c r="CM46" s="182"/>
    </row>
    <row r="47" spans="1:91" x14ac:dyDescent="0.25">
      <c r="A47" s="14"/>
      <c r="B47" s="917">
        <f>B46</f>
        <v>15</v>
      </c>
      <c r="C47" s="918" t="s">
        <v>250</v>
      </c>
      <c r="D47" s="919">
        <f t="shared" si="30"/>
        <v>0</v>
      </c>
      <c r="E47" s="920">
        <f t="shared" si="0"/>
        <v>0</v>
      </c>
      <c r="F47" s="919">
        <f>D46-E46-E47</f>
        <v>0</v>
      </c>
      <c r="G47" s="919">
        <f t="shared" si="1"/>
        <v>0</v>
      </c>
      <c r="H47" s="909">
        <f>G47*Pressupostos!$C$30</f>
        <v>0</v>
      </c>
      <c r="I47" s="921">
        <f t="shared" si="2"/>
        <v>0</v>
      </c>
      <c r="J47" s="279"/>
      <c r="K47" s="917">
        <f>K46</f>
        <v>15</v>
      </c>
      <c r="L47" s="918" t="s">
        <v>250</v>
      </c>
      <c r="M47" s="919">
        <f t="shared" si="31"/>
        <v>0</v>
      </c>
      <c r="N47" s="920">
        <f t="shared" si="3"/>
        <v>0</v>
      </c>
      <c r="O47" s="919">
        <f>M46-N46-N47</f>
        <v>0</v>
      </c>
      <c r="P47" s="919">
        <f t="shared" si="4"/>
        <v>0</v>
      </c>
      <c r="Q47" s="919">
        <f>P47*Pressupostos!$C$30</f>
        <v>0</v>
      </c>
      <c r="R47" s="921">
        <f t="shared" si="5"/>
        <v>0</v>
      </c>
      <c r="S47" s="14"/>
      <c r="T47" s="917">
        <f>T46</f>
        <v>15</v>
      </c>
      <c r="U47" s="918" t="s">
        <v>250</v>
      </c>
      <c r="V47" s="919">
        <f t="shared" si="32"/>
        <v>0</v>
      </c>
      <c r="W47" s="920">
        <f t="shared" si="6"/>
        <v>0</v>
      </c>
      <c r="X47" s="919">
        <f>V46-W46-W47</f>
        <v>0</v>
      </c>
      <c r="Y47" s="919">
        <f t="shared" si="7"/>
        <v>0</v>
      </c>
      <c r="Z47" s="919">
        <f>Y47*Pressupostos!$C$30</f>
        <v>0</v>
      </c>
      <c r="AA47" s="921">
        <f t="shared" si="8"/>
        <v>0</v>
      </c>
      <c r="AB47" s="14"/>
      <c r="AC47" s="917">
        <f>AC46</f>
        <v>15</v>
      </c>
      <c r="AD47" s="918" t="s">
        <v>250</v>
      </c>
      <c r="AE47" s="919">
        <f t="shared" si="33"/>
        <v>0</v>
      </c>
      <c r="AF47" s="920">
        <f t="shared" si="9"/>
        <v>0</v>
      </c>
      <c r="AG47" s="919">
        <f>AE46-AF46-AF47</f>
        <v>0</v>
      </c>
      <c r="AH47" s="919">
        <f t="shared" si="10"/>
        <v>0</v>
      </c>
      <c r="AI47" s="919">
        <f>AH47*Pressupostos!$C$30</f>
        <v>0</v>
      </c>
      <c r="AJ47" s="921">
        <f t="shared" si="11"/>
        <v>0</v>
      </c>
      <c r="AK47" s="14"/>
      <c r="AL47" s="917">
        <f>AL46</f>
        <v>15</v>
      </c>
      <c r="AM47" s="918" t="s">
        <v>250</v>
      </c>
      <c r="AN47" s="919">
        <f t="shared" si="34"/>
        <v>0</v>
      </c>
      <c r="AO47" s="920">
        <f t="shared" si="12"/>
        <v>0</v>
      </c>
      <c r="AP47" s="919">
        <f>AN46-AO46-AO47</f>
        <v>0</v>
      </c>
      <c r="AQ47" s="919">
        <f t="shared" si="13"/>
        <v>0</v>
      </c>
      <c r="AR47" s="919">
        <f>AQ47*Pressupostos!$C$30</f>
        <v>0</v>
      </c>
      <c r="AS47" s="921">
        <f t="shared" si="14"/>
        <v>0</v>
      </c>
      <c r="AT47" s="14"/>
      <c r="AU47" s="917">
        <f>AU46</f>
        <v>15</v>
      </c>
      <c r="AV47" s="918" t="s">
        <v>250</v>
      </c>
      <c r="AW47" s="919">
        <f t="shared" si="35"/>
        <v>0</v>
      </c>
      <c r="AX47" s="920">
        <f t="shared" si="15"/>
        <v>0</v>
      </c>
      <c r="AY47" s="919">
        <f>AW46-AX46-AX47</f>
        <v>0</v>
      </c>
      <c r="AZ47" s="919">
        <f t="shared" si="16"/>
        <v>0</v>
      </c>
      <c r="BA47" s="919">
        <f>AZ47*Pressupostos!$C$30</f>
        <v>0</v>
      </c>
      <c r="BB47" s="921">
        <f t="shared" si="17"/>
        <v>0</v>
      </c>
      <c r="BC47" s="14"/>
      <c r="BD47" s="917">
        <f>BD46</f>
        <v>15</v>
      </c>
      <c r="BE47" s="918" t="s">
        <v>250</v>
      </c>
      <c r="BF47" s="919">
        <f t="shared" si="36"/>
        <v>0</v>
      </c>
      <c r="BG47" s="920">
        <f t="shared" si="18"/>
        <v>0</v>
      </c>
      <c r="BH47" s="919">
        <f>BF46-BG46-BG47</f>
        <v>0</v>
      </c>
      <c r="BI47" s="919">
        <f t="shared" si="19"/>
        <v>0</v>
      </c>
      <c r="BJ47" s="919">
        <f>BI47*Pressupostos!$C$30</f>
        <v>0</v>
      </c>
      <c r="BK47" s="921">
        <f t="shared" si="20"/>
        <v>0</v>
      </c>
      <c r="BL47" s="14"/>
      <c r="BM47" s="917">
        <f>BM46</f>
        <v>15</v>
      </c>
      <c r="BN47" s="918" t="s">
        <v>250</v>
      </c>
      <c r="BO47" s="919">
        <f t="shared" si="37"/>
        <v>0</v>
      </c>
      <c r="BP47" s="920">
        <f t="shared" si="21"/>
        <v>0</v>
      </c>
      <c r="BQ47" s="919">
        <f>BO46-BP46-BP47</f>
        <v>0</v>
      </c>
      <c r="BR47" s="919">
        <f t="shared" si="22"/>
        <v>0</v>
      </c>
      <c r="BS47" s="919">
        <f>BR47*Pressupostos!$C$30</f>
        <v>0</v>
      </c>
      <c r="BT47" s="921">
        <f t="shared" si="23"/>
        <v>0</v>
      </c>
      <c r="BU47" s="14"/>
      <c r="BV47" s="917">
        <f>BV46</f>
        <v>15</v>
      </c>
      <c r="BW47" s="918" t="s">
        <v>250</v>
      </c>
      <c r="BX47" s="919">
        <f t="shared" si="38"/>
        <v>0</v>
      </c>
      <c r="BY47" s="920">
        <f t="shared" si="24"/>
        <v>0</v>
      </c>
      <c r="BZ47" s="919">
        <f>BX46-BY46-BY47</f>
        <v>0</v>
      </c>
      <c r="CA47" s="919">
        <f t="shared" si="25"/>
        <v>0</v>
      </c>
      <c r="CB47" s="919">
        <f>CA47*Pressupostos!$C$30</f>
        <v>0</v>
      </c>
      <c r="CC47" s="921">
        <f t="shared" si="26"/>
        <v>0</v>
      </c>
      <c r="CD47" s="14"/>
      <c r="CE47" s="917">
        <f>CE46</f>
        <v>15</v>
      </c>
      <c r="CF47" s="918" t="s">
        <v>250</v>
      </c>
      <c r="CG47" s="919">
        <f t="shared" si="39"/>
        <v>0</v>
      </c>
      <c r="CH47" s="920">
        <f t="shared" si="27"/>
        <v>0</v>
      </c>
      <c r="CI47" s="919">
        <f>CG46-CH46-CH47</f>
        <v>0</v>
      </c>
      <c r="CJ47" s="919">
        <f t="shared" si="28"/>
        <v>0</v>
      </c>
      <c r="CK47" s="919">
        <f>CJ47*Pressupostos!$C$30</f>
        <v>0</v>
      </c>
      <c r="CL47" s="921">
        <f t="shared" si="29"/>
        <v>0</v>
      </c>
      <c r="CM47" s="182"/>
    </row>
    <row r="48" spans="1:91" x14ac:dyDescent="0.25">
      <c r="A48" s="14"/>
      <c r="B48" s="917">
        <f>B47+1</f>
        <v>16</v>
      </c>
      <c r="C48" s="918" t="s">
        <v>249</v>
      </c>
      <c r="D48" s="919">
        <f t="shared" si="30"/>
        <v>0</v>
      </c>
      <c r="E48" s="920">
        <f t="shared" si="0"/>
        <v>0</v>
      </c>
      <c r="F48" s="919">
        <f>D48-E48</f>
        <v>0</v>
      </c>
      <c r="G48" s="919">
        <f t="shared" si="1"/>
        <v>0</v>
      </c>
      <c r="H48" s="909">
        <f>G48*Pressupostos!$C$30</f>
        <v>0</v>
      </c>
      <c r="I48" s="921">
        <f t="shared" si="2"/>
        <v>0</v>
      </c>
      <c r="J48" s="279"/>
      <c r="K48" s="917">
        <f>K47+1</f>
        <v>16</v>
      </c>
      <c r="L48" s="918" t="s">
        <v>249</v>
      </c>
      <c r="M48" s="919">
        <f t="shared" si="31"/>
        <v>0</v>
      </c>
      <c r="N48" s="920">
        <f t="shared" si="3"/>
        <v>0</v>
      </c>
      <c r="O48" s="919">
        <f>M48-N48</f>
        <v>0</v>
      </c>
      <c r="P48" s="919">
        <f t="shared" si="4"/>
        <v>0</v>
      </c>
      <c r="Q48" s="919">
        <f>P48*Pressupostos!$C$30</f>
        <v>0</v>
      </c>
      <c r="R48" s="921">
        <f t="shared" si="5"/>
        <v>0</v>
      </c>
      <c r="S48" s="14"/>
      <c r="T48" s="917">
        <f>T47+1</f>
        <v>16</v>
      </c>
      <c r="U48" s="918" t="s">
        <v>249</v>
      </c>
      <c r="V48" s="919">
        <f t="shared" si="32"/>
        <v>0</v>
      </c>
      <c r="W48" s="920">
        <f t="shared" si="6"/>
        <v>0</v>
      </c>
      <c r="X48" s="919">
        <f>V48-W48</f>
        <v>0</v>
      </c>
      <c r="Y48" s="919">
        <f t="shared" si="7"/>
        <v>0</v>
      </c>
      <c r="Z48" s="919">
        <f>Y48*Pressupostos!$C$30</f>
        <v>0</v>
      </c>
      <c r="AA48" s="921">
        <f t="shared" si="8"/>
        <v>0</v>
      </c>
      <c r="AB48" s="14"/>
      <c r="AC48" s="917">
        <f>AC47+1</f>
        <v>16</v>
      </c>
      <c r="AD48" s="918" t="s">
        <v>249</v>
      </c>
      <c r="AE48" s="919">
        <f t="shared" si="33"/>
        <v>0</v>
      </c>
      <c r="AF48" s="920">
        <f t="shared" si="9"/>
        <v>0</v>
      </c>
      <c r="AG48" s="919">
        <f>AE48-AF48</f>
        <v>0</v>
      </c>
      <c r="AH48" s="919">
        <f t="shared" si="10"/>
        <v>0</v>
      </c>
      <c r="AI48" s="919">
        <f>AH48*Pressupostos!$C$30</f>
        <v>0</v>
      </c>
      <c r="AJ48" s="921">
        <f t="shared" si="11"/>
        <v>0</v>
      </c>
      <c r="AK48" s="14"/>
      <c r="AL48" s="917">
        <f>AL47+1</f>
        <v>16</v>
      </c>
      <c r="AM48" s="918" t="s">
        <v>249</v>
      </c>
      <c r="AN48" s="919">
        <f t="shared" si="34"/>
        <v>0</v>
      </c>
      <c r="AO48" s="920">
        <f t="shared" si="12"/>
        <v>0</v>
      </c>
      <c r="AP48" s="919">
        <f>AN48-AO48</f>
        <v>0</v>
      </c>
      <c r="AQ48" s="919">
        <f t="shared" si="13"/>
        <v>0</v>
      </c>
      <c r="AR48" s="919">
        <f>AQ48*Pressupostos!$C$30</f>
        <v>0</v>
      </c>
      <c r="AS48" s="921">
        <f t="shared" si="14"/>
        <v>0</v>
      </c>
      <c r="AT48" s="14"/>
      <c r="AU48" s="917">
        <f>AU47+1</f>
        <v>16</v>
      </c>
      <c r="AV48" s="918" t="s">
        <v>249</v>
      </c>
      <c r="AW48" s="919">
        <f t="shared" si="35"/>
        <v>0</v>
      </c>
      <c r="AX48" s="920">
        <f t="shared" si="15"/>
        <v>0</v>
      </c>
      <c r="AY48" s="919">
        <f>AW48-AX48</f>
        <v>0</v>
      </c>
      <c r="AZ48" s="919">
        <f t="shared" si="16"/>
        <v>0</v>
      </c>
      <c r="BA48" s="919">
        <f>AZ48*Pressupostos!$C$30</f>
        <v>0</v>
      </c>
      <c r="BB48" s="921">
        <f t="shared" si="17"/>
        <v>0</v>
      </c>
      <c r="BC48" s="14"/>
      <c r="BD48" s="917">
        <f>BD47+1</f>
        <v>16</v>
      </c>
      <c r="BE48" s="918" t="s">
        <v>249</v>
      </c>
      <c r="BF48" s="919">
        <f t="shared" si="36"/>
        <v>0</v>
      </c>
      <c r="BG48" s="920">
        <f t="shared" si="18"/>
        <v>0</v>
      </c>
      <c r="BH48" s="919">
        <f>BF48-BG48</f>
        <v>0</v>
      </c>
      <c r="BI48" s="919">
        <f t="shared" si="19"/>
        <v>0</v>
      </c>
      <c r="BJ48" s="919">
        <f>BI48*Pressupostos!$C$30</f>
        <v>0</v>
      </c>
      <c r="BK48" s="921">
        <f t="shared" si="20"/>
        <v>0</v>
      </c>
      <c r="BL48" s="14"/>
      <c r="BM48" s="917">
        <f>BM47+1</f>
        <v>16</v>
      </c>
      <c r="BN48" s="918" t="s">
        <v>249</v>
      </c>
      <c r="BO48" s="919">
        <f t="shared" si="37"/>
        <v>0</v>
      </c>
      <c r="BP48" s="920">
        <f t="shared" si="21"/>
        <v>0</v>
      </c>
      <c r="BQ48" s="919">
        <f>BO48-BP48</f>
        <v>0</v>
      </c>
      <c r="BR48" s="919">
        <f t="shared" si="22"/>
        <v>0</v>
      </c>
      <c r="BS48" s="919">
        <f>BR48*Pressupostos!$C$30</f>
        <v>0</v>
      </c>
      <c r="BT48" s="921">
        <f t="shared" si="23"/>
        <v>0</v>
      </c>
      <c r="BU48" s="14"/>
      <c r="BV48" s="917">
        <f>BV47+1</f>
        <v>16</v>
      </c>
      <c r="BW48" s="918" t="s">
        <v>249</v>
      </c>
      <c r="BX48" s="919">
        <f t="shared" si="38"/>
        <v>0</v>
      </c>
      <c r="BY48" s="920">
        <f t="shared" si="24"/>
        <v>0</v>
      </c>
      <c r="BZ48" s="919">
        <f>BX48-BY48</f>
        <v>0</v>
      </c>
      <c r="CA48" s="919">
        <f t="shared" si="25"/>
        <v>0</v>
      </c>
      <c r="CB48" s="919">
        <f>CA48*Pressupostos!$C$30</f>
        <v>0</v>
      </c>
      <c r="CC48" s="921">
        <f t="shared" si="26"/>
        <v>0</v>
      </c>
      <c r="CD48" s="14"/>
      <c r="CE48" s="917">
        <f>CE47+1</f>
        <v>16</v>
      </c>
      <c r="CF48" s="918" t="s">
        <v>249</v>
      </c>
      <c r="CG48" s="919">
        <f t="shared" si="39"/>
        <v>0</v>
      </c>
      <c r="CH48" s="920">
        <f t="shared" si="27"/>
        <v>0</v>
      </c>
      <c r="CI48" s="919">
        <f>CG48-CH48</f>
        <v>0</v>
      </c>
      <c r="CJ48" s="919">
        <f t="shared" si="28"/>
        <v>0</v>
      </c>
      <c r="CK48" s="919">
        <f>CJ48*Pressupostos!$C$30</f>
        <v>0</v>
      </c>
      <c r="CL48" s="921">
        <f t="shared" si="29"/>
        <v>0</v>
      </c>
      <c r="CM48" s="182"/>
    </row>
    <row r="49" spans="1:91" ht="15.75" thickBot="1" x14ac:dyDescent="0.3">
      <c r="A49" s="14"/>
      <c r="B49" s="922">
        <f>B48</f>
        <v>16</v>
      </c>
      <c r="C49" s="923" t="s">
        <v>250</v>
      </c>
      <c r="D49" s="924">
        <v>0</v>
      </c>
      <c r="E49" s="925">
        <f t="shared" si="0"/>
        <v>0</v>
      </c>
      <c r="F49" s="924">
        <f>D48-E48-E49</f>
        <v>0</v>
      </c>
      <c r="G49" s="924">
        <f t="shared" si="1"/>
        <v>0</v>
      </c>
      <c r="H49" s="924">
        <f>G49*Pressupostos!$C$30</f>
        <v>0</v>
      </c>
      <c r="I49" s="926">
        <f t="shared" si="2"/>
        <v>0</v>
      </c>
      <c r="J49" s="279"/>
      <c r="K49" s="922">
        <f>K48</f>
        <v>16</v>
      </c>
      <c r="L49" s="923" t="s">
        <v>250</v>
      </c>
      <c r="M49" s="924">
        <v>0</v>
      </c>
      <c r="N49" s="925">
        <f t="shared" si="3"/>
        <v>0</v>
      </c>
      <c r="O49" s="924">
        <f>M48-N48-N49</f>
        <v>0</v>
      </c>
      <c r="P49" s="924">
        <f t="shared" si="4"/>
        <v>0</v>
      </c>
      <c r="Q49" s="924">
        <f>P49*Pressupostos!$C$30</f>
        <v>0</v>
      </c>
      <c r="R49" s="926">
        <f t="shared" si="5"/>
        <v>0</v>
      </c>
      <c r="S49" s="14"/>
      <c r="T49" s="922">
        <f>T48</f>
        <v>16</v>
      </c>
      <c r="U49" s="923" t="s">
        <v>250</v>
      </c>
      <c r="V49" s="924">
        <v>0</v>
      </c>
      <c r="W49" s="925">
        <f t="shared" si="6"/>
        <v>0</v>
      </c>
      <c r="X49" s="924">
        <f>V48-W48-W49</f>
        <v>0</v>
      </c>
      <c r="Y49" s="924">
        <f t="shared" si="7"/>
        <v>0</v>
      </c>
      <c r="Z49" s="924">
        <f>Y49*Pressupostos!$C$30</f>
        <v>0</v>
      </c>
      <c r="AA49" s="926">
        <f t="shared" si="8"/>
        <v>0</v>
      </c>
      <c r="AB49" s="14"/>
      <c r="AC49" s="922">
        <f>AC48</f>
        <v>16</v>
      </c>
      <c r="AD49" s="923" t="s">
        <v>250</v>
      </c>
      <c r="AE49" s="924">
        <v>0</v>
      </c>
      <c r="AF49" s="925">
        <f t="shared" si="9"/>
        <v>0</v>
      </c>
      <c r="AG49" s="924">
        <f>AE48-AF48-AF49</f>
        <v>0</v>
      </c>
      <c r="AH49" s="924">
        <f t="shared" si="10"/>
        <v>0</v>
      </c>
      <c r="AI49" s="924">
        <f>AH49*Pressupostos!$C$30</f>
        <v>0</v>
      </c>
      <c r="AJ49" s="926">
        <f t="shared" si="11"/>
        <v>0</v>
      </c>
      <c r="AK49" s="14"/>
      <c r="AL49" s="922">
        <f>AL48</f>
        <v>16</v>
      </c>
      <c r="AM49" s="923" t="s">
        <v>250</v>
      </c>
      <c r="AN49" s="924">
        <v>0</v>
      </c>
      <c r="AO49" s="925">
        <f t="shared" si="12"/>
        <v>0</v>
      </c>
      <c r="AP49" s="924">
        <f>AN48-AO48-AO49</f>
        <v>0</v>
      </c>
      <c r="AQ49" s="924">
        <f t="shared" si="13"/>
        <v>0</v>
      </c>
      <c r="AR49" s="924">
        <f>AQ49*Pressupostos!$C$30</f>
        <v>0</v>
      </c>
      <c r="AS49" s="926">
        <f t="shared" si="14"/>
        <v>0</v>
      </c>
      <c r="AT49" s="14"/>
      <c r="AU49" s="922">
        <f>AU48</f>
        <v>16</v>
      </c>
      <c r="AV49" s="923" t="s">
        <v>250</v>
      </c>
      <c r="AW49" s="924">
        <v>0</v>
      </c>
      <c r="AX49" s="925">
        <f t="shared" si="15"/>
        <v>0</v>
      </c>
      <c r="AY49" s="924">
        <f>AW48-AX48-AX49</f>
        <v>0</v>
      </c>
      <c r="AZ49" s="924">
        <f t="shared" si="16"/>
        <v>0</v>
      </c>
      <c r="BA49" s="924">
        <f>AZ49*Pressupostos!$C$30</f>
        <v>0</v>
      </c>
      <c r="BB49" s="926">
        <f t="shared" si="17"/>
        <v>0</v>
      </c>
      <c r="BC49" s="14"/>
      <c r="BD49" s="922">
        <f>BD48</f>
        <v>16</v>
      </c>
      <c r="BE49" s="923" t="s">
        <v>250</v>
      </c>
      <c r="BF49" s="924">
        <v>0</v>
      </c>
      <c r="BG49" s="925">
        <f t="shared" si="18"/>
        <v>0</v>
      </c>
      <c r="BH49" s="924">
        <f>BF48-BG48-BG49</f>
        <v>0</v>
      </c>
      <c r="BI49" s="924">
        <f t="shared" si="19"/>
        <v>0</v>
      </c>
      <c r="BJ49" s="924">
        <f>BI49*Pressupostos!$C$30</f>
        <v>0</v>
      </c>
      <c r="BK49" s="926">
        <f t="shared" si="20"/>
        <v>0</v>
      </c>
      <c r="BL49" s="14"/>
      <c r="BM49" s="922">
        <f>BM48</f>
        <v>16</v>
      </c>
      <c r="BN49" s="923" t="s">
        <v>250</v>
      </c>
      <c r="BO49" s="924">
        <v>0</v>
      </c>
      <c r="BP49" s="925">
        <f t="shared" si="21"/>
        <v>0</v>
      </c>
      <c r="BQ49" s="924">
        <f>BO48-BP48-BP49</f>
        <v>0</v>
      </c>
      <c r="BR49" s="924">
        <f t="shared" si="22"/>
        <v>0</v>
      </c>
      <c r="BS49" s="924">
        <f>BR49*Pressupostos!$C$30</f>
        <v>0</v>
      </c>
      <c r="BT49" s="926">
        <f t="shared" si="23"/>
        <v>0</v>
      </c>
      <c r="BU49" s="14"/>
      <c r="BV49" s="922">
        <f>BV48</f>
        <v>16</v>
      </c>
      <c r="BW49" s="923" t="s">
        <v>250</v>
      </c>
      <c r="BX49" s="924">
        <v>0</v>
      </c>
      <c r="BY49" s="925">
        <f t="shared" si="24"/>
        <v>0</v>
      </c>
      <c r="BZ49" s="924">
        <f>BX48-BY48-BY49</f>
        <v>0</v>
      </c>
      <c r="CA49" s="924">
        <f t="shared" si="25"/>
        <v>0</v>
      </c>
      <c r="CB49" s="924">
        <f>CA49*Pressupostos!$C$30</f>
        <v>0</v>
      </c>
      <c r="CC49" s="926">
        <f t="shared" si="26"/>
        <v>0</v>
      </c>
      <c r="CD49" s="14"/>
      <c r="CE49" s="922">
        <f>CE48</f>
        <v>16</v>
      </c>
      <c r="CF49" s="923" t="s">
        <v>250</v>
      </c>
      <c r="CG49" s="924">
        <v>0</v>
      </c>
      <c r="CH49" s="925">
        <f t="shared" si="27"/>
        <v>0</v>
      </c>
      <c r="CI49" s="924">
        <f>CG48-CH48-CH49</f>
        <v>0</v>
      </c>
      <c r="CJ49" s="924">
        <f t="shared" si="28"/>
        <v>0</v>
      </c>
      <c r="CK49" s="924">
        <f>CJ49*Pressupostos!$C$30</f>
        <v>0</v>
      </c>
      <c r="CL49" s="926">
        <f t="shared" si="29"/>
        <v>0</v>
      </c>
      <c r="CM49" s="182"/>
    </row>
    <row r="50" spans="1:9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82"/>
    </row>
    <row r="51" spans="1:9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82"/>
    </row>
    <row r="52" spans="1:9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82"/>
    </row>
    <row r="53" spans="1:91" x14ac:dyDescent="0.25">
      <c r="A53" s="12"/>
      <c r="B53" s="12"/>
      <c r="C53" s="12"/>
      <c r="D53" s="927" t="s">
        <v>252</v>
      </c>
      <c r="E53" s="927" t="s">
        <v>253</v>
      </c>
      <c r="F53" s="927" t="s">
        <v>254</v>
      </c>
      <c r="G53" s="927" t="s">
        <v>255</v>
      </c>
      <c r="H53" s="927" t="s">
        <v>256</v>
      </c>
      <c r="I53" s="12"/>
      <c r="J53" s="12"/>
      <c r="K53" s="12"/>
      <c r="L53" s="12"/>
      <c r="M53" s="927" t="s">
        <v>252</v>
      </c>
      <c r="N53" s="927" t="s">
        <v>253</v>
      </c>
      <c r="O53" s="927" t="s">
        <v>254</v>
      </c>
      <c r="P53" s="927" t="s">
        <v>255</v>
      </c>
      <c r="Q53" s="927" t="s">
        <v>256</v>
      </c>
      <c r="R53" s="12"/>
      <c r="S53" s="12"/>
      <c r="T53" s="12"/>
      <c r="U53" s="12"/>
      <c r="V53" s="927" t="s">
        <v>252</v>
      </c>
      <c r="W53" s="927" t="s">
        <v>253</v>
      </c>
      <c r="X53" s="927" t="s">
        <v>254</v>
      </c>
      <c r="Y53" s="927" t="s">
        <v>255</v>
      </c>
      <c r="Z53" s="927" t="s">
        <v>256</v>
      </c>
      <c r="AA53" s="12"/>
      <c r="AB53" s="12"/>
      <c r="AC53" s="12"/>
      <c r="AD53" s="12"/>
      <c r="AE53" s="927" t="s">
        <v>252</v>
      </c>
      <c r="AF53" s="927" t="s">
        <v>253</v>
      </c>
      <c r="AG53" s="927" t="s">
        <v>254</v>
      </c>
      <c r="AH53" s="927" t="s">
        <v>255</v>
      </c>
      <c r="AI53" s="927" t="s">
        <v>256</v>
      </c>
      <c r="AJ53" s="12"/>
      <c r="AK53" s="12"/>
      <c r="AL53" s="12"/>
      <c r="AM53" s="12"/>
      <c r="AN53" s="927" t="s">
        <v>252</v>
      </c>
      <c r="AO53" s="927" t="s">
        <v>253</v>
      </c>
      <c r="AP53" s="927" t="s">
        <v>254</v>
      </c>
      <c r="AQ53" s="927" t="s">
        <v>255</v>
      </c>
      <c r="AR53" s="927" t="s">
        <v>256</v>
      </c>
      <c r="AS53" s="12"/>
      <c r="AT53" s="12"/>
      <c r="AU53" s="12"/>
      <c r="AV53" s="12"/>
      <c r="AW53" s="927" t="s">
        <v>252</v>
      </c>
      <c r="AX53" s="927" t="s">
        <v>253</v>
      </c>
      <c r="AY53" s="927" t="s">
        <v>254</v>
      </c>
      <c r="AZ53" s="927" t="s">
        <v>255</v>
      </c>
      <c r="BA53" s="927" t="s">
        <v>256</v>
      </c>
      <c r="BB53" s="12"/>
      <c r="BC53" s="12"/>
      <c r="BD53" s="12"/>
      <c r="BE53" s="12"/>
      <c r="BF53" s="927" t="s">
        <v>252</v>
      </c>
      <c r="BG53" s="927" t="s">
        <v>253</v>
      </c>
      <c r="BH53" s="927" t="s">
        <v>254</v>
      </c>
      <c r="BI53" s="927" t="s">
        <v>255</v>
      </c>
      <c r="BJ53" s="927" t="s">
        <v>256</v>
      </c>
      <c r="BK53" s="12"/>
      <c r="BL53" s="12"/>
      <c r="BM53" s="12"/>
      <c r="BN53" s="12"/>
      <c r="BO53" s="927" t="s">
        <v>252</v>
      </c>
      <c r="BP53" s="927" t="s">
        <v>253</v>
      </c>
      <c r="BQ53" s="927" t="s">
        <v>254</v>
      </c>
      <c r="BR53" s="927" t="s">
        <v>255</v>
      </c>
      <c r="BS53" s="927" t="s">
        <v>256</v>
      </c>
      <c r="BT53" s="12"/>
      <c r="BU53" s="12"/>
      <c r="BV53" s="12"/>
      <c r="BW53" s="12"/>
      <c r="BX53" s="927" t="s">
        <v>252</v>
      </c>
      <c r="BY53" s="927" t="s">
        <v>253</v>
      </c>
      <c r="BZ53" s="927" t="s">
        <v>254</v>
      </c>
      <c r="CA53" s="927" t="s">
        <v>255</v>
      </c>
      <c r="CB53" s="927" t="s">
        <v>256</v>
      </c>
      <c r="CC53" s="12"/>
      <c r="CD53" s="12"/>
      <c r="CE53" s="12"/>
      <c r="CF53" s="12"/>
      <c r="CG53" s="927" t="s">
        <v>252</v>
      </c>
      <c r="CH53" s="927" t="s">
        <v>253</v>
      </c>
      <c r="CI53" s="927" t="s">
        <v>254</v>
      </c>
      <c r="CJ53" s="927" t="s">
        <v>255</v>
      </c>
      <c r="CK53" s="927" t="s">
        <v>256</v>
      </c>
      <c r="CL53" s="12"/>
      <c r="CM53" s="182"/>
    </row>
    <row r="54" spans="1:91" x14ac:dyDescent="0.25">
      <c r="A54" s="12"/>
      <c r="B54" s="12"/>
      <c r="C54" s="928">
        <v>1</v>
      </c>
      <c r="D54" s="929">
        <f>E4</f>
        <v>2020</v>
      </c>
      <c r="E54" s="930">
        <f>SUMIF(B$18:B$49,C54,E$18:E$49)</f>
        <v>0</v>
      </c>
      <c r="F54" s="930">
        <f>INDEX(F$18:F$49,C54*2)</f>
        <v>0</v>
      </c>
      <c r="G54" s="930">
        <f t="shared" ref="G54:G69" si="40">SUMIF(B$18:B$49,C54,G$18:G$49)</f>
        <v>0</v>
      </c>
      <c r="H54" s="930">
        <f t="shared" ref="H54:H69" si="41">SUMIF(B$18:B$49,C54,H$18:H$49)</f>
        <v>0</v>
      </c>
      <c r="I54" s="12"/>
      <c r="J54" s="12"/>
      <c r="K54" s="12"/>
      <c r="L54" s="928">
        <v>1</v>
      </c>
      <c r="M54" s="929">
        <f>N4</f>
        <v>2021</v>
      </c>
      <c r="N54" s="930">
        <f>SUMIF(K$18:K$49,L54,N$18:N$49)</f>
        <v>0</v>
      </c>
      <c r="O54" s="930">
        <f>INDEX(O$18:O$49,L54*2)</f>
        <v>0</v>
      </c>
      <c r="P54" s="930">
        <f t="shared" ref="P54:P69" si="42">SUMIF(K$18:K$49,L54,P$18:P$49)</f>
        <v>0</v>
      </c>
      <c r="Q54" s="930">
        <f t="shared" ref="Q54:Q69" si="43">SUMIF(K$18:K$49,L54,Q$18:Q$49)</f>
        <v>0</v>
      </c>
      <c r="R54" s="12"/>
      <c r="S54" s="12"/>
      <c r="T54" s="12"/>
      <c r="U54" s="928">
        <v>1</v>
      </c>
      <c r="V54" s="929">
        <f>W4</f>
        <v>2022</v>
      </c>
      <c r="W54" s="930">
        <f>SUMIF(T$18:T$49,U54,W$18:W$49)</f>
        <v>0</v>
      </c>
      <c r="X54" s="930">
        <f>INDEX(X$18:X$49,U54*2)</f>
        <v>0</v>
      </c>
      <c r="Y54" s="930">
        <f t="shared" ref="Y54:Y69" si="44">SUMIF(T$18:T$49,U54,Y$18:Y$49)</f>
        <v>0</v>
      </c>
      <c r="Z54" s="930">
        <f t="shared" ref="Z54:Z69" si="45">SUMIF(T$18:T$49,U54,Z$18:Z$49)</f>
        <v>0</v>
      </c>
      <c r="AA54" s="12"/>
      <c r="AB54" s="12"/>
      <c r="AC54" s="12"/>
      <c r="AD54" s="928">
        <v>1</v>
      </c>
      <c r="AE54" s="929">
        <f>AF4</f>
        <v>2023</v>
      </c>
      <c r="AF54" s="930">
        <f>SUMIF(AC$18:AC$49,AD54,AF$18:AF$49)</f>
        <v>0</v>
      </c>
      <c r="AG54" s="930">
        <f>INDEX(AG$18:AG$49,AD54*2)</f>
        <v>0</v>
      </c>
      <c r="AH54" s="930">
        <f t="shared" ref="AH54:AH69" si="46">SUMIF(AC$18:AC$49,AD54,AH$18:AH$49)</f>
        <v>0</v>
      </c>
      <c r="AI54" s="930">
        <f t="shared" ref="AI54:AI69" si="47">SUMIF(AC$18:AC$49,AD54,AI$18:AI$49)</f>
        <v>0</v>
      </c>
      <c r="AJ54" s="12"/>
      <c r="AK54" s="12"/>
      <c r="AL54" s="12"/>
      <c r="AM54" s="928">
        <v>1</v>
      </c>
      <c r="AN54" s="929">
        <f>AO4</f>
        <v>2024</v>
      </c>
      <c r="AO54" s="930">
        <f>SUMIF(AL$18:AL$49,AM54,AO$18:AO$49)</f>
        <v>0</v>
      </c>
      <c r="AP54" s="930">
        <f>INDEX(AP$18:AP$49,AM54*2)</f>
        <v>0</v>
      </c>
      <c r="AQ54" s="930">
        <f t="shared" ref="AQ54:AQ69" si="48">SUMIF(AL$18:AL$49,AM54,AQ$18:AQ$49)</f>
        <v>0</v>
      </c>
      <c r="AR54" s="930">
        <f t="shared" ref="AR54:AR69" si="49">SUMIF(AL$18:AL$49,AM54,AR$18:AR$49)</f>
        <v>0</v>
      </c>
      <c r="AS54" s="12"/>
      <c r="AT54" s="12"/>
      <c r="AU54" s="12"/>
      <c r="AV54" s="928">
        <v>1</v>
      </c>
      <c r="AW54" s="929">
        <f>AX4</f>
        <v>2025</v>
      </c>
      <c r="AX54" s="930">
        <f>SUMIF(AU$18:AU$49,AV54,AX$18:AX$49)</f>
        <v>0</v>
      </c>
      <c r="AY54" s="930">
        <f>INDEX(AY$18:AY$49,AV54*2)</f>
        <v>0</v>
      </c>
      <c r="AZ54" s="930">
        <f t="shared" ref="AZ54:AZ69" si="50">SUMIF(AU$18:AU$49,AV54,AZ$18:AZ$49)</f>
        <v>0</v>
      </c>
      <c r="BA54" s="930">
        <f t="shared" ref="BA54:BA69" si="51">SUMIF(AU$18:AU$49,AV54,BA$18:BA$49)</f>
        <v>0</v>
      </c>
      <c r="BB54" s="12"/>
      <c r="BC54" s="12"/>
      <c r="BD54" s="12"/>
      <c r="BE54" s="928">
        <v>1</v>
      </c>
      <c r="BF54" s="929">
        <f>BG4</f>
        <v>2026</v>
      </c>
      <c r="BG54" s="930">
        <f>SUMIF(BD$18:BD$49,BE54,BG$18:BG$49)</f>
        <v>0</v>
      </c>
      <c r="BH54" s="930">
        <f>INDEX(BH$18:BH$49,BE54*2)</f>
        <v>0</v>
      </c>
      <c r="BI54" s="930">
        <f t="shared" ref="BI54:BI69" si="52">SUMIF(BD$18:BD$49,BE54,BI$18:BI$49)</f>
        <v>0</v>
      </c>
      <c r="BJ54" s="930">
        <f t="shared" ref="BJ54:BJ69" si="53">SUMIF(BD$18:BD$49,BE54,BJ$18:BJ$49)</f>
        <v>0</v>
      </c>
      <c r="BK54" s="12"/>
      <c r="BL54" s="12"/>
      <c r="BM54" s="12"/>
      <c r="BN54" s="928">
        <v>1</v>
      </c>
      <c r="BO54" s="929">
        <f>BP4</f>
        <v>2027</v>
      </c>
      <c r="BP54" s="930">
        <f>SUMIF(BM$18:BM$49,BN54,BP$18:BP$49)</f>
        <v>0</v>
      </c>
      <c r="BQ54" s="930">
        <f>INDEX(BQ$18:BQ$49,BN54*2)</f>
        <v>0</v>
      </c>
      <c r="BR54" s="930">
        <f t="shared" ref="BR54:BR69" si="54">SUMIF(BM$18:BM$49,BN54,BR$18:BR$49)</f>
        <v>0</v>
      </c>
      <c r="BS54" s="930">
        <f t="shared" ref="BS54:BS69" si="55">SUMIF(BM$18:BM$49,BN54,BS$18:BS$49)</f>
        <v>0</v>
      </c>
      <c r="BT54" s="12"/>
      <c r="BU54" s="12"/>
      <c r="BV54" s="12"/>
      <c r="BW54" s="928">
        <v>1</v>
      </c>
      <c r="BX54" s="929">
        <f>BY4</f>
        <v>2028</v>
      </c>
      <c r="BY54" s="930">
        <f>SUMIF(BV$18:BV$49,BW54,BY$18:BY$49)</f>
        <v>0</v>
      </c>
      <c r="BZ54" s="930">
        <f>INDEX(BZ$18:BZ$49,BW54*2)</f>
        <v>0</v>
      </c>
      <c r="CA54" s="930">
        <f t="shared" ref="CA54:CA69" si="56">SUMIF(BV$18:BV$49,BW54,CA$18:CA$49)</f>
        <v>0</v>
      </c>
      <c r="CB54" s="930">
        <f t="shared" ref="CB54:CB69" si="57">SUMIF(BV$18:BV$49,BW54,CB$18:CB$49)</f>
        <v>0</v>
      </c>
      <c r="CC54" s="12"/>
      <c r="CD54" s="12"/>
      <c r="CE54" s="12"/>
      <c r="CF54" s="928">
        <v>1</v>
      </c>
      <c r="CG54" s="929">
        <f>CH4</f>
        <v>2029</v>
      </c>
      <c r="CH54" s="930">
        <f>SUMIF(CE$18:CE$49,CF54,CH$18:CH$49)</f>
        <v>0</v>
      </c>
      <c r="CI54" s="930">
        <f>INDEX(CI$18:CI$49,CF54*2)</f>
        <v>0</v>
      </c>
      <c r="CJ54" s="930">
        <f t="shared" ref="CJ54:CJ69" si="58">SUMIF(CE$18:CE$49,CF54,CJ$18:CJ$49)</f>
        <v>0</v>
      </c>
      <c r="CK54" s="930">
        <f t="shared" ref="CK54:CK69" si="59">SUMIF(CE$18:CE$49,CF54,CK$18:CK$49)</f>
        <v>0</v>
      </c>
      <c r="CL54" s="12"/>
      <c r="CM54" s="182"/>
    </row>
    <row r="55" spans="1:91" x14ac:dyDescent="0.25">
      <c r="A55" s="12"/>
      <c r="B55" s="12"/>
      <c r="C55" s="928">
        <f>C54+1</f>
        <v>2</v>
      </c>
      <c r="D55" s="929">
        <f>D54+1</f>
        <v>2021</v>
      </c>
      <c r="E55" s="930">
        <f>SUMIF(B$18:B$49,C55,E$18:E$49)</f>
        <v>0</v>
      </c>
      <c r="F55" s="930">
        <f t="shared" ref="F55:F69" si="60">INDEX(F$18:F$49,C55*2)</f>
        <v>0</v>
      </c>
      <c r="G55" s="930">
        <f t="shared" si="40"/>
        <v>0</v>
      </c>
      <c r="H55" s="930">
        <f t="shared" si="41"/>
        <v>0</v>
      </c>
      <c r="I55" s="12"/>
      <c r="J55" s="12"/>
      <c r="K55" s="12"/>
      <c r="L55" s="928">
        <f>L54+1</f>
        <v>2</v>
      </c>
      <c r="M55" s="929">
        <f>M54+1</f>
        <v>2022</v>
      </c>
      <c r="N55" s="930">
        <f>SUMIF(K$18:K$49,L55,N$18:N$49)</f>
        <v>0</v>
      </c>
      <c r="O55" s="930">
        <f t="shared" ref="O55:O69" si="61">INDEX(O$18:O$49,L55*2)</f>
        <v>0</v>
      </c>
      <c r="P55" s="930">
        <f t="shared" si="42"/>
        <v>0</v>
      </c>
      <c r="Q55" s="930">
        <f t="shared" si="43"/>
        <v>0</v>
      </c>
      <c r="R55" s="12"/>
      <c r="S55" s="12"/>
      <c r="T55" s="12"/>
      <c r="U55" s="928">
        <f>U54+1</f>
        <v>2</v>
      </c>
      <c r="V55" s="929">
        <f>V54+1</f>
        <v>2023</v>
      </c>
      <c r="W55" s="930">
        <f>SUMIF(T$18:T$49,U55,W$18:W$49)</f>
        <v>0</v>
      </c>
      <c r="X55" s="930">
        <f t="shared" ref="X55:X69" si="62">INDEX(X$18:X$49,U55*2)</f>
        <v>0</v>
      </c>
      <c r="Y55" s="930">
        <f t="shared" si="44"/>
        <v>0</v>
      </c>
      <c r="Z55" s="930">
        <f t="shared" si="45"/>
        <v>0</v>
      </c>
      <c r="AA55" s="12"/>
      <c r="AB55" s="12"/>
      <c r="AC55" s="12"/>
      <c r="AD55" s="928">
        <f>AD54+1</f>
        <v>2</v>
      </c>
      <c r="AE55" s="929">
        <f>AE54+1</f>
        <v>2024</v>
      </c>
      <c r="AF55" s="930">
        <f>SUMIF(AC$18:AC$49,AD55,AF$18:AF$49)</f>
        <v>0</v>
      </c>
      <c r="AG55" s="930">
        <f t="shared" ref="AG55:AG69" si="63">INDEX(AG$18:AG$49,AD55*2)</f>
        <v>0</v>
      </c>
      <c r="AH55" s="930">
        <f t="shared" si="46"/>
        <v>0</v>
      </c>
      <c r="AI55" s="930">
        <f t="shared" si="47"/>
        <v>0</v>
      </c>
      <c r="AJ55" s="12"/>
      <c r="AK55" s="12"/>
      <c r="AL55" s="12"/>
      <c r="AM55" s="928">
        <f>AM54+1</f>
        <v>2</v>
      </c>
      <c r="AN55" s="929">
        <f>AN54+1</f>
        <v>2025</v>
      </c>
      <c r="AO55" s="930">
        <f>SUMIF(AL$18:AL$49,AM55,AO$18:AO$49)</f>
        <v>0</v>
      </c>
      <c r="AP55" s="930">
        <f t="shared" ref="AP55:AP69" si="64">INDEX(AP$18:AP$49,AM55*2)</f>
        <v>0</v>
      </c>
      <c r="AQ55" s="930">
        <f t="shared" si="48"/>
        <v>0</v>
      </c>
      <c r="AR55" s="930">
        <f t="shared" si="49"/>
        <v>0</v>
      </c>
      <c r="AS55" s="12"/>
      <c r="AT55" s="12"/>
      <c r="AU55" s="12"/>
      <c r="AV55" s="928">
        <f>AV54+1</f>
        <v>2</v>
      </c>
      <c r="AW55" s="929">
        <f>AW54+1</f>
        <v>2026</v>
      </c>
      <c r="AX55" s="930">
        <f>SUMIF(AU$18:AU$49,AV55,AX$18:AX$49)</f>
        <v>0</v>
      </c>
      <c r="AY55" s="930">
        <f t="shared" ref="AY55:AY69" si="65">INDEX(AY$18:AY$49,AV55*2)</f>
        <v>0</v>
      </c>
      <c r="AZ55" s="930">
        <f t="shared" si="50"/>
        <v>0</v>
      </c>
      <c r="BA55" s="930">
        <f t="shared" si="51"/>
        <v>0</v>
      </c>
      <c r="BB55" s="12"/>
      <c r="BC55" s="12"/>
      <c r="BD55" s="12"/>
      <c r="BE55" s="928">
        <f>BE54+1</f>
        <v>2</v>
      </c>
      <c r="BF55" s="929">
        <f>BF54+1</f>
        <v>2027</v>
      </c>
      <c r="BG55" s="930">
        <f>SUMIF(BD$18:BD$49,BE55,BG$18:BG$49)</f>
        <v>0</v>
      </c>
      <c r="BH55" s="930">
        <f t="shared" ref="BH55:BH69" si="66">INDEX(BH$18:BH$49,BE55*2)</f>
        <v>0</v>
      </c>
      <c r="BI55" s="930">
        <f t="shared" si="52"/>
        <v>0</v>
      </c>
      <c r="BJ55" s="930">
        <f t="shared" si="53"/>
        <v>0</v>
      </c>
      <c r="BK55" s="12"/>
      <c r="BL55" s="12"/>
      <c r="BM55" s="12"/>
      <c r="BN55" s="928">
        <f>BN54+1</f>
        <v>2</v>
      </c>
      <c r="BO55" s="929">
        <f>BO54+1</f>
        <v>2028</v>
      </c>
      <c r="BP55" s="930">
        <f>SUMIF(BM$18:BM$49,BN55,BP$18:BP$49)</f>
        <v>0</v>
      </c>
      <c r="BQ55" s="930">
        <f t="shared" ref="BQ55:BQ69" si="67">INDEX(BQ$18:BQ$49,BN55*2)</f>
        <v>0</v>
      </c>
      <c r="BR55" s="930">
        <f t="shared" si="54"/>
        <v>0</v>
      </c>
      <c r="BS55" s="930">
        <f t="shared" si="55"/>
        <v>0</v>
      </c>
      <c r="BT55" s="12"/>
      <c r="BU55" s="12"/>
      <c r="BV55" s="12"/>
      <c r="BW55" s="928">
        <f>BW54+1</f>
        <v>2</v>
      </c>
      <c r="BX55" s="929">
        <f>BX54+1</f>
        <v>2029</v>
      </c>
      <c r="BY55" s="930">
        <f>SUMIF(BV$18:BV$49,BW55,BY$18:BY$49)</f>
        <v>0</v>
      </c>
      <c r="BZ55" s="930">
        <f t="shared" ref="BZ55:BZ69" si="68">INDEX(BZ$18:BZ$49,BW55*2)</f>
        <v>0</v>
      </c>
      <c r="CA55" s="930">
        <f t="shared" si="56"/>
        <v>0</v>
      </c>
      <c r="CB55" s="930">
        <f t="shared" si="57"/>
        <v>0</v>
      </c>
      <c r="CC55" s="12"/>
      <c r="CD55" s="12"/>
      <c r="CE55" s="12"/>
      <c r="CF55" s="928">
        <f>CF54+1</f>
        <v>2</v>
      </c>
      <c r="CG55" s="929">
        <f>CG54+1</f>
        <v>2030</v>
      </c>
      <c r="CH55" s="930">
        <f>SUMIF(CE$18:CE$49,CF55,CH$18:CH$49)</f>
        <v>0</v>
      </c>
      <c r="CI55" s="930">
        <f>INDEX(CI$18:CI$49,CF55*2)</f>
        <v>0</v>
      </c>
      <c r="CJ55" s="930">
        <f t="shared" si="58"/>
        <v>0</v>
      </c>
      <c r="CK55" s="930">
        <f t="shared" si="59"/>
        <v>0</v>
      </c>
      <c r="CL55" s="12"/>
      <c r="CM55" s="182"/>
    </row>
    <row r="56" spans="1:91" x14ac:dyDescent="0.25">
      <c r="A56" s="12"/>
      <c r="B56" s="12"/>
      <c r="C56" s="928">
        <f t="shared" ref="C56:D69" si="69">C55+1</f>
        <v>3</v>
      </c>
      <c r="D56" s="929">
        <f>D55+1</f>
        <v>2022</v>
      </c>
      <c r="E56" s="930">
        <f t="shared" ref="E56:E69" si="70">SUMIF(B$18:B$49,C56,E$18:E$49)</f>
        <v>0</v>
      </c>
      <c r="F56" s="930">
        <f t="shared" si="60"/>
        <v>0</v>
      </c>
      <c r="G56" s="930">
        <f t="shared" si="40"/>
        <v>0</v>
      </c>
      <c r="H56" s="930">
        <f t="shared" si="41"/>
        <v>0</v>
      </c>
      <c r="I56" s="12"/>
      <c r="J56" s="12"/>
      <c r="K56" s="12"/>
      <c r="L56" s="928">
        <f t="shared" ref="L56:M69" si="71">L55+1</f>
        <v>3</v>
      </c>
      <c r="M56" s="929">
        <f>M55+1</f>
        <v>2023</v>
      </c>
      <c r="N56" s="930">
        <f t="shared" ref="N56:N69" si="72">SUMIF(K$18:K$49,L56,N$18:N$49)</f>
        <v>0</v>
      </c>
      <c r="O56" s="930">
        <f t="shared" si="61"/>
        <v>0</v>
      </c>
      <c r="P56" s="930">
        <f t="shared" si="42"/>
        <v>0</v>
      </c>
      <c r="Q56" s="930">
        <f t="shared" si="43"/>
        <v>0</v>
      </c>
      <c r="R56" s="12"/>
      <c r="S56" s="12"/>
      <c r="T56" s="12"/>
      <c r="U56" s="928">
        <f t="shared" ref="U56:V69" si="73">U55+1</f>
        <v>3</v>
      </c>
      <c r="V56" s="929">
        <f>V55+1</f>
        <v>2024</v>
      </c>
      <c r="W56" s="930">
        <f t="shared" ref="W56:W69" si="74">SUMIF(T$18:T$49,U56,W$18:W$49)</f>
        <v>0</v>
      </c>
      <c r="X56" s="930">
        <f t="shared" si="62"/>
        <v>0</v>
      </c>
      <c r="Y56" s="930">
        <f t="shared" si="44"/>
        <v>0</v>
      </c>
      <c r="Z56" s="930">
        <f t="shared" si="45"/>
        <v>0</v>
      </c>
      <c r="AA56" s="12"/>
      <c r="AB56" s="12"/>
      <c r="AC56" s="12"/>
      <c r="AD56" s="928">
        <f t="shared" ref="AD56:AE69" si="75">AD55+1</f>
        <v>3</v>
      </c>
      <c r="AE56" s="929">
        <f>AE55+1</f>
        <v>2025</v>
      </c>
      <c r="AF56" s="930">
        <f t="shared" ref="AF56:AF69" si="76">SUMIF(AC$18:AC$49,AD56,AF$18:AF$49)</f>
        <v>0</v>
      </c>
      <c r="AG56" s="930">
        <f t="shared" si="63"/>
        <v>0</v>
      </c>
      <c r="AH56" s="930">
        <f t="shared" si="46"/>
        <v>0</v>
      </c>
      <c r="AI56" s="930">
        <f t="shared" si="47"/>
        <v>0</v>
      </c>
      <c r="AJ56" s="12"/>
      <c r="AK56" s="12"/>
      <c r="AL56" s="12"/>
      <c r="AM56" s="928">
        <f t="shared" ref="AM56:AN69" si="77">AM55+1</f>
        <v>3</v>
      </c>
      <c r="AN56" s="929">
        <f>AN55+1</f>
        <v>2026</v>
      </c>
      <c r="AO56" s="930">
        <f t="shared" ref="AO56:AO69" si="78">SUMIF(AL$18:AL$49,AM56,AO$18:AO$49)</f>
        <v>0</v>
      </c>
      <c r="AP56" s="930">
        <f t="shared" si="64"/>
        <v>0</v>
      </c>
      <c r="AQ56" s="930">
        <f t="shared" si="48"/>
        <v>0</v>
      </c>
      <c r="AR56" s="930">
        <f t="shared" si="49"/>
        <v>0</v>
      </c>
      <c r="AS56" s="12"/>
      <c r="AT56" s="12"/>
      <c r="AU56" s="12"/>
      <c r="AV56" s="928">
        <f t="shared" ref="AV56:AW69" si="79">AV55+1</f>
        <v>3</v>
      </c>
      <c r="AW56" s="929">
        <f>AW55+1</f>
        <v>2027</v>
      </c>
      <c r="AX56" s="930">
        <f t="shared" ref="AX56:AX69" si="80">SUMIF(AU$18:AU$49,AV56,AX$18:AX$49)</f>
        <v>0</v>
      </c>
      <c r="AY56" s="930">
        <f t="shared" si="65"/>
        <v>0</v>
      </c>
      <c r="AZ56" s="930">
        <f t="shared" si="50"/>
        <v>0</v>
      </c>
      <c r="BA56" s="930">
        <f t="shared" si="51"/>
        <v>0</v>
      </c>
      <c r="BB56" s="12"/>
      <c r="BC56" s="12"/>
      <c r="BD56" s="12"/>
      <c r="BE56" s="928">
        <f t="shared" ref="BE56:BF69" si="81">BE55+1</f>
        <v>3</v>
      </c>
      <c r="BF56" s="929">
        <f>BF55+1</f>
        <v>2028</v>
      </c>
      <c r="BG56" s="930">
        <f t="shared" ref="BG56:BG69" si="82">SUMIF(BD$18:BD$49,BE56,BG$18:BG$49)</f>
        <v>0</v>
      </c>
      <c r="BH56" s="930">
        <f t="shared" si="66"/>
        <v>0</v>
      </c>
      <c r="BI56" s="930">
        <f t="shared" si="52"/>
        <v>0</v>
      </c>
      <c r="BJ56" s="930">
        <f t="shared" si="53"/>
        <v>0</v>
      </c>
      <c r="BK56" s="12"/>
      <c r="BL56" s="12"/>
      <c r="BM56" s="12"/>
      <c r="BN56" s="928">
        <f t="shared" ref="BN56:BO69" si="83">BN55+1</f>
        <v>3</v>
      </c>
      <c r="BO56" s="929">
        <f>BO55+1</f>
        <v>2029</v>
      </c>
      <c r="BP56" s="930">
        <f t="shared" ref="BP56:BP69" si="84">SUMIF(BM$18:BM$49,BN56,BP$18:BP$49)</f>
        <v>0</v>
      </c>
      <c r="BQ56" s="930">
        <f t="shared" si="67"/>
        <v>0</v>
      </c>
      <c r="BR56" s="930">
        <f t="shared" si="54"/>
        <v>0</v>
      </c>
      <c r="BS56" s="930">
        <f t="shared" si="55"/>
        <v>0</v>
      </c>
      <c r="BT56" s="12"/>
      <c r="BU56" s="12"/>
      <c r="BV56" s="12"/>
      <c r="BW56" s="928">
        <f t="shared" ref="BW56:BX69" si="85">BW55+1</f>
        <v>3</v>
      </c>
      <c r="BX56" s="929">
        <f>BX55+1</f>
        <v>2030</v>
      </c>
      <c r="BY56" s="930">
        <f t="shared" ref="BY56:BY69" si="86">SUMIF(BV$18:BV$49,BW56,BY$18:BY$49)</f>
        <v>0</v>
      </c>
      <c r="BZ56" s="930">
        <f t="shared" si="68"/>
        <v>0</v>
      </c>
      <c r="CA56" s="930">
        <f t="shared" si="56"/>
        <v>0</v>
      </c>
      <c r="CB56" s="930">
        <f t="shared" si="57"/>
        <v>0</v>
      </c>
      <c r="CC56" s="12"/>
      <c r="CD56" s="12"/>
      <c r="CE56" s="12"/>
      <c r="CF56" s="928">
        <f t="shared" ref="CF56:CG69" si="87">CF55+1</f>
        <v>3</v>
      </c>
      <c r="CG56" s="929">
        <f>CG55+1</f>
        <v>2031</v>
      </c>
      <c r="CH56" s="930">
        <f t="shared" ref="CH56:CH69" si="88">SUMIF(CE$18:CE$49,CF56,CH$18:CH$49)</f>
        <v>0</v>
      </c>
      <c r="CI56" s="930">
        <f t="shared" ref="CI56:CI69" si="89">INDEX(CI$18:CI$49,CF56*2)</f>
        <v>0</v>
      </c>
      <c r="CJ56" s="930">
        <f t="shared" si="58"/>
        <v>0</v>
      </c>
      <c r="CK56" s="930">
        <f t="shared" si="59"/>
        <v>0</v>
      </c>
      <c r="CL56" s="12"/>
      <c r="CM56" s="182"/>
    </row>
    <row r="57" spans="1:91" x14ac:dyDescent="0.25">
      <c r="A57" s="12"/>
      <c r="B57" s="12"/>
      <c r="C57" s="928">
        <f t="shared" si="69"/>
        <v>4</v>
      </c>
      <c r="D57" s="929">
        <f t="shared" si="69"/>
        <v>2023</v>
      </c>
      <c r="E57" s="930">
        <f t="shared" si="70"/>
        <v>0</v>
      </c>
      <c r="F57" s="930">
        <f t="shared" si="60"/>
        <v>0</v>
      </c>
      <c r="G57" s="930">
        <f t="shared" si="40"/>
        <v>0</v>
      </c>
      <c r="H57" s="930">
        <f t="shared" si="41"/>
        <v>0</v>
      </c>
      <c r="I57" s="12"/>
      <c r="J57" s="12"/>
      <c r="K57" s="12"/>
      <c r="L57" s="928">
        <f t="shared" si="71"/>
        <v>4</v>
      </c>
      <c r="M57" s="929">
        <f t="shared" si="71"/>
        <v>2024</v>
      </c>
      <c r="N57" s="930">
        <f t="shared" si="72"/>
        <v>0</v>
      </c>
      <c r="O57" s="930">
        <f t="shared" si="61"/>
        <v>0</v>
      </c>
      <c r="P57" s="930">
        <f t="shared" si="42"/>
        <v>0</v>
      </c>
      <c r="Q57" s="930">
        <f t="shared" si="43"/>
        <v>0</v>
      </c>
      <c r="R57" s="12"/>
      <c r="S57" s="12"/>
      <c r="T57" s="12"/>
      <c r="U57" s="928">
        <f t="shared" si="73"/>
        <v>4</v>
      </c>
      <c r="V57" s="929">
        <f t="shared" si="73"/>
        <v>2025</v>
      </c>
      <c r="W57" s="930">
        <f t="shared" si="74"/>
        <v>0</v>
      </c>
      <c r="X57" s="930">
        <f t="shared" si="62"/>
        <v>0</v>
      </c>
      <c r="Y57" s="930">
        <f t="shared" si="44"/>
        <v>0</v>
      </c>
      <c r="Z57" s="930">
        <f t="shared" si="45"/>
        <v>0</v>
      </c>
      <c r="AA57" s="12"/>
      <c r="AB57" s="12"/>
      <c r="AC57" s="12"/>
      <c r="AD57" s="928">
        <f t="shared" si="75"/>
        <v>4</v>
      </c>
      <c r="AE57" s="929">
        <f t="shared" si="75"/>
        <v>2026</v>
      </c>
      <c r="AF57" s="930">
        <f t="shared" si="76"/>
        <v>0</v>
      </c>
      <c r="AG57" s="930">
        <f t="shared" si="63"/>
        <v>0</v>
      </c>
      <c r="AH57" s="930">
        <f t="shared" si="46"/>
        <v>0</v>
      </c>
      <c r="AI57" s="930">
        <f t="shared" si="47"/>
        <v>0</v>
      </c>
      <c r="AJ57" s="12"/>
      <c r="AK57" s="12"/>
      <c r="AL57" s="12"/>
      <c r="AM57" s="928">
        <f t="shared" si="77"/>
        <v>4</v>
      </c>
      <c r="AN57" s="929">
        <f t="shared" si="77"/>
        <v>2027</v>
      </c>
      <c r="AO57" s="930">
        <f t="shared" si="78"/>
        <v>0</v>
      </c>
      <c r="AP57" s="930">
        <f t="shared" si="64"/>
        <v>0</v>
      </c>
      <c r="AQ57" s="930">
        <f t="shared" si="48"/>
        <v>0</v>
      </c>
      <c r="AR57" s="930">
        <f t="shared" si="49"/>
        <v>0</v>
      </c>
      <c r="AS57" s="12"/>
      <c r="AT57" s="12"/>
      <c r="AU57" s="12"/>
      <c r="AV57" s="928">
        <f t="shared" si="79"/>
        <v>4</v>
      </c>
      <c r="AW57" s="929">
        <f t="shared" si="79"/>
        <v>2028</v>
      </c>
      <c r="AX57" s="930">
        <f t="shared" si="80"/>
        <v>0</v>
      </c>
      <c r="AY57" s="930">
        <f t="shared" si="65"/>
        <v>0</v>
      </c>
      <c r="AZ57" s="930">
        <f t="shared" si="50"/>
        <v>0</v>
      </c>
      <c r="BA57" s="930">
        <f t="shared" si="51"/>
        <v>0</v>
      </c>
      <c r="BB57" s="12"/>
      <c r="BC57" s="12"/>
      <c r="BD57" s="12"/>
      <c r="BE57" s="928">
        <f t="shared" si="81"/>
        <v>4</v>
      </c>
      <c r="BF57" s="929">
        <f t="shared" si="81"/>
        <v>2029</v>
      </c>
      <c r="BG57" s="930">
        <f t="shared" si="82"/>
        <v>0</v>
      </c>
      <c r="BH57" s="930">
        <f t="shared" si="66"/>
        <v>0</v>
      </c>
      <c r="BI57" s="930">
        <f t="shared" si="52"/>
        <v>0</v>
      </c>
      <c r="BJ57" s="930">
        <f t="shared" si="53"/>
        <v>0</v>
      </c>
      <c r="BK57" s="12"/>
      <c r="BL57" s="12"/>
      <c r="BM57" s="12"/>
      <c r="BN57" s="928">
        <f t="shared" si="83"/>
        <v>4</v>
      </c>
      <c r="BO57" s="929">
        <f t="shared" si="83"/>
        <v>2030</v>
      </c>
      <c r="BP57" s="930">
        <f t="shared" si="84"/>
        <v>0</v>
      </c>
      <c r="BQ57" s="930">
        <f t="shared" si="67"/>
        <v>0</v>
      </c>
      <c r="BR57" s="930">
        <f t="shared" si="54"/>
        <v>0</v>
      </c>
      <c r="BS57" s="930">
        <f t="shared" si="55"/>
        <v>0</v>
      </c>
      <c r="BT57" s="12"/>
      <c r="BU57" s="12"/>
      <c r="BV57" s="12"/>
      <c r="BW57" s="928">
        <f t="shared" si="85"/>
        <v>4</v>
      </c>
      <c r="BX57" s="929">
        <f t="shared" si="85"/>
        <v>2031</v>
      </c>
      <c r="BY57" s="930">
        <f t="shared" si="86"/>
        <v>0</v>
      </c>
      <c r="BZ57" s="930">
        <f t="shared" si="68"/>
        <v>0</v>
      </c>
      <c r="CA57" s="930">
        <f t="shared" si="56"/>
        <v>0</v>
      </c>
      <c r="CB57" s="930">
        <f t="shared" si="57"/>
        <v>0</v>
      </c>
      <c r="CC57" s="12"/>
      <c r="CD57" s="12"/>
      <c r="CE57" s="12"/>
      <c r="CF57" s="928">
        <f t="shared" si="87"/>
        <v>4</v>
      </c>
      <c r="CG57" s="929">
        <f t="shared" si="87"/>
        <v>2032</v>
      </c>
      <c r="CH57" s="930">
        <f t="shared" si="88"/>
        <v>0</v>
      </c>
      <c r="CI57" s="930">
        <f t="shared" si="89"/>
        <v>0</v>
      </c>
      <c r="CJ57" s="930">
        <f t="shared" si="58"/>
        <v>0</v>
      </c>
      <c r="CK57" s="930">
        <f t="shared" si="59"/>
        <v>0</v>
      </c>
      <c r="CL57" s="12"/>
      <c r="CM57" s="182"/>
    </row>
    <row r="58" spans="1:91" x14ac:dyDescent="0.25">
      <c r="A58" s="12"/>
      <c r="B58" s="12"/>
      <c r="C58" s="928">
        <f t="shared" si="69"/>
        <v>5</v>
      </c>
      <c r="D58" s="929">
        <f t="shared" si="69"/>
        <v>2024</v>
      </c>
      <c r="E58" s="930">
        <f t="shared" si="70"/>
        <v>0</v>
      </c>
      <c r="F58" s="930">
        <f t="shared" si="60"/>
        <v>0</v>
      </c>
      <c r="G58" s="930">
        <f t="shared" si="40"/>
        <v>0</v>
      </c>
      <c r="H58" s="930">
        <f t="shared" si="41"/>
        <v>0</v>
      </c>
      <c r="I58" s="12"/>
      <c r="J58" s="12"/>
      <c r="K58" s="12"/>
      <c r="L58" s="928">
        <f t="shared" si="71"/>
        <v>5</v>
      </c>
      <c r="M58" s="929">
        <f t="shared" si="71"/>
        <v>2025</v>
      </c>
      <c r="N58" s="930">
        <f t="shared" si="72"/>
        <v>0</v>
      </c>
      <c r="O58" s="930">
        <f t="shared" si="61"/>
        <v>0</v>
      </c>
      <c r="P58" s="930">
        <f t="shared" si="42"/>
        <v>0</v>
      </c>
      <c r="Q58" s="930">
        <f t="shared" si="43"/>
        <v>0</v>
      </c>
      <c r="R58" s="12"/>
      <c r="S58" s="12"/>
      <c r="T58" s="12"/>
      <c r="U58" s="928">
        <f t="shared" si="73"/>
        <v>5</v>
      </c>
      <c r="V58" s="929">
        <f t="shared" si="73"/>
        <v>2026</v>
      </c>
      <c r="W58" s="930">
        <f t="shared" si="74"/>
        <v>0</v>
      </c>
      <c r="X58" s="930">
        <f t="shared" si="62"/>
        <v>0</v>
      </c>
      <c r="Y58" s="930">
        <f t="shared" si="44"/>
        <v>0</v>
      </c>
      <c r="Z58" s="930">
        <f t="shared" si="45"/>
        <v>0</v>
      </c>
      <c r="AA58" s="12"/>
      <c r="AB58" s="12"/>
      <c r="AC58" s="12"/>
      <c r="AD58" s="928">
        <f t="shared" si="75"/>
        <v>5</v>
      </c>
      <c r="AE58" s="929">
        <f t="shared" si="75"/>
        <v>2027</v>
      </c>
      <c r="AF58" s="930">
        <f t="shared" si="76"/>
        <v>0</v>
      </c>
      <c r="AG58" s="930">
        <f t="shared" si="63"/>
        <v>0</v>
      </c>
      <c r="AH58" s="930">
        <f t="shared" si="46"/>
        <v>0</v>
      </c>
      <c r="AI58" s="930">
        <f t="shared" si="47"/>
        <v>0</v>
      </c>
      <c r="AJ58" s="12"/>
      <c r="AK58" s="12"/>
      <c r="AL58" s="12"/>
      <c r="AM58" s="928">
        <f t="shared" si="77"/>
        <v>5</v>
      </c>
      <c r="AN58" s="929">
        <f t="shared" si="77"/>
        <v>2028</v>
      </c>
      <c r="AO58" s="930">
        <f t="shared" si="78"/>
        <v>0</v>
      </c>
      <c r="AP58" s="930">
        <f t="shared" si="64"/>
        <v>0</v>
      </c>
      <c r="AQ58" s="930">
        <f t="shared" si="48"/>
        <v>0</v>
      </c>
      <c r="AR58" s="930">
        <f t="shared" si="49"/>
        <v>0</v>
      </c>
      <c r="AS58" s="12"/>
      <c r="AT58" s="12"/>
      <c r="AU58" s="12"/>
      <c r="AV58" s="928">
        <f t="shared" si="79"/>
        <v>5</v>
      </c>
      <c r="AW58" s="929">
        <f t="shared" si="79"/>
        <v>2029</v>
      </c>
      <c r="AX58" s="930">
        <f t="shared" si="80"/>
        <v>0</v>
      </c>
      <c r="AY58" s="930">
        <f t="shared" si="65"/>
        <v>0</v>
      </c>
      <c r="AZ58" s="930">
        <f t="shared" si="50"/>
        <v>0</v>
      </c>
      <c r="BA58" s="930">
        <f t="shared" si="51"/>
        <v>0</v>
      </c>
      <c r="BB58" s="12"/>
      <c r="BC58" s="12"/>
      <c r="BD58" s="12"/>
      <c r="BE58" s="928">
        <f t="shared" si="81"/>
        <v>5</v>
      </c>
      <c r="BF58" s="929">
        <f t="shared" si="81"/>
        <v>2030</v>
      </c>
      <c r="BG58" s="930">
        <f t="shared" si="82"/>
        <v>0</v>
      </c>
      <c r="BH58" s="930">
        <f t="shared" si="66"/>
        <v>0</v>
      </c>
      <c r="BI58" s="930">
        <f t="shared" si="52"/>
        <v>0</v>
      </c>
      <c r="BJ58" s="930">
        <f t="shared" si="53"/>
        <v>0</v>
      </c>
      <c r="BK58" s="12"/>
      <c r="BL58" s="12"/>
      <c r="BM58" s="12"/>
      <c r="BN58" s="928">
        <f t="shared" si="83"/>
        <v>5</v>
      </c>
      <c r="BO58" s="929">
        <f t="shared" si="83"/>
        <v>2031</v>
      </c>
      <c r="BP58" s="930">
        <f t="shared" si="84"/>
        <v>0</v>
      </c>
      <c r="BQ58" s="930">
        <f t="shared" si="67"/>
        <v>0</v>
      </c>
      <c r="BR58" s="930">
        <f t="shared" si="54"/>
        <v>0</v>
      </c>
      <c r="BS58" s="930">
        <f t="shared" si="55"/>
        <v>0</v>
      </c>
      <c r="BT58" s="12"/>
      <c r="BU58" s="12"/>
      <c r="BV58" s="12"/>
      <c r="BW58" s="928">
        <f t="shared" si="85"/>
        <v>5</v>
      </c>
      <c r="BX58" s="929">
        <f t="shared" si="85"/>
        <v>2032</v>
      </c>
      <c r="BY58" s="930">
        <f t="shared" si="86"/>
        <v>0</v>
      </c>
      <c r="BZ58" s="930">
        <f t="shared" si="68"/>
        <v>0</v>
      </c>
      <c r="CA58" s="930">
        <f t="shared" si="56"/>
        <v>0</v>
      </c>
      <c r="CB58" s="930">
        <f t="shared" si="57"/>
        <v>0</v>
      </c>
      <c r="CC58" s="12"/>
      <c r="CD58" s="12"/>
      <c r="CE58" s="12"/>
      <c r="CF58" s="928">
        <f t="shared" si="87"/>
        <v>5</v>
      </c>
      <c r="CG58" s="929">
        <f t="shared" si="87"/>
        <v>2033</v>
      </c>
      <c r="CH58" s="930">
        <f t="shared" si="88"/>
        <v>0</v>
      </c>
      <c r="CI58" s="930">
        <f t="shared" si="89"/>
        <v>0</v>
      </c>
      <c r="CJ58" s="930">
        <f t="shared" si="58"/>
        <v>0</v>
      </c>
      <c r="CK58" s="930">
        <f t="shared" si="59"/>
        <v>0</v>
      </c>
      <c r="CL58" s="12"/>
      <c r="CM58" s="182"/>
    </row>
    <row r="59" spans="1:91" x14ac:dyDescent="0.25">
      <c r="A59" s="12"/>
      <c r="B59" s="12"/>
      <c r="C59" s="928">
        <f t="shared" si="69"/>
        <v>6</v>
      </c>
      <c r="D59" s="929">
        <f t="shared" si="69"/>
        <v>2025</v>
      </c>
      <c r="E59" s="930">
        <f t="shared" si="70"/>
        <v>0</v>
      </c>
      <c r="F59" s="930">
        <f t="shared" si="60"/>
        <v>0</v>
      </c>
      <c r="G59" s="930">
        <f t="shared" si="40"/>
        <v>0</v>
      </c>
      <c r="H59" s="930">
        <f t="shared" si="41"/>
        <v>0</v>
      </c>
      <c r="I59" s="12"/>
      <c r="J59" s="12"/>
      <c r="K59" s="12"/>
      <c r="L59" s="928">
        <f t="shared" si="71"/>
        <v>6</v>
      </c>
      <c r="M59" s="929">
        <f t="shared" si="71"/>
        <v>2026</v>
      </c>
      <c r="N59" s="930">
        <f t="shared" si="72"/>
        <v>0</v>
      </c>
      <c r="O59" s="930">
        <f t="shared" si="61"/>
        <v>0</v>
      </c>
      <c r="P59" s="930">
        <f t="shared" si="42"/>
        <v>0</v>
      </c>
      <c r="Q59" s="930">
        <f t="shared" si="43"/>
        <v>0</v>
      </c>
      <c r="R59" s="12"/>
      <c r="S59" s="12"/>
      <c r="T59" s="12"/>
      <c r="U59" s="928">
        <f t="shared" si="73"/>
        <v>6</v>
      </c>
      <c r="V59" s="929">
        <f t="shared" si="73"/>
        <v>2027</v>
      </c>
      <c r="W59" s="930">
        <f t="shared" si="74"/>
        <v>0</v>
      </c>
      <c r="X59" s="930">
        <f t="shared" si="62"/>
        <v>0</v>
      </c>
      <c r="Y59" s="930">
        <f t="shared" si="44"/>
        <v>0</v>
      </c>
      <c r="Z59" s="930">
        <f t="shared" si="45"/>
        <v>0</v>
      </c>
      <c r="AA59" s="12"/>
      <c r="AB59" s="12"/>
      <c r="AC59" s="12"/>
      <c r="AD59" s="928">
        <f t="shared" si="75"/>
        <v>6</v>
      </c>
      <c r="AE59" s="929">
        <f t="shared" si="75"/>
        <v>2028</v>
      </c>
      <c r="AF59" s="930">
        <f t="shared" si="76"/>
        <v>0</v>
      </c>
      <c r="AG59" s="930">
        <f t="shared" si="63"/>
        <v>0</v>
      </c>
      <c r="AH59" s="930">
        <f t="shared" si="46"/>
        <v>0</v>
      </c>
      <c r="AI59" s="930">
        <f t="shared" si="47"/>
        <v>0</v>
      </c>
      <c r="AJ59" s="12"/>
      <c r="AK59" s="12"/>
      <c r="AL59" s="12"/>
      <c r="AM59" s="928">
        <f t="shared" si="77"/>
        <v>6</v>
      </c>
      <c r="AN59" s="929">
        <f t="shared" si="77"/>
        <v>2029</v>
      </c>
      <c r="AO59" s="930">
        <f t="shared" si="78"/>
        <v>0</v>
      </c>
      <c r="AP59" s="930">
        <f t="shared" si="64"/>
        <v>0</v>
      </c>
      <c r="AQ59" s="930">
        <f t="shared" si="48"/>
        <v>0</v>
      </c>
      <c r="AR59" s="930">
        <f t="shared" si="49"/>
        <v>0</v>
      </c>
      <c r="AS59" s="12"/>
      <c r="AT59" s="12"/>
      <c r="AU59" s="12"/>
      <c r="AV59" s="928">
        <f t="shared" si="79"/>
        <v>6</v>
      </c>
      <c r="AW59" s="929">
        <f t="shared" si="79"/>
        <v>2030</v>
      </c>
      <c r="AX59" s="930">
        <f t="shared" si="80"/>
        <v>0</v>
      </c>
      <c r="AY59" s="930">
        <f t="shared" si="65"/>
        <v>0</v>
      </c>
      <c r="AZ59" s="930">
        <f t="shared" si="50"/>
        <v>0</v>
      </c>
      <c r="BA59" s="930">
        <f t="shared" si="51"/>
        <v>0</v>
      </c>
      <c r="BB59" s="12"/>
      <c r="BC59" s="12"/>
      <c r="BD59" s="12"/>
      <c r="BE59" s="928">
        <f t="shared" si="81"/>
        <v>6</v>
      </c>
      <c r="BF59" s="929">
        <f t="shared" si="81"/>
        <v>2031</v>
      </c>
      <c r="BG59" s="930">
        <f t="shared" si="82"/>
        <v>0</v>
      </c>
      <c r="BH59" s="930">
        <f t="shared" si="66"/>
        <v>0</v>
      </c>
      <c r="BI59" s="930">
        <f t="shared" si="52"/>
        <v>0</v>
      </c>
      <c r="BJ59" s="930">
        <f t="shared" si="53"/>
        <v>0</v>
      </c>
      <c r="BK59" s="12"/>
      <c r="BL59" s="12"/>
      <c r="BM59" s="12"/>
      <c r="BN59" s="928">
        <f t="shared" si="83"/>
        <v>6</v>
      </c>
      <c r="BO59" s="929">
        <f t="shared" si="83"/>
        <v>2032</v>
      </c>
      <c r="BP59" s="930">
        <f t="shared" si="84"/>
        <v>0</v>
      </c>
      <c r="BQ59" s="930">
        <f t="shared" si="67"/>
        <v>0</v>
      </c>
      <c r="BR59" s="930">
        <f t="shared" si="54"/>
        <v>0</v>
      </c>
      <c r="BS59" s="930">
        <f t="shared" si="55"/>
        <v>0</v>
      </c>
      <c r="BT59" s="12"/>
      <c r="BU59" s="12"/>
      <c r="BV59" s="12"/>
      <c r="BW59" s="928">
        <f t="shared" si="85"/>
        <v>6</v>
      </c>
      <c r="BX59" s="929">
        <f t="shared" si="85"/>
        <v>2033</v>
      </c>
      <c r="BY59" s="930">
        <f t="shared" si="86"/>
        <v>0</v>
      </c>
      <c r="BZ59" s="930">
        <f t="shared" si="68"/>
        <v>0</v>
      </c>
      <c r="CA59" s="930">
        <f t="shared" si="56"/>
        <v>0</v>
      </c>
      <c r="CB59" s="930">
        <f t="shared" si="57"/>
        <v>0</v>
      </c>
      <c r="CC59" s="12"/>
      <c r="CD59" s="12"/>
      <c r="CE59" s="12"/>
      <c r="CF59" s="928">
        <f t="shared" si="87"/>
        <v>6</v>
      </c>
      <c r="CG59" s="929">
        <f t="shared" si="87"/>
        <v>2034</v>
      </c>
      <c r="CH59" s="930">
        <f t="shared" si="88"/>
        <v>0</v>
      </c>
      <c r="CI59" s="930">
        <f t="shared" si="89"/>
        <v>0</v>
      </c>
      <c r="CJ59" s="930">
        <f t="shared" si="58"/>
        <v>0</v>
      </c>
      <c r="CK59" s="930">
        <f t="shared" si="59"/>
        <v>0</v>
      </c>
      <c r="CL59" s="12"/>
      <c r="CM59" s="182"/>
    </row>
    <row r="60" spans="1:91" x14ac:dyDescent="0.25">
      <c r="A60" s="12"/>
      <c r="B60" s="12"/>
      <c r="C60" s="928">
        <f t="shared" si="69"/>
        <v>7</v>
      </c>
      <c r="D60" s="929">
        <f t="shared" si="69"/>
        <v>2026</v>
      </c>
      <c r="E60" s="930">
        <f t="shared" si="70"/>
        <v>0</v>
      </c>
      <c r="F60" s="930">
        <f t="shared" si="60"/>
        <v>0</v>
      </c>
      <c r="G60" s="930">
        <f t="shared" si="40"/>
        <v>0</v>
      </c>
      <c r="H60" s="930">
        <f t="shared" si="41"/>
        <v>0</v>
      </c>
      <c r="I60" s="12"/>
      <c r="J60" s="12"/>
      <c r="K60" s="12"/>
      <c r="L60" s="928">
        <f t="shared" si="71"/>
        <v>7</v>
      </c>
      <c r="M60" s="929">
        <f t="shared" si="71"/>
        <v>2027</v>
      </c>
      <c r="N60" s="930">
        <f t="shared" si="72"/>
        <v>0</v>
      </c>
      <c r="O60" s="930">
        <f t="shared" si="61"/>
        <v>0</v>
      </c>
      <c r="P60" s="930">
        <f t="shared" si="42"/>
        <v>0</v>
      </c>
      <c r="Q60" s="930">
        <f t="shared" si="43"/>
        <v>0</v>
      </c>
      <c r="R60" s="12"/>
      <c r="S60" s="12"/>
      <c r="T60" s="12"/>
      <c r="U60" s="928">
        <f t="shared" si="73"/>
        <v>7</v>
      </c>
      <c r="V60" s="929">
        <f t="shared" si="73"/>
        <v>2028</v>
      </c>
      <c r="W60" s="930">
        <f t="shared" si="74"/>
        <v>0</v>
      </c>
      <c r="X60" s="930">
        <f t="shared" si="62"/>
        <v>0</v>
      </c>
      <c r="Y60" s="930">
        <f t="shared" si="44"/>
        <v>0</v>
      </c>
      <c r="Z60" s="930">
        <f t="shared" si="45"/>
        <v>0</v>
      </c>
      <c r="AA60" s="12"/>
      <c r="AB60" s="12"/>
      <c r="AC60" s="12"/>
      <c r="AD60" s="928">
        <f t="shared" si="75"/>
        <v>7</v>
      </c>
      <c r="AE60" s="929">
        <f t="shared" si="75"/>
        <v>2029</v>
      </c>
      <c r="AF60" s="930">
        <f t="shared" si="76"/>
        <v>0</v>
      </c>
      <c r="AG60" s="930">
        <f t="shared" si="63"/>
        <v>0</v>
      </c>
      <c r="AH60" s="930">
        <f t="shared" si="46"/>
        <v>0</v>
      </c>
      <c r="AI60" s="930">
        <f t="shared" si="47"/>
        <v>0</v>
      </c>
      <c r="AJ60" s="12"/>
      <c r="AK60" s="12"/>
      <c r="AL60" s="12"/>
      <c r="AM60" s="928">
        <f t="shared" si="77"/>
        <v>7</v>
      </c>
      <c r="AN60" s="929">
        <f t="shared" si="77"/>
        <v>2030</v>
      </c>
      <c r="AO60" s="930">
        <f t="shared" si="78"/>
        <v>0</v>
      </c>
      <c r="AP60" s="930">
        <f t="shared" si="64"/>
        <v>0</v>
      </c>
      <c r="AQ60" s="930">
        <f t="shared" si="48"/>
        <v>0</v>
      </c>
      <c r="AR60" s="930">
        <f t="shared" si="49"/>
        <v>0</v>
      </c>
      <c r="AS60" s="12"/>
      <c r="AT60" s="12"/>
      <c r="AU60" s="12"/>
      <c r="AV60" s="928">
        <f t="shared" si="79"/>
        <v>7</v>
      </c>
      <c r="AW60" s="929">
        <f t="shared" si="79"/>
        <v>2031</v>
      </c>
      <c r="AX60" s="930">
        <f t="shared" si="80"/>
        <v>0</v>
      </c>
      <c r="AY60" s="930">
        <f t="shared" si="65"/>
        <v>0</v>
      </c>
      <c r="AZ60" s="930">
        <f t="shared" si="50"/>
        <v>0</v>
      </c>
      <c r="BA60" s="930">
        <f t="shared" si="51"/>
        <v>0</v>
      </c>
      <c r="BB60" s="12"/>
      <c r="BC60" s="12"/>
      <c r="BD60" s="12"/>
      <c r="BE60" s="928">
        <f t="shared" si="81"/>
        <v>7</v>
      </c>
      <c r="BF60" s="929">
        <f t="shared" si="81"/>
        <v>2032</v>
      </c>
      <c r="BG60" s="930">
        <f t="shared" si="82"/>
        <v>0</v>
      </c>
      <c r="BH60" s="930">
        <f t="shared" si="66"/>
        <v>0</v>
      </c>
      <c r="BI60" s="930">
        <f t="shared" si="52"/>
        <v>0</v>
      </c>
      <c r="BJ60" s="930">
        <f t="shared" si="53"/>
        <v>0</v>
      </c>
      <c r="BK60" s="12"/>
      <c r="BL60" s="12"/>
      <c r="BM60" s="12"/>
      <c r="BN60" s="928">
        <f t="shared" si="83"/>
        <v>7</v>
      </c>
      <c r="BO60" s="929">
        <f t="shared" si="83"/>
        <v>2033</v>
      </c>
      <c r="BP60" s="930">
        <f t="shared" si="84"/>
        <v>0</v>
      </c>
      <c r="BQ60" s="930">
        <f t="shared" si="67"/>
        <v>0</v>
      </c>
      <c r="BR60" s="930">
        <f t="shared" si="54"/>
        <v>0</v>
      </c>
      <c r="BS60" s="930">
        <f t="shared" si="55"/>
        <v>0</v>
      </c>
      <c r="BT60" s="12"/>
      <c r="BU60" s="12"/>
      <c r="BV60" s="12"/>
      <c r="BW60" s="928">
        <f t="shared" si="85"/>
        <v>7</v>
      </c>
      <c r="BX60" s="929">
        <f t="shared" si="85"/>
        <v>2034</v>
      </c>
      <c r="BY60" s="930">
        <f t="shared" si="86"/>
        <v>0</v>
      </c>
      <c r="BZ60" s="930">
        <f t="shared" si="68"/>
        <v>0</v>
      </c>
      <c r="CA60" s="930">
        <f t="shared" si="56"/>
        <v>0</v>
      </c>
      <c r="CB60" s="930">
        <f t="shared" si="57"/>
        <v>0</v>
      </c>
      <c r="CC60" s="12"/>
      <c r="CD60" s="12"/>
      <c r="CE60" s="12"/>
      <c r="CF60" s="928">
        <f t="shared" si="87"/>
        <v>7</v>
      </c>
      <c r="CG60" s="929">
        <f t="shared" si="87"/>
        <v>2035</v>
      </c>
      <c r="CH60" s="930">
        <f t="shared" si="88"/>
        <v>0</v>
      </c>
      <c r="CI60" s="930">
        <f t="shared" si="89"/>
        <v>0</v>
      </c>
      <c r="CJ60" s="930">
        <f t="shared" si="58"/>
        <v>0</v>
      </c>
      <c r="CK60" s="930">
        <f t="shared" si="59"/>
        <v>0</v>
      </c>
      <c r="CL60" s="12"/>
      <c r="CM60" s="182"/>
    </row>
    <row r="61" spans="1:91" x14ac:dyDescent="0.25">
      <c r="A61" s="12"/>
      <c r="B61" s="12"/>
      <c r="C61" s="928">
        <f t="shared" si="69"/>
        <v>8</v>
      </c>
      <c r="D61" s="929">
        <f t="shared" si="69"/>
        <v>2027</v>
      </c>
      <c r="E61" s="930">
        <f t="shared" si="70"/>
        <v>0</v>
      </c>
      <c r="F61" s="930">
        <f t="shared" si="60"/>
        <v>0</v>
      </c>
      <c r="G61" s="930">
        <f t="shared" si="40"/>
        <v>0</v>
      </c>
      <c r="H61" s="930">
        <f t="shared" si="41"/>
        <v>0</v>
      </c>
      <c r="I61" s="12"/>
      <c r="J61" s="12"/>
      <c r="K61" s="12"/>
      <c r="L61" s="928">
        <f t="shared" si="71"/>
        <v>8</v>
      </c>
      <c r="M61" s="929">
        <f t="shared" si="71"/>
        <v>2028</v>
      </c>
      <c r="N61" s="930">
        <f t="shared" si="72"/>
        <v>0</v>
      </c>
      <c r="O61" s="930">
        <f t="shared" si="61"/>
        <v>0</v>
      </c>
      <c r="P61" s="930">
        <f t="shared" si="42"/>
        <v>0</v>
      </c>
      <c r="Q61" s="930">
        <f t="shared" si="43"/>
        <v>0</v>
      </c>
      <c r="R61" s="12"/>
      <c r="S61" s="12"/>
      <c r="T61" s="12"/>
      <c r="U61" s="928">
        <f t="shared" si="73"/>
        <v>8</v>
      </c>
      <c r="V61" s="929">
        <f t="shared" si="73"/>
        <v>2029</v>
      </c>
      <c r="W61" s="930">
        <f t="shared" si="74"/>
        <v>0</v>
      </c>
      <c r="X61" s="930">
        <f t="shared" si="62"/>
        <v>0</v>
      </c>
      <c r="Y61" s="930">
        <f t="shared" si="44"/>
        <v>0</v>
      </c>
      <c r="Z61" s="930">
        <f t="shared" si="45"/>
        <v>0</v>
      </c>
      <c r="AA61" s="12"/>
      <c r="AB61" s="12"/>
      <c r="AC61" s="12"/>
      <c r="AD61" s="928">
        <f t="shared" si="75"/>
        <v>8</v>
      </c>
      <c r="AE61" s="929">
        <f t="shared" si="75"/>
        <v>2030</v>
      </c>
      <c r="AF61" s="930">
        <f t="shared" si="76"/>
        <v>0</v>
      </c>
      <c r="AG61" s="930">
        <f t="shared" si="63"/>
        <v>0</v>
      </c>
      <c r="AH61" s="930">
        <f t="shared" si="46"/>
        <v>0</v>
      </c>
      <c r="AI61" s="930">
        <f t="shared" si="47"/>
        <v>0</v>
      </c>
      <c r="AJ61" s="12"/>
      <c r="AK61" s="12"/>
      <c r="AL61" s="12"/>
      <c r="AM61" s="928">
        <f t="shared" si="77"/>
        <v>8</v>
      </c>
      <c r="AN61" s="929">
        <f t="shared" si="77"/>
        <v>2031</v>
      </c>
      <c r="AO61" s="930">
        <f t="shared" si="78"/>
        <v>0</v>
      </c>
      <c r="AP61" s="930">
        <f t="shared" si="64"/>
        <v>0</v>
      </c>
      <c r="AQ61" s="930">
        <f t="shared" si="48"/>
        <v>0</v>
      </c>
      <c r="AR61" s="930">
        <f t="shared" si="49"/>
        <v>0</v>
      </c>
      <c r="AS61" s="12"/>
      <c r="AT61" s="12"/>
      <c r="AU61" s="12"/>
      <c r="AV61" s="928">
        <f t="shared" si="79"/>
        <v>8</v>
      </c>
      <c r="AW61" s="929">
        <f t="shared" si="79"/>
        <v>2032</v>
      </c>
      <c r="AX61" s="930">
        <f t="shared" si="80"/>
        <v>0</v>
      </c>
      <c r="AY61" s="930">
        <f t="shared" si="65"/>
        <v>0</v>
      </c>
      <c r="AZ61" s="930">
        <f t="shared" si="50"/>
        <v>0</v>
      </c>
      <c r="BA61" s="930">
        <f t="shared" si="51"/>
        <v>0</v>
      </c>
      <c r="BB61" s="12"/>
      <c r="BC61" s="12"/>
      <c r="BD61" s="12"/>
      <c r="BE61" s="928">
        <f t="shared" si="81"/>
        <v>8</v>
      </c>
      <c r="BF61" s="929">
        <f t="shared" si="81"/>
        <v>2033</v>
      </c>
      <c r="BG61" s="930">
        <f t="shared" si="82"/>
        <v>0</v>
      </c>
      <c r="BH61" s="930">
        <f t="shared" si="66"/>
        <v>0</v>
      </c>
      <c r="BI61" s="930">
        <f t="shared" si="52"/>
        <v>0</v>
      </c>
      <c r="BJ61" s="930">
        <f t="shared" si="53"/>
        <v>0</v>
      </c>
      <c r="BK61" s="12"/>
      <c r="BL61" s="12"/>
      <c r="BM61" s="12"/>
      <c r="BN61" s="928">
        <f t="shared" si="83"/>
        <v>8</v>
      </c>
      <c r="BO61" s="929">
        <f t="shared" si="83"/>
        <v>2034</v>
      </c>
      <c r="BP61" s="930">
        <f t="shared" si="84"/>
        <v>0</v>
      </c>
      <c r="BQ61" s="930">
        <f t="shared" si="67"/>
        <v>0</v>
      </c>
      <c r="BR61" s="930">
        <f t="shared" si="54"/>
        <v>0</v>
      </c>
      <c r="BS61" s="930">
        <f t="shared" si="55"/>
        <v>0</v>
      </c>
      <c r="BT61" s="12"/>
      <c r="BU61" s="12"/>
      <c r="BV61" s="12"/>
      <c r="BW61" s="928">
        <f t="shared" si="85"/>
        <v>8</v>
      </c>
      <c r="BX61" s="929">
        <f t="shared" si="85"/>
        <v>2035</v>
      </c>
      <c r="BY61" s="930">
        <f t="shared" si="86"/>
        <v>0</v>
      </c>
      <c r="BZ61" s="930">
        <f t="shared" si="68"/>
        <v>0</v>
      </c>
      <c r="CA61" s="930">
        <f t="shared" si="56"/>
        <v>0</v>
      </c>
      <c r="CB61" s="930">
        <f t="shared" si="57"/>
        <v>0</v>
      </c>
      <c r="CC61" s="12"/>
      <c r="CD61" s="12"/>
      <c r="CE61" s="12"/>
      <c r="CF61" s="928">
        <f t="shared" si="87"/>
        <v>8</v>
      </c>
      <c r="CG61" s="929">
        <f t="shared" si="87"/>
        <v>2036</v>
      </c>
      <c r="CH61" s="930">
        <f t="shared" si="88"/>
        <v>0</v>
      </c>
      <c r="CI61" s="930">
        <f t="shared" si="89"/>
        <v>0</v>
      </c>
      <c r="CJ61" s="930">
        <f t="shared" si="58"/>
        <v>0</v>
      </c>
      <c r="CK61" s="930">
        <f t="shared" si="59"/>
        <v>0</v>
      </c>
      <c r="CL61" s="12"/>
      <c r="CM61" s="182"/>
    </row>
    <row r="62" spans="1:91" x14ac:dyDescent="0.25">
      <c r="A62" s="12"/>
      <c r="B62" s="12"/>
      <c r="C62" s="928">
        <f t="shared" si="69"/>
        <v>9</v>
      </c>
      <c r="D62" s="929">
        <f t="shared" si="69"/>
        <v>2028</v>
      </c>
      <c r="E62" s="930">
        <f t="shared" si="70"/>
        <v>0</v>
      </c>
      <c r="F62" s="930">
        <f t="shared" si="60"/>
        <v>0</v>
      </c>
      <c r="G62" s="930">
        <f t="shared" si="40"/>
        <v>0</v>
      </c>
      <c r="H62" s="930">
        <f t="shared" si="41"/>
        <v>0</v>
      </c>
      <c r="I62" s="12"/>
      <c r="J62" s="12"/>
      <c r="K62" s="12"/>
      <c r="L62" s="928">
        <f t="shared" si="71"/>
        <v>9</v>
      </c>
      <c r="M62" s="929">
        <f t="shared" si="71"/>
        <v>2029</v>
      </c>
      <c r="N62" s="930">
        <f t="shared" si="72"/>
        <v>0</v>
      </c>
      <c r="O62" s="930">
        <f t="shared" si="61"/>
        <v>0</v>
      </c>
      <c r="P62" s="930">
        <f t="shared" si="42"/>
        <v>0</v>
      </c>
      <c r="Q62" s="930">
        <f t="shared" si="43"/>
        <v>0</v>
      </c>
      <c r="R62" s="12"/>
      <c r="S62" s="12"/>
      <c r="T62" s="12"/>
      <c r="U62" s="928">
        <f t="shared" si="73"/>
        <v>9</v>
      </c>
      <c r="V62" s="929">
        <f t="shared" si="73"/>
        <v>2030</v>
      </c>
      <c r="W62" s="930">
        <f t="shared" si="74"/>
        <v>0</v>
      </c>
      <c r="X62" s="930">
        <f t="shared" si="62"/>
        <v>0</v>
      </c>
      <c r="Y62" s="930">
        <f t="shared" si="44"/>
        <v>0</v>
      </c>
      <c r="Z62" s="930">
        <f t="shared" si="45"/>
        <v>0</v>
      </c>
      <c r="AA62" s="12"/>
      <c r="AB62" s="12"/>
      <c r="AC62" s="12"/>
      <c r="AD62" s="928">
        <f t="shared" si="75"/>
        <v>9</v>
      </c>
      <c r="AE62" s="929">
        <f t="shared" si="75"/>
        <v>2031</v>
      </c>
      <c r="AF62" s="930">
        <f t="shared" si="76"/>
        <v>0</v>
      </c>
      <c r="AG62" s="930">
        <f t="shared" si="63"/>
        <v>0</v>
      </c>
      <c r="AH62" s="930">
        <f t="shared" si="46"/>
        <v>0</v>
      </c>
      <c r="AI62" s="930">
        <f t="shared" si="47"/>
        <v>0</v>
      </c>
      <c r="AJ62" s="12"/>
      <c r="AK62" s="12"/>
      <c r="AL62" s="12"/>
      <c r="AM62" s="928">
        <f t="shared" si="77"/>
        <v>9</v>
      </c>
      <c r="AN62" s="929">
        <f t="shared" si="77"/>
        <v>2032</v>
      </c>
      <c r="AO62" s="930">
        <f t="shared" si="78"/>
        <v>0</v>
      </c>
      <c r="AP62" s="930">
        <f t="shared" si="64"/>
        <v>0</v>
      </c>
      <c r="AQ62" s="930">
        <f t="shared" si="48"/>
        <v>0</v>
      </c>
      <c r="AR62" s="930">
        <f t="shared" si="49"/>
        <v>0</v>
      </c>
      <c r="AS62" s="12"/>
      <c r="AT62" s="12"/>
      <c r="AU62" s="12"/>
      <c r="AV62" s="928">
        <f t="shared" si="79"/>
        <v>9</v>
      </c>
      <c r="AW62" s="929">
        <f t="shared" si="79"/>
        <v>2033</v>
      </c>
      <c r="AX62" s="930">
        <f t="shared" si="80"/>
        <v>0</v>
      </c>
      <c r="AY62" s="930">
        <f t="shared" si="65"/>
        <v>0</v>
      </c>
      <c r="AZ62" s="930">
        <f t="shared" si="50"/>
        <v>0</v>
      </c>
      <c r="BA62" s="930">
        <f t="shared" si="51"/>
        <v>0</v>
      </c>
      <c r="BB62" s="12"/>
      <c r="BC62" s="12"/>
      <c r="BD62" s="12"/>
      <c r="BE62" s="928">
        <f t="shared" si="81"/>
        <v>9</v>
      </c>
      <c r="BF62" s="929">
        <f t="shared" si="81"/>
        <v>2034</v>
      </c>
      <c r="BG62" s="930">
        <f t="shared" si="82"/>
        <v>0</v>
      </c>
      <c r="BH62" s="930">
        <f t="shared" si="66"/>
        <v>0</v>
      </c>
      <c r="BI62" s="930">
        <f t="shared" si="52"/>
        <v>0</v>
      </c>
      <c r="BJ62" s="930">
        <f t="shared" si="53"/>
        <v>0</v>
      </c>
      <c r="BK62" s="12"/>
      <c r="BL62" s="12"/>
      <c r="BM62" s="12"/>
      <c r="BN62" s="928">
        <f t="shared" si="83"/>
        <v>9</v>
      </c>
      <c r="BO62" s="929">
        <f t="shared" si="83"/>
        <v>2035</v>
      </c>
      <c r="BP62" s="930">
        <f t="shared" si="84"/>
        <v>0</v>
      </c>
      <c r="BQ62" s="930">
        <f t="shared" si="67"/>
        <v>0</v>
      </c>
      <c r="BR62" s="930">
        <f t="shared" si="54"/>
        <v>0</v>
      </c>
      <c r="BS62" s="930">
        <f t="shared" si="55"/>
        <v>0</v>
      </c>
      <c r="BT62" s="12"/>
      <c r="BU62" s="12"/>
      <c r="BV62" s="12"/>
      <c r="BW62" s="928">
        <f t="shared" si="85"/>
        <v>9</v>
      </c>
      <c r="BX62" s="929">
        <f t="shared" si="85"/>
        <v>2036</v>
      </c>
      <c r="BY62" s="930">
        <f t="shared" si="86"/>
        <v>0</v>
      </c>
      <c r="BZ62" s="930">
        <f t="shared" si="68"/>
        <v>0</v>
      </c>
      <c r="CA62" s="930">
        <f t="shared" si="56"/>
        <v>0</v>
      </c>
      <c r="CB62" s="930">
        <f t="shared" si="57"/>
        <v>0</v>
      </c>
      <c r="CC62" s="12"/>
      <c r="CD62" s="12"/>
      <c r="CE62" s="12"/>
      <c r="CF62" s="928">
        <f t="shared" si="87"/>
        <v>9</v>
      </c>
      <c r="CG62" s="929">
        <f t="shared" si="87"/>
        <v>2037</v>
      </c>
      <c r="CH62" s="930">
        <f t="shared" si="88"/>
        <v>0</v>
      </c>
      <c r="CI62" s="930">
        <f t="shared" si="89"/>
        <v>0</v>
      </c>
      <c r="CJ62" s="930">
        <f t="shared" si="58"/>
        <v>0</v>
      </c>
      <c r="CK62" s="930">
        <f t="shared" si="59"/>
        <v>0</v>
      </c>
      <c r="CL62" s="12"/>
      <c r="CM62" s="182"/>
    </row>
    <row r="63" spans="1:91" x14ac:dyDescent="0.25">
      <c r="A63" s="12"/>
      <c r="B63" s="12"/>
      <c r="C63" s="928">
        <f t="shared" si="69"/>
        <v>10</v>
      </c>
      <c r="D63" s="929">
        <f t="shared" si="69"/>
        <v>2029</v>
      </c>
      <c r="E63" s="930">
        <f t="shared" si="70"/>
        <v>0</v>
      </c>
      <c r="F63" s="930">
        <f t="shared" si="60"/>
        <v>0</v>
      </c>
      <c r="G63" s="930">
        <f t="shared" si="40"/>
        <v>0</v>
      </c>
      <c r="H63" s="930">
        <f t="shared" si="41"/>
        <v>0</v>
      </c>
      <c r="I63" s="12"/>
      <c r="J63" s="12"/>
      <c r="K63" s="12"/>
      <c r="L63" s="928">
        <f t="shared" si="71"/>
        <v>10</v>
      </c>
      <c r="M63" s="929">
        <f t="shared" si="71"/>
        <v>2030</v>
      </c>
      <c r="N63" s="930">
        <f t="shared" si="72"/>
        <v>0</v>
      </c>
      <c r="O63" s="930">
        <f t="shared" si="61"/>
        <v>0</v>
      </c>
      <c r="P63" s="930">
        <f t="shared" si="42"/>
        <v>0</v>
      </c>
      <c r="Q63" s="930">
        <f t="shared" si="43"/>
        <v>0</v>
      </c>
      <c r="R63" s="12"/>
      <c r="S63" s="12"/>
      <c r="T63" s="12"/>
      <c r="U63" s="928">
        <f t="shared" si="73"/>
        <v>10</v>
      </c>
      <c r="V63" s="929">
        <f t="shared" si="73"/>
        <v>2031</v>
      </c>
      <c r="W63" s="930">
        <f t="shared" si="74"/>
        <v>0</v>
      </c>
      <c r="X63" s="930">
        <f t="shared" si="62"/>
        <v>0</v>
      </c>
      <c r="Y63" s="930">
        <f t="shared" si="44"/>
        <v>0</v>
      </c>
      <c r="Z63" s="930">
        <f t="shared" si="45"/>
        <v>0</v>
      </c>
      <c r="AA63" s="12"/>
      <c r="AB63" s="12"/>
      <c r="AC63" s="12"/>
      <c r="AD63" s="928">
        <f t="shared" si="75"/>
        <v>10</v>
      </c>
      <c r="AE63" s="929">
        <f t="shared" si="75"/>
        <v>2032</v>
      </c>
      <c r="AF63" s="930">
        <f t="shared" si="76"/>
        <v>0</v>
      </c>
      <c r="AG63" s="930">
        <f t="shared" si="63"/>
        <v>0</v>
      </c>
      <c r="AH63" s="930">
        <f t="shared" si="46"/>
        <v>0</v>
      </c>
      <c r="AI63" s="930">
        <f t="shared" si="47"/>
        <v>0</v>
      </c>
      <c r="AJ63" s="12"/>
      <c r="AK63" s="12"/>
      <c r="AL63" s="12"/>
      <c r="AM63" s="928">
        <f t="shared" si="77"/>
        <v>10</v>
      </c>
      <c r="AN63" s="929">
        <f t="shared" si="77"/>
        <v>2033</v>
      </c>
      <c r="AO63" s="930">
        <f t="shared" si="78"/>
        <v>0</v>
      </c>
      <c r="AP63" s="930">
        <f t="shared" si="64"/>
        <v>0</v>
      </c>
      <c r="AQ63" s="930">
        <f t="shared" si="48"/>
        <v>0</v>
      </c>
      <c r="AR63" s="930">
        <f t="shared" si="49"/>
        <v>0</v>
      </c>
      <c r="AS63" s="12"/>
      <c r="AT63" s="12"/>
      <c r="AU63" s="12"/>
      <c r="AV63" s="928">
        <f t="shared" si="79"/>
        <v>10</v>
      </c>
      <c r="AW63" s="929">
        <f t="shared" si="79"/>
        <v>2034</v>
      </c>
      <c r="AX63" s="930">
        <f t="shared" si="80"/>
        <v>0</v>
      </c>
      <c r="AY63" s="930">
        <f t="shared" si="65"/>
        <v>0</v>
      </c>
      <c r="AZ63" s="930">
        <f t="shared" si="50"/>
        <v>0</v>
      </c>
      <c r="BA63" s="930">
        <f t="shared" si="51"/>
        <v>0</v>
      </c>
      <c r="BB63" s="12"/>
      <c r="BC63" s="12"/>
      <c r="BD63" s="12"/>
      <c r="BE63" s="928">
        <f t="shared" si="81"/>
        <v>10</v>
      </c>
      <c r="BF63" s="929">
        <f t="shared" si="81"/>
        <v>2035</v>
      </c>
      <c r="BG63" s="930">
        <f t="shared" si="82"/>
        <v>0</v>
      </c>
      <c r="BH63" s="930">
        <f t="shared" si="66"/>
        <v>0</v>
      </c>
      <c r="BI63" s="930">
        <f t="shared" si="52"/>
        <v>0</v>
      </c>
      <c r="BJ63" s="930">
        <f t="shared" si="53"/>
        <v>0</v>
      </c>
      <c r="BK63" s="12"/>
      <c r="BL63" s="12"/>
      <c r="BM63" s="12"/>
      <c r="BN63" s="928">
        <f t="shared" si="83"/>
        <v>10</v>
      </c>
      <c r="BO63" s="929">
        <f t="shared" si="83"/>
        <v>2036</v>
      </c>
      <c r="BP63" s="930">
        <f t="shared" si="84"/>
        <v>0</v>
      </c>
      <c r="BQ63" s="930">
        <f t="shared" si="67"/>
        <v>0</v>
      </c>
      <c r="BR63" s="930">
        <f t="shared" si="54"/>
        <v>0</v>
      </c>
      <c r="BS63" s="930">
        <f t="shared" si="55"/>
        <v>0</v>
      </c>
      <c r="BT63" s="12"/>
      <c r="BU63" s="12"/>
      <c r="BV63" s="12"/>
      <c r="BW63" s="928">
        <f t="shared" si="85"/>
        <v>10</v>
      </c>
      <c r="BX63" s="929">
        <f t="shared" si="85"/>
        <v>2037</v>
      </c>
      <c r="BY63" s="930">
        <f t="shared" si="86"/>
        <v>0</v>
      </c>
      <c r="BZ63" s="930">
        <f t="shared" si="68"/>
        <v>0</v>
      </c>
      <c r="CA63" s="930">
        <f t="shared" si="56"/>
        <v>0</v>
      </c>
      <c r="CB63" s="930">
        <f t="shared" si="57"/>
        <v>0</v>
      </c>
      <c r="CC63" s="12"/>
      <c r="CD63" s="12"/>
      <c r="CE63" s="12"/>
      <c r="CF63" s="928">
        <f t="shared" si="87"/>
        <v>10</v>
      </c>
      <c r="CG63" s="929">
        <f t="shared" si="87"/>
        <v>2038</v>
      </c>
      <c r="CH63" s="930">
        <f t="shared" si="88"/>
        <v>0</v>
      </c>
      <c r="CI63" s="930">
        <f t="shared" si="89"/>
        <v>0</v>
      </c>
      <c r="CJ63" s="930">
        <f t="shared" si="58"/>
        <v>0</v>
      </c>
      <c r="CK63" s="930">
        <f t="shared" si="59"/>
        <v>0</v>
      </c>
      <c r="CL63" s="12"/>
      <c r="CM63" s="182"/>
    </row>
    <row r="64" spans="1:91" x14ac:dyDescent="0.25">
      <c r="A64" s="12"/>
      <c r="B64" s="12"/>
      <c r="C64" s="928">
        <f t="shared" si="69"/>
        <v>11</v>
      </c>
      <c r="D64" s="929">
        <f t="shared" si="69"/>
        <v>2030</v>
      </c>
      <c r="E64" s="930">
        <f t="shared" si="70"/>
        <v>0</v>
      </c>
      <c r="F64" s="930">
        <f t="shared" si="60"/>
        <v>0</v>
      </c>
      <c r="G64" s="930">
        <f t="shared" si="40"/>
        <v>0</v>
      </c>
      <c r="H64" s="930">
        <f t="shared" si="41"/>
        <v>0</v>
      </c>
      <c r="I64" s="12"/>
      <c r="J64" s="12"/>
      <c r="K64" s="12"/>
      <c r="L64" s="928">
        <f t="shared" si="71"/>
        <v>11</v>
      </c>
      <c r="M64" s="929">
        <f t="shared" si="71"/>
        <v>2031</v>
      </c>
      <c r="N64" s="930">
        <f t="shared" si="72"/>
        <v>0</v>
      </c>
      <c r="O64" s="930">
        <f t="shared" si="61"/>
        <v>0</v>
      </c>
      <c r="P64" s="930">
        <f t="shared" si="42"/>
        <v>0</v>
      </c>
      <c r="Q64" s="930">
        <f t="shared" si="43"/>
        <v>0</v>
      </c>
      <c r="R64" s="12"/>
      <c r="S64" s="12"/>
      <c r="T64" s="12"/>
      <c r="U64" s="928">
        <f t="shared" si="73"/>
        <v>11</v>
      </c>
      <c r="V64" s="929">
        <f t="shared" si="73"/>
        <v>2032</v>
      </c>
      <c r="W64" s="930">
        <f t="shared" si="74"/>
        <v>0</v>
      </c>
      <c r="X64" s="930">
        <f t="shared" si="62"/>
        <v>0</v>
      </c>
      <c r="Y64" s="930">
        <f t="shared" si="44"/>
        <v>0</v>
      </c>
      <c r="Z64" s="930">
        <f t="shared" si="45"/>
        <v>0</v>
      </c>
      <c r="AA64" s="12"/>
      <c r="AB64" s="12"/>
      <c r="AC64" s="12"/>
      <c r="AD64" s="928">
        <f t="shared" si="75"/>
        <v>11</v>
      </c>
      <c r="AE64" s="929">
        <f t="shared" si="75"/>
        <v>2033</v>
      </c>
      <c r="AF64" s="930">
        <f t="shared" si="76"/>
        <v>0</v>
      </c>
      <c r="AG64" s="930">
        <f t="shared" si="63"/>
        <v>0</v>
      </c>
      <c r="AH64" s="930">
        <f t="shared" si="46"/>
        <v>0</v>
      </c>
      <c r="AI64" s="930">
        <f t="shared" si="47"/>
        <v>0</v>
      </c>
      <c r="AJ64" s="12"/>
      <c r="AK64" s="12"/>
      <c r="AL64" s="12"/>
      <c r="AM64" s="928">
        <f t="shared" si="77"/>
        <v>11</v>
      </c>
      <c r="AN64" s="929">
        <f t="shared" si="77"/>
        <v>2034</v>
      </c>
      <c r="AO64" s="930">
        <f t="shared" si="78"/>
        <v>0</v>
      </c>
      <c r="AP64" s="930">
        <f t="shared" si="64"/>
        <v>0</v>
      </c>
      <c r="AQ64" s="930">
        <f t="shared" si="48"/>
        <v>0</v>
      </c>
      <c r="AR64" s="930">
        <f t="shared" si="49"/>
        <v>0</v>
      </c>
      <c r="AS64" s="12"/>
      <c r="AT64" s="12"/>
      <c r="AU64" s="12"/>
      <c r="AV64" s="928">
        <f t="shared" si="79"/>
        <v>11</v>
      </c>
      <c r="AW64" s="929">
        <f t="shared" si="79"/>
        <v>2035</v>
      </c>
      <c r="AX64" s="930">
        <f t="shared" si="80"/>
        <v>0</v>
      </c>
      <c r="AY64" s="930">
        <f t="shared" si="65"/>
        <v>0</v>
      </c>
      <c r="AZ64" s="930">
        <f t="shared" si="50"/>
        <v>0</v>
      </c>
      <c r="BA64" s="930">
        <f t="shared" si="51"/>
        <v>0</v>
      </c>
      <c r="BB64" s="12"/>
      <c r="BC64" s="12"/>
      <c r="BD64" s="12"/>
      <c r="BE64" s="928">
        <f t="shared" si="81"/>
        <v>11</v>
      </c>
      <c r="BF64" s="929">
        <f t="shared" si="81"/>
        <v>2036</v>
      </c>
      <c r="BG64" s="930">
        <f t="shared" si="82"/>
        <v>0</v>
      </c>
      <c r="BH64" s="930">
        <f t="shared" si="66"/>
        <v>0</v>
      </c>
      <c r="BI64" s="930">
        <f t="shared" si="52"/>
        <v>0</v>
      </c>
      <c r="BJ64" s="930">
        <f t="shared" si="53"/>
        <v>0</v>
      </c>
      <c r="BK64" s="12"/>
      <c r="BL64" s="12"/>
      <c r="BM64" s="12"/>
      <c r="BN64" s="928">
        <f t="shared" si="83"/>
        <v>11</v>
      </c>
      <c r="BO64" s="929">
        <f t="shared" si="83"/>
        <v>2037</v>
      </c>
      <c r="BP64" s="930">
        <f t="shared" si="84"/>
        <v>0</v>
      </c>
      <c r="BQ64" s="930">
        <f t="shared" si="67"/>
        <v>0</v>
      </c>
      <c r="BR64" s="930">
        <f t="shared" si="54"/>
        <v>0</v>
      </c>
      <c r="BS64" s="930">
        <f t="shared" si="55"/>
        <v>0</v>
      </c>
      <c r="BT64" s="12"/>
      <c r="BU64" s="12"/>
      <c r="BV64" s="12"/>
      <c r="BW64" s="928">
        <f t="shared" si="85"/>
        <v>11</v>
      </c>
      <c r="BX64" s="929">
        <f t="shared" si="85"/>
        <v>2038</v>
      </c>
      <c r="BY64" s="930">
        <f t="shared" si="86"/>
        <v>0</v>
      </c>
      <c r="BZ64" s="930">
        <f t="shared" si="68"/>
        <v>0</v>
      </c>
      <c r="CA64" s="930">
        <f t="shared" si="56"/>
        <v>0</v>
      </c>
      <c r="CB64" s="930">
        <f t="shared" si="57"/>
        <v>0</v>
      </c>
      <c r="CC64" s="12"/>
      <c r="CD64" s="12"/>
      <c r="CE64" s="12"/>
      <c r="CF64" s="928">
        <f t="shared" si="87"/>
        <v>11</v>
      </c>
      <c r="CG64" s="929">
        <f t="shared" si="87"/>
        <v>2039</v>
      </c>
      <c r="CH64" s="930">
        <f t="shared" si="88"/>
        <v>0</v>
      </c>
      <c r="CI64" s="930">
        <f t="shared" si="89"/>
        <v>0</v>
      </c>
      <c r="CJ64" s="930">
        <f t="shared" si="58"/>
        <v>0</v>
      </c>
      <c r="CK64" s="930">
        <f t="shared" si="59"/>
        <v>0</v>
      </c>
      <c r="CL64" s="12"/>
      <c r="CM64" s="182"/>
    </row>
    <row r="65" spans="1:91" x14ac:dyDescent="0.25">
      <c r="A65" s="12"/>
      <c r="B65" s="12"/>
      <c r="C65" s="928">
        <f t="shared" si="69"/>
        <v>12</v>
      </c>
      <c r="D65" s="929">
        <f t="shared" si="69"/>
        <v>2031</v>
      </c>
      <c r="E65" s="930">
        <f t="shared" si="70"/>
        <v>0</v>
      </c>
      <c r="F65" s="930">
        <f t="shared" si="60"/>
        <v>0</v>
      </c>
      <c r="G65" s="930">
        <f t="shared" si="40"/>
        <v>0</v>
      </c>
      <c r="H65" s="930">
        <f t="shared" si="41"/>
        <v>0</v>
      </c>
      <c r="I65" s="12"/>
      <c r="J65" s="12"/>
      <c r="K65" s="12"/>
      <c r="L65" s="928">
        <f t="shared" si="71"/>
        <v>12</v>
      </c>
      <c r="M65" s="929">
        <f t="shared" si="71"/>
        <v>2032</v>
      </c>
      <c r="N65" s="930">
        <f t="shared" si="72"/>
        <v>0</v>
      </c>
      <c r="O65" s="930">
        <f t="shared" si="61"/>
        <v>0</v>
      </c>
      <c r="P65" s="930">
        <f t="shared" si="42"/>
        <v>0</v>
      </c>
      <c r="Q65" s="930">
        <f t="shared" si="43"/>
        <v>0</v>
      </c>
      <c r="R65" s="12"/>
      <c r="S65" s="12"/>
      <c r="T65" s="12"/>
      <c r="U65" s="928">
        <f t="shared" si="73"/>
        <v>12</v>
      </c>
      <c r="V65" s="929">
        <f t="shared" si="73"/>
        <v>2033</v>
      </c>
      <c r="W65" s="930">
        <f t="shared" si="74"/>
        <v>0</v>
      </c>
      <c r="X65" s="930">
        <f t="shared" si="62"/>
        <v>0</v>
      </c>
      <c r="Y65" s="930">
        <f t="shared" si="44"/>
        <v>0</v>
      </c>
      <c r="Z65" s="930">
        <f t="shared" si="45"/>
        <v>0</v>
      </c>
      <c r="AA65" s="12"/>
      <c r="AB65" s="12"/>
      <c r="AC65" s="12"/>
      <c r="AD65" s="928">
        <f t="shared" si="75"/>
        <v>12</v>
      </c>
      <c r="AE65" s="929">
        <f t="shared" si="75"/>
        <v>2034</v>
      </c>
      <c r="AF65" s="930">
        <f t="shared" si="76"/>
        <v>0</v>
      </c>
      <c r="AG65" s="930">
        <f t="shared" si="63"/>
        <v>0</v>
      </c>
      <c r="AH65" s="930">
        <f t="shared" si="46"/>
        <v>0</v>
      </c>
      <c r="AI65" s="930">
        <f t="shared" si="47"/>
        <v>0</v>
      </c>
      <c r="AJ65" s="12"/>
      <c r="AK65" s="12"/>
      <c r="AL65" s="12"/>
      <c r="AM65" s="928">
        <f t="shared" si="77"/>
        <v>12</v>
      </c>
      <c r="AN65" s="929">
        <f t="shared" si="77"/>
        <v>2035</v>
      </c>
      <c r="AO65" s="930">
        <f t="shared" si="78"/>
        <v>0</v>
      </c>
      <c r="AP65" s="930">
        <f t="shared" si="64"/>
        <v>0</v>
      </c>
      <c r="AQ65" s="930">
        <f t="shared" si="48"/>
        <v>0</v>
      </c>
      <c r="AR65" s="930">
        <f t="shared" si="49"/>
        <v>0</v>
      </c>
      <c r="AS65" s="12"/>
      <c r="AT65" s="12"/>
      <c r="AU65" s="12"/>
      <c r="AV65" s="928">
        <f t="shared" si="79"/>
        <v>12</v>
      </c>
      <c r="AW65" s="929">
        <f t="shared" si="79"/>
        <v>2036</v>
      </c>
      <c r="AX65" s="930">
        <f t="shared" si="80"/>
        <v>0</v>
      </c>
      <c r="AY65" s="930">
        <f t="shared" si="65"/>
        <v>0</v>
      </c>
      <c r="AZ65" s="930">
        <f t="shared" si="50"/>
        <v>0</v>
      </c>
      <c r="BA65" s="930">
        <f t="shared" si="51"/>
        <v>0</v>
      </c>
      <c r="BB65" s="12"/>
      <c r="BC65" s="12"/>
      <c r="BD65" s="12"/>
      <c r="BE65" s="928">
        <f t="shared" si="81"/>
        <v>12</v>
      </c>
      <c r="BF65" s="929">
        <f t="shared" si="81"/>
        <v>2037</v>
      </c>
      <c r="BG65" s="930">
        <f t="shared" si="82"/>
        <v>0</v>
      </c>
      <c r="BH65" s="930">
        <f t="shared" si="66"/>
        <v>0</v>
      </c>
      <c r="BI65" s="930">
        <f t="shared" si="52"/>
        <v>0</v>
      </c>
      <c r="BJ65" s="930">
        <f t="shared" si="53"/>
        <v>0</v>
      </c>
      <c r="BK65" s="12"/>
      <c r="BL65" s="12"/>
      <c r="BM65" s="12"/>
      <c r="BN65" s="928">
        <f t="shared" si="83"/>
        <v>12</v>
      </c>
      <c r="BO65" s="929">
        <f t="shared" si="83"/>
        <v>2038</v>
      </c>
      <c r="BP65" s="930">
        <f t="shared" si="84"/>
        <v>0</v>
      </c>
      <c r="BQ65" s="930">
        <f t="shared" si="67"/>
        <v>0</v>
      </c>
      <c r="BR65" s="930">
        <f t="shared" si="54"/>
        <v>0</v>
      </c>
      <c r="BS65" s="930">
        <f t="shared" si="55"/>
        <v>0</v>
      </c>
      <c r="BT65" s="12"/>
      <c r="BU65" s="12"/>
      <c r="BV65" s="12"/>
      <c r="BW65" s="928">
        <f t="shared" si="85"/>
        <v>12</v>
      </c>
      <c r="BX65" s="929">
        <f t="shared" si="85"/>
        <v>2039</v>
      </c>
      <c r="BY65" s="930">
        <f t="shared" si="86"/>
        <v>0</v>
      </c>
      <c r="BZ65" s="930">
        <f t="shared" si="68"/>
        <v>0</v>
      </c>
      <c r="CA65" s="930">
        <f t="shared" si="56"/>
        <v>0</v>
      </c>
      <c r="CB65" s="930">
        <f t="shared" si="57"/>
        <v>0</v>
      </c>
      <c r="CC65" s="12"/>
      <c r="CD65" s="12"/>
      <c r="CE65" s="12"/>
      <c r="CF65" s="928">
        <f t="shared" si="87"/>
        <v>12</v>
      </c>
      <c r="CG65" s="929">
        <f t="shared" si="87"/>
        <v>2040</v>
      </c>
      <c r="CH65" s="930">
        <f t="shared" si="88"/>
        <v>0</v>
      </c>
      <c r="CI65" s="930">
        <f t="shared" si="89"/>
        <v>0</v>
      </c>
      <c r="CJ65" s="930">
        <f t="shared" si="58"/>
        <v>0</v>
      </c>
      <c r="CK65" s="930">
        <f t="shared" si="59"/>
        <v>0</v>
      </c>
      <c r="CL65" s="12"/>
      <c r="CM65" s="182"/>
    </row>
    <row r="66" spans="1:91" x14ac:dyDescent="0.25">
      <c r="A66" s="12"/>
      <c r="B66" s="12"/>
      <c r="C66" s="928">
        <f t="shared" si="69"/>
        <v>13</v>
      </c>
      <c r="D66" s="929">
        <f t="shared" si="69"/>
        <v>2032</v>
      </c>
      <c r="E66" s="930">
        <f t="shared" si="70"/>
        <v>0</v>
      </c>
      <c r="F66" s="930">
        <f t="shared" si="60"/>
        <v>0</v>
      </c>
      <c r="G66" s="930">
        <f t="shared" si="40"/>
        <v>0</v>
      </c>
      <c r="H66" s="930">
        <f t="shared" si="41"/>
        <v>0</v>
      </c>
      <c r="I66" s="12"/>
      <c r="J66" s="12"/>
      <c r="K66" s="12"/>
      <c r="L66" s="928">
        <f t="shared" si="71"/>
        <v>13</v>
      </c>
      <c r="M66" s="929">
        <f t="shared" si="71"/>
        <v>2033</v>
      </c>
      <c r="N66" s="930">
        <f t="shared" si="72"/>
        <v>0</v>
      </c>
      <c r="O66" s="930">
        <f t="shared" si="61"/>
        <v>0</v>
      </c>
      <c r="P66" s="930">
        <f t="shared" si="42"/>
        <v>0</v>
      </c>
      <c r="Q66" s="930">
        <f t="shared" si="43"/>
        <v>0</v>
      </c>
      <c r="R66" s="12"/>
      <c r="S66" s="12"/>
      <c r="T66" s="12"/>
      <c r="U66" s="928">
        <f t="shared" si="73"/>
        <v>13</v>
      </c>
      <c r="V66" s="929">
        <f t="shared" si="73"/>
        <v>2034</v>
      </c>
      <c r="W66" s="930">
        <f t="shared" si="74"/>
        <v>0</v>
      </c>
      <c r="X66" s="930">
        <f t="shared" si="62"/>
        <v>0</v>
      </c>
      <c r="Y66" s="930">
        <f t="shared" si="44"/>
        <v>0</v>
      </c>
      <c r="Z66" s="930">
        <f t="shared" si="45"/>
        <v>0</v>
      </c>
      <c r="AA66" s="12"/>
      <c r="AB66" s="12"/>
      <c r="AC66" s="12"/>
      <c r="AD66" s="928">
        <f t="shared" si="75"/>
        <v>13</v>
      </c>
      <c r="AE66" s="929">
        <f t="shared" si="75"/>
        <v>2035</v>
      </c>
      <c r="AF66" s="930">
        <f t="shared" si="76"/>
        <v>0</v>
      </c>
      <c r="AG66" s="930">
        <f t="shared" si="63"/>
        <v>0</v>
      </c>
      <c r="AH66" s="930">
        <f t="shared" si="46"/>
        <v>0</v>
      </c>
      <c r="AI66" s="930">
        <f t="shared" si="47"/>
        <v>0</v>
      </c>
      <c r="AJ66" s="12"/>
      <c r="AK66" s="12"/>
      <c r="AL66" s="12"/>
      <c r="AM66" s="928">
        <f t="shared" si="77"/>
        <v>13</v>
      </c>
      <c r="AN66" s="929">
        <f t="shared" si="77"/>
        <v>2036</v>
      </c>
      <c r="AO66" s="930">
        <f t="shared" si="78"/>
        <v>0</v>
      </c>
      <c r="AP66" s="930">
        <f t="shared" si="64"/>
        <v>0</v>
      </c>
      <c r="AQ66" s="930">
        <f t="shared" si="48"/>
        <v>0</v>
      </c>
      <c r="AR66" s="930">
        <f t="shared" si="49"/>
        <v>0</v>
      </c>
      <c r="AS66" s="12"/>
      <c r="AT66" s="12"/>
      <c r="AU66" s="12"/>
      <c r="AV66" s="928">
        <f t="shared" si="79"/>
        <v>13</v>
      </c>
      <c r="AW66" s="929">
        <f t="shared" si="79"/>
        <v>2037</v>
      </c>
      <c r="AX66" s="930">
        <f t="shared" si="80"/>
        <v>0</v>
      </c>
      <c r="AY66" s="930">
        <f t="shared" si="65"/>
        <v>0</v>
      </c>
      <c r="AZ66" s="930">
        <f t="shared" si="50"/>
        <v>0</v>
      </c>
      <c r="BA66" s="930">
        <f t="shared" si="51"/>
        <v>0</v>
      </c>
      <c r="BB66" s="12"/>
      <c r="BC66" s="12"/>
      <c r="BD66" s="12"/>
      <c r="BE66" s="928">
        <f t="shared" si="81"/>
        <v>13</v>
      </c>
      <c r="BF66" s="929">
        <f t="shared" si="81"/>
        <v>2038</v>
      </c>
      <c r="BG66" s="930">
        <f t="shared" si="82"/>
        <v>0</v>
      </c>
      <c r="BH66" s="930">
        <f t="shared" si="66"/>
        <v>0</v>
      </c>
      <c r="BI66" s="930">
        <f t="shared" si="52"/>
        <v>0</v>
      </c>
      <c r="BJ66" s="930">
        <f t="shared" si="53"/>
        <v>0</v>
      </c>
      <c r="BK66" s="12"/>
      <c r="BL66" s="12"/>
      <c r="BM66" s="12"/>
      <c r="BN66" s="928">
        <f t="shared" si="83"/>
        <v>13</v>
      </c>
      <c r="BO66" s="929">
        <f t="shared" si="83"/>
        <v>2039</v>
      </c>
      <c r="BP66" s="930">
        <f t="shared" si="84"/>
        <v>0</v>
      </c>
      <c r="BQ66" s="930">
        <f t="shared" si="67"/>
        <v>0</v>
      </c>
      <c r="BR66" s="930">
        <f t="shared" si="54"/>
        <v>0</v>
      </c>
      <c r="BS66" s="930">
        <f t="shared" si="55"/>
        <v>0</v>
      </c>
      <c r="BT66" s="12"/>
      <c r="BU66" s="12"/>
      <c r="BV66" s="12"/>
      <c r="BW66" s="928">
        <f t="shared" si="85"/>
        <v>13</v>
      </c>
      <c r="BX66" s="929">
        <f t="shared" si="85"/>
        <v>2040</v>
      </c>
      <c r="BY66" s="930">
        <f t="shared" si="86"/>
        <v>0</v>
      </c>
      <c r="BZ66" s="930">
        <f t="shared" si="68"/>
        <v>0</v>
      </c>
      <c r="CA66" s="930">
        <f t="shared" si="56"/>
        <v>0</v>
      </c>
      <c r="CB66" s="930">
        <f t="shared" si="57"/>
        <v>0</v>
      </c>
      <c r="CC66" s="12"/>
      <c r="CD66" s="12"/>
      <c r="CE66" s="12"/>
      <c r="CF66" s="928">
        <f t="shared" si="87"/>
        <v>13</v>
      </c>
      <c r="CG66" s="929">
        <f t="shared" si="87"/>
        <v>2041</v>
      </c>
      <c r="CH66" s="930">
        <f t="shared" si="88"/>
        <v>0</v>
      </c>
      <c r="CI66" s="930">
        <f t="shared" si="89"/>
        <v>0</v>
      </c>
      <c r="CJ66" s="930">
        <f t="shared" si="58"/>
        <v>0</v>
      </c>
      <c r="CK66" s="930">
        <f t="shared" si="59"/>
        <v>0</v>
      </c>
      <c r="CL66" s="12"/>
      <c r="CM66" s="182"/>
    </row>
    <row r="67" spans="1:91" x14ac:dyDescent="0.25">
      <c r="A67" s="12"/>
      <c r="B67" s="12"/>
      <c r="C67" s="928">
        <f t="shared" si="69"/>
        <v>14</v>
      </c>
      <c r="D67" s="929">
        <f t="shared" si="69"/>
        <v>2033</v>
      </c>
      <c r="E67" s="930">
        <f t="shared" si="70"/>
        <v>0</v>
      </c>
      <c r="F67" s="930">
        <f t="shared" si="60"/>
        <v>0</v>
      </c>
      <c r="G67" s="930">
        <f t="shared" si="40"/>
        <v>0</v>
      </c>
      <c r="H67" s="930">
        <f t="shared" si="41"/>
        <v>0</v>
      </c>
      <c r="I67" s="12"/>
      <c r="J67" s="12"/>
      <c r="K67" s="12"/>
      <c r="L67" s="928">
        <f t="shared" si="71"/>
        <v>14</v>
      </c>
      <c r="M67" s="929">
        <f t="shared" si="71"/>
        <v>2034</v>
      </c>
      <c r="N67" s="930">
        <f t="shared" si="72"/>
        <v>0</v>
      </c>
      <c r="O67" s="930">
        <f t="shared" si="61"/>
        <v>0</v>
      </c>
      <c r="P67" s="930">
        <f t="shared" si="42"/>
        <v>0</v>
      </c>
      <c r="Q67" s="930">
        <f t="shared" si="43"/>
        <v>0</v>
      </c>
      <c r="R67" s="12"/>
      <c r="S67" s="12"/>
      <c r="T67" s="12"/>
      <c r="U67" s="928">
        <f t="shared" si="73"/>
        <v>14</v>
      </c>
      <c r="V67" s="929">
        <f t="shared" si="73"/>
        <v>2035</v>
      </c>
      <c r="W67" s="930">
        <f t="shared" si="74"/>
        <v>0</v>
      </c>
      <c r="X67" s="930">
        <f t="shared" si="62"/>
        <v>0</v>
      </c>
      <c r="Y67" s="930">
        <f t="shared" si="44"/>
        <v>0</v>
      </c>
      <c r="Z67" s="930">
        <f t="shared" si="45"/>
        <v>0</v>
      </c>
      <c r="AA67" s="12"/>
      <c r="AB67" s="12"/>
      <c r="AC67" s="12"/>
      <c r="AD67" s="928">
        <f t="shared" si="75"/>
        <v>14</v>
      </c>
      <c r="AE67" s="929">
        <f t="shared" si="75"/>
        <v>2036</v>
      </c>
      <c r="AF67" s="930">
        <f t="shared" si="76"/>
        <v>0</v>
      </c>
      <c r="AG67" s="930">
        <f t="shared" si="63"/>
        <v>0</v>
      </c>
      <c r="AH67" s="930">
        <f t="shared" si="46"/>
        <v>0</v>
      </c>
      <c r="AI67" s="930">
        <f t="shared" si="47"/>
        <v>0</v>
      </c>
      <c r="AJ67" s="12"/>
      <c r="AK67" s="12"/>
      <c r="AL67" s="12"/>
      <c r="AM67" s="928">
        <f t="shared" si="77"/>
        <v>14</v>
      </c>
      <c r="AN67" s="929">
        <f t="shared" si="77"/>
        <v>2037</v>
      </c>
      <c r="AO67" s="930">
        <f t="shared" si="78"/>
        <v>0</v>
      </c>
      <c r="AP67" s="930">
        <f t="shared" si="64"/>
        <v>0</v>
      </c>
      <c r="AQ67" s="930">
        <f t="shared" si="48"/>
        <v>0</v>
      </c>
      <c r="AR67" s="930">
        <f t="shared" si="49"/>
        <v>0</v>
      </c>
      <c r="AS67" s="12"/>
      <c r="AT67" s="12"/>
      <c r="AU67" s="12"/>
      <c r="AV67" s="928">
        <f t="shared" si="79"/>
        <v>14</v>
      </c>
      <c r="AW67" s="929">
        <f t="shared" si="79"/>
        <v>2038</v>
      </c>
      <c r="AX67" s="930">
        <f t="shared" si="80"/>
        <v>0</v>
      </c>
      <c r="AY67" s="930">
        <f t="shared" si="65"/>
        <v>0</v>
      </c>
      <c r="AZ67" s="930">
        <f t="shared" si="50"/>
        <v>0</v>
      </c>
      <c r="BA67" s="930">
        <f t="shared" si="51"/>
        <v>0</v>
      </c>
      <c r="BB67" s="12"/>
      <c r="BC67" s="12"/>
      <c r="BD67" s="12"/>
      <c r="BE67" s="928">
        <f t="shared" si="81"/>
        <v>14</v>
      </c>
      <c r="BF67" s="929">
        <f t="shared" si="81"/>
        <v>2039</v>
      </c>
      <c r="BG67" s="930">
        <f t="shared" si="82"/>
        <v>0</v>
      </c>
      <c r="BH67" s="930">
        <f t="shared" si="66"/>
        <v>0</v>
      </c>
      <c r="BI67" s="930">
        <f t="shared" si="52"/>
        <v>0</v>
      </c>
      <c r="BJ67" s="930">
        <f t="shared" si="53"/>
        <v>0</v>
      </c>
      <c r="BK67" s="12"/>
      <c r="BL67" s="12"/>
      <c r="BM67" s="12"/>
      <c r="BN67" s="928">
        <f t="shared" si="83"/>
        <v>14</v>
      </c>
      <c r="BO67" s="929">
        <f t="shared" si="83"/>
        <v>2040</v>
      </c>
      <c r="BP67" s="930">
        <f t="shared" si="84"/>
        <v>0</v>
      </c>
      <c r="BQ67" s="930">
        <f t="shared" si="67"/>
        <v>0</v>
      </c>
      <c r="BR67" s="930">
        <f t="shared" si="54"/>
        <v>0</v>
      </c>
      <c r="BS67" s="930">
        <f t="shared" si="55"/>
        <v>0</v>
      </c>
      <c r="BT67" s="12"/>
      <c r="BU67" s="12"/>
      <c r="BV67" s="12"/>
      <c r="BW67" s="928">
        <f t="shared" si="85"/>
        <v>14</v>
      </c>
      <c r="BX67" s="929">
        <f t="shared" si="85"/>
        <v>2041</v>
      </c>
      <c r="BY67" s="930">
        <f t="shared" si="86"/>
        <v>0</v>
      </c>
      <c r="BZ67" s="930">
        <f t="shared" si="68"/>
        <v>0</v>
      </c>
      <c r="CA67" s="930">
        <f t="shared" si="56"/>
        <v>0</v>
      </c>
      <c r="CB67" s="930">
        <f t="shared" si="57"/>
        <v>0</v>
      </c>
      <c r="CC67" s="12"/>
      <c r="CD67" s="12"/>
      <c r="CE67" s="12"/>
      <c r="CF67" s="928">
        <f t="shared" si="87"/>
        <v>14</v>
      </c>
      <c r="CG67" s="929">
        <f t="shared" si="87"/>
        <v>2042</v>
      </c>
      <c r="CH67" s="930">
        <f t="shared" si="88"/>
        <v>0</v>
      </c>
      <c r="CI67" s="930">
        <f t="shared" si="89"/>
        <v>0</v>
      </c>
      <c r="CJ67" s="930">
        <f t="shared" si="58"/>
        <v>0</v>
      </c>
      <c r="CK67" s="930">
        <f t="shared" si="59"/>
        <v>0</v>
      </c>
      <c r="CL67" s="12"/>
      <c r="CM67" s="182"/>
    </row>
    <row r="68" spans="1:91" x14ac:dyDescent="0.25">
      <c r="A68" s="12"/>
      <c r="B68" s="12"/>
      <c r="C68" s="928">
        <f t="shared" si="69"/>
        <v>15</v>
      </c>
      <c r="D68" s="929">
        <f t="shared" si="69"/>
        <v>2034</v>
      </c>
      <c r="E68" s="930">
        <f t="shared" si="70"/>
        <v>0</v>
      </c>
      <c r="F68" s="930">
        <f t="shared" si="60"/>
        <v>0</v>
      </c>
      <c r="G68" s="930">
        <f t="shared" si="40"/>
        <v>0</v>
      </c>
      <c r="H68" s="930">
        <f t="shared" si="41"/>
        <v>0</v>
      </c>
      <c r="I68" s="12"/>
      <c r="J68" s="12"/>
      <c r="K68" s="12"/>
      <c r="L68" s="928">
        <f t="shared" si="71"/>
        <v>15</v>
      </c>
      <c r="M68" s="929">
        <f t="shared" si="71"/>
        <v>2035</v>
      </c>
      <c r="N68" s="930">
        <f t="shared" si="72"/>
        <v>0</v>
      </c>
      <c r="O68" s="930">
        <f t="shared" si="61"/>
        <v>0</v>
      </c>
      <c r="P68" s="930">
        <f t="shared" si="42"/>
        <v>0</v>
      </c>
      <c r="Q68" s="930">
        <f t="shared" si="43"/>
        <v>0</v>
      </c>
      <c r="R68" s="12"/>
      <c r="S68" s="12"/>
      <c r="T68" s="12"/>
      <c r="U68" s="928">
        <f t="shared" si="73"/>
        <v>15</v>
      </c>
      <c r="V68" s="929">
        <f t="shared" si="73"/>
        <v>2036</v>
      </c>
      <c r="W68" s="930">
        <f t="shared" si="74"/>
        <v>0</v>
      </c>
      <c r="X68" s="930">
        <f t="shared" si="62"/>
        <v>0</v>
      </c>
      <c r="Y68" s="930">
        <f t="shared" si="44"/>
        <v>0</v>
      </c>
      <c r="Z68" s="930">
        <f t="shared" si="45"/>
        <v>0</v>
      </c>
      <c r="AA68" s="12"/>
      <c r="AB68" s="12"/>
      <c r="AC68" s="12"/>
      <c r="AD68" s="928">
        <f t="shared" si="75"/>
        <v>15</v>
      </c>
      <c r="AE68" s="929">
        <f t="shared" si="75"/>
        <v>2037</v>
      </c>
      <c r="AF68" s="930">
        <f t="shared" si="76"/>
        <v>0</v>
      </c>
      <c r="AG68" s="930">
        <f t="shared" si="63"/>
        <v>0</v>
      </c>
      <c r="AH68" s="930">
        <f t="shared" si="46"/>
        <v>0</v>
      </c>
      <c r="AI68" s="930">
        <f t="shared" si="47"/>
        <v>0</v>
      </c>
      <c r="AJ68" s="12"/>
      <c r="AK68" s="12"/>
      <c r="AL68" s="12"/>
      <c r="AM68" s="928">
        <f t="shared" si="77"/>
        <v>15</v>
      </c>
      <c r="AN68" s="929">
        <f t="shared" si="77"/>
        <v>2038</v>
      </c>
      <c r="AO68" s="930">
        <f t="shared" si="78"/>
        <v>0</v>
      </c>
      <c r="AP68" s="930">
        <f t="shared" si="64"/>
        <v>0</v>
      </c>
      <c r="AQ68" s="930">
        <f t="shared" si="48"/>
        <v>0</v>
      </c>
      <c r="AR68" s="930">
        <f t="shared" si="49"/>
        <v>0</v>
      </c>
      <c r="AS68" s="12"/>
      <c r="AT68" s="12"/>
      <c r="AU68" s="12"/>
      <c r="AV68" s="928">
        <f t="shared" si="79"/>
        <v>15</v>
      </c>
      <c r="AW68" s="929">
        <f t="shared" si="79"/>
        <v>2039</v>
      </c>
      <c r="AX68" s="930">
        <f t="shared" si="80"/>
        <v>0</v>
      </c>
      <c r="AY68" s="930">
        <f t="shared" si="65"/>
        <v>0</v>
      </c>
      <c r="AZ68" s="930">
        <f t="shared" si="50"/>
        <v>0</v>
      </c>
      <c r="BA68" s="930">
        <f t="shared" si="51"/>
        <v>0</v>
      </c>
      <c r="BB68" s="12"/>
      <c r="BC68" s="12"/>
      <c r="BD68" s="12"/>
      <c r="BE68" s="928">
        <f t="shared" si="81"/>
        <v>15</v>
      </c>
      <c r="BF68" s="929">
        <f t="shared" si="81"/>
        <v>2040</v>
      </c>
      <c r="BG68" s="930">
        <f t="shared" si="82"/>
        <v>0</v>
      </c>
      <c r="BH68" s="930">
        <f t="shared" si="66"/>
        <v>0</v>
      </c>
      <c r="BI68" s="930">
        <f t="shared" si="52"/>
        <v>0</v>
      </c>
      <c r="BJ68" s="930">
        <f t="shared" si="53"/>
        <v>0</v>
      </c>
      <c r="BK68" s="12"/>
      <c r="BL68" s="12"/>
      <c r="BM68" s="12"/>
      <c r="BN68" s="928">
        <f t="shared" si="83"/>
        <v>15</v>
      </c>
      <c r="BO68" s="929">
        <f t="shared" si="83"/>
        <v>2041</v>
      </c>
      <c r="BP68" s="930">
        <f t="shared" si="84"/>
        <v>0</v>
      </c>
      <c r="BQ68" s="930">
        <f t="shared" si="67"/>
        <v>0</v>
      </c>
      <c r="BR68" s="930">
        <f t="shared" si="54"/>
        <v>0</v>
      </c>
      <c r="BS68" s="930">
        <f t="shared" si="55"/>
        <v>0</v>
      </c>
      <c r="BT68" s="12"/>
      <c r="BU68" s="12"/>
      <c r="BV68" s="12"/>
      <c r="BW68" s="928">
        <f t="shared" si="85"/>
        <v>15</v>
      </c>
      <c r="BX68" s="929">
        <f t="shared" si="85"/>
        <v>2042</v>
      </c>
      <c r="BY68" s="930">
        <f t="shared" si="86"/>
        <v>0</v>
      </c>
      <c r="BZ68" s="930">
        <f t="shared" si="68"/>
        <v>0</v>
      </c>
      <c r="CA68" s="930">
        <f t="shared" si="56"/>
        <v>0</v>
      </c>
      <c r="CB68" s="930">
        <f t="shared" si="57"/>
        <v>0</v>
      </c>
      <c r="CC68" s="12"/>
      <c r="CD68" s="12"/>
      <c r="CE68" s="12"/>
      <c r="CF68" s="928">
        <f t="shared" si="87"/>
        <v>15</v>
      </c>
      <c r="CG68" s="929">
        <f t="shared" si="87"/>
        <v>2043</v>
      </c>
      <c r="CH68" s="930">
        <f t="shared" si="88"/>
        <v>0</v>
      </c>
      <c r="CI68" s="930">
        <f t="shared" si="89"/>
        <v>0</v>
      </c>
      <c r="CJ68" s="930">
        <f t="shared" si="58"/>
        <v>0</v>
      </c>
      <c r="CK68" s="930">
        <f t="shared" si="59"/>
        <v>0</v>
      </c>
      <c r="CL68" s="12"/>
      <c r="CM68" s="182"/>
    </row>
    <row r="69" spans="1:91" x14ac:dyDescent="0.25">
      <c r="A69" s="12"/>
      <c r="B69" s="12"/>
      <c r="C69" s="928">
        <f t="shared" si="69"/>
        <v>16</v>
      </c>
      <c r="D69" s="929">
        <f t="shared" si="69"/>
        <v>2035</v>
      </c>
      <c r="E69" s="930">
        <f t="shared" si="70"/>
        <v>0</v>
      </c>
      <c r="F69" s="930">
        <f t="shared" si="60"/>
        <v>0</v>
      </c>
      <c r="G69" s="930">
        <f t="shared" si="40"/>
        <v>0</v>
      </c>
      <c r="H69" s="930">
        <f t="shared" si="41"/>
        <v>0</v>
      </c>
      <c r="I69" s="12"/>
      <c r="J69" s="12"/>
      <c r="K69" s="12"/>
      <c r="L69" s="928">
        <f t="shared" si="71"/>
        <v>16</v>
      </c>
      <c r="M69" s="929">
        <f t="shared" si="71"/>
        <v>2036</v>
      </c>
      <c r="N69" s="930">
        <f t="shared" si="72"/>
        <v>0</v>
      </c>
      <c r="O69" s="930">
        <f t="shared" si="61"/>
        <v>0</v>
      </c>
      <c r="P69" s="930">
        <f t="shared" si="42"/>
        <v>0</v>
      </c>
      <c r="Q69" s="930">
        <f t="shared" si="43"/>
        <v>0</v>
      </c>
      <c r="R69" s="12"/>
      <c r="S69" s="12"/>
      <c r="T69" s="12"/>
      <c r="U69" s="928">
        <f t="shared" si="73"/>
        <v>16</v>
      </c>
      <c r="V69" s="929">
        <f t="shared" si="73"/>
        <v>2037</v>
      </c>
      <c r="W69" s="930">
        <f t="shared" si="74"/>
        <v>0</v>
      </c>
      <c r="X69" s="930">
        <f t="shared" si="62"/>
        <v>0</v>
      </c>
      <c r="Y69" s="930">
        <f t="shared" si="44"/>
        <v>0</v>
      </c>
      <c r="Z69" s="930">
        <f t="shared" si="45"/>
        <v>0</v>
      </c>
      <c r="AA69" s="12"/>
      <c r="AB69" s="12"/>
      <c r="AC69" s="12"/>
      <c r="AD69" s="928">
        <f t="shared" si="75"/>
        <v>16</v>
      </c>
      <c r="AE69" s="929">
        <f t="shared" si="75"/>
        <v>2038</v>
      </c>
      <c r="AF69" s="930">
        <f t="shared" si="76"/>
        <v>0</v>
      </c>
      <c r="AG69" s="930">
        <f t="shared" si="63"/>
        <v>0</v>
      </c>
      <c r="AH69" s="930">
        <f t="shared" si="46"/>
        <v>0</v>
      </c>
      <c r="AI69" s="930">
        <f t="shared" si="47"/>
        <v>0</v>
      </c>
      <c r="AJ69" s="12"/>
      <c r="AK69" s="12"/>
      <c r="AL69" s="12"/>
      <c r="AM69" s="928">
        <f t="shared" si="77"/>
        <v>16</v>
      </c>
      <c r="AN69" s="929">
        <f t="shared" si="77"/>
        <v>2039</v>
      </c>
      <c r="AO69" s="930">
        <f t="shared" si="78"/>
        <v>0</v>
      </c>
      <c r="AP69" s="930">
        <f t="shared" si="64"/>
        <v>0</v>
      </c>
      <c r="AQ69" s="930">
        <f t="shared" si="48"/>
        <v>0</v>
      </c>
      <c r="AR69" s="930">
        <f t="shared" si="49"/>
        <v>0</v>
      </c>
      <c r="AS69" s="12"/>
      <c r="AT69" s="12"/>
      <c r="AU69" s="12"/>
      <c r="AV69" s="928">
        <f t="shared" si="79"/>
        <v>16</v>
      </c>
      <c r="AW69" s="929">
        <f t="shared" si="79"/>
        <v>2040</v>
      </c>
      <c r="AX69" s="930">
        <f t="shared" si="80"/>
        <v>0</v>
      </c>
      <c r="AY69" s="930">
        <f t="shared" si="65"/>
        <v>0</v>
      </c>
      <c r="AZ69" s="930">
        <f t="shared" si="50"/>
        <v>0</v>
      </c>
      <c r="BA69" s="930">
        <f t="shared" si="51"/>
        <v>0</v>
      </c>
      <c r="BB69" s="12"/>
      <c r="BC69" s="12"/>
      <c r="BD69" s="12"/>
      <c r="BE69" s="928">
        <f t="shared" si="81"/>
        <v>16</v>
      </c>
      <c r="BF69" s="929">
        <f t="shared" si="81"/>
        <v>2041</v>
      </c>
      <c r="BG69" s="930">
        <f t="shared" si="82"/>
        <v>0</v>
      </c>
      <c r="BH69" s="930">
        <f t="shared" si="66"/>
        <v>0</v>
      </c>
      <c r="BI69" s="930">
        <f t="shared" si="52"/>
        <v>0</v>
      </c>
      <c r="BJ69" s="930">
        <f t="shared" si="53"/>
        <v>0</v>
      </c>
      <c r="BK69" s="12"/>
      <c r="BL69" s="12"/>
      <c r="BM69" s="12"/>
      <c r="BN69" s="928">
        <f t="shared" si="83"/>
        <v>16</v>
      </c>
      <c r="BO69" s="929">
        <f t="shared" si="83"/>
        <v>2042</v>
      </c>
      <c r="BP69" s="930">
        <f t="shared" si="84"/>
        <v>0</v>
      </c>
      <c r="BQ69" s="930">
        <f t="shared" si="67"/>
        <v>0</v>
      </c>
      <c r="BR69" s="930">
        <f t="shared" si="54"/>
        <v>0</v>
      </c>
      <c r="BS69" s="930">
        <f t="shared" si="55"/>
        <v>0</v>
      </c>
      <c r="BT69" s="12"/>
      <c r="BU69" s="12"/>
      <c r="BV69" s="12"/>
      <c r="BW69" s="928">
        <f t="shared" si="85"/>
        <v>16</v>
      </c>
      <c r="BX69" s="929">
        <f t="shared" si="85"/>
        <v>2043</v>
      </c>
      <c r="BY69" s="930">
        <f t="shared" si="86"/>
        <v>0</v>
      </c>
      <c r="BZ69" s="930">
        <f t="shared" si="68"/>
        <v>0</v>
      </c>
      <c r="CA69" s="930">
        <f t="shared" si="56"/>
        <v>0</v>
      </c>
      <c r="CB69" s="930">
        <f t="shared" si="57"/>
        <v>0</v>
      </c>
      <c r="CC69" s="12"/>
      <c r="CD69" s="12"/>
      <c r="CE69" s="12"/>
      <c r="CF69" s="928">
        <f t="shared" si="87"/>
        <v>16</v>
      </c>
      <c r="CG69" s="929">
        <f t="shared" si="87"/>
        <v>2044</v>
      </c>
      <c r="CH69" s="930">
        <f t="shared" si="88"/>
        <v>0</v>
      </c>
      <c r="CI69" s="930">
        <f t="shared" si="89"/>
        <v>0</v>
      </c>
      <c r="CJ69" s="930">
        <f t="shared" si="58"/>
        <v>0</v>
      </c>
      <c r="CK69" s="930">
        <f t="shared" si="59"/>
        <v>0</v>
      </c>
      <c r="CL69" s="12"/>
      <c r="CM69" s="182"/>
    </row>
    <row r="70" spans="1:9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82"/>
    </row>
    <row r="71" spans="1:91" x14ac:dyDescent="0.25">
      <c r="A71" s="12"/>
      <c r="B71" s="12"/>
      <c r="C71" s="2008" t="s">
        <v>257</v>
      </c>
      <c r="D71" s="2008"/>
      <c r="E71" s="2008"/>
      <c r="F71" s="2008"/>
      <c r="G71" s="12"/>
      <c r="H71" s="12"/>
      <c r="I71" s="12"/>
      <c r="J71" s="12"/>
      <c r="K71" s="12"/>
      <c r="L71" s="2008" t="s">
        <v>257</v>
      </c>
      <c r="M71" s="2008"/>
      <c r="N71" s="2008"/>
      <c r="O71" s="2008"/>
      <c r="P71" s="12"/>
      <c r="Q71" s="12"/>
      <c r="R71" s="12"/>
      <c r="S71" s="12"/>
      <c r="T71" s="12"/>
      <c r="U71" s="2008" t="s">
        <v>257</v>
      </c>
      <c r="V71" s="2008"/>
      <c r="W71" s="2008"/>
      <c r="X71" s="2008"/>
      <c r="Y71" s="12"/>
      <c r="Z71" s="12"/>
      <c r="AA71" s="12"/>
      <c r="AB71" s="12"/>
      <c r="AC71" s="12"/>
      <c r="AD71" s="2008" t="s">
        <v>257</v>
      </c>
      <c r="AE71" s="2008"/>
      <c r="AF71" s="2008"/>
      <c r="AG71" s="2008"/>
      <c r="AH71" s="12"/>
      <c r="AI71" s="12"/>
      <c r="AJ71" s="12"/>
      <c r="AK71" s="12"/>
      <c r="AL71" s="12"/>
      <c r="AM71" s="2008" t="s">
        <v>257</v>
      </c>
      <c r="AN71" s="2008"/>
      <c r="AO71" s="2008"/>
      <c r="AP71" s="2008"/>
      <c r="AQ71" s="12"/>
      <c r="AR71" s="12"/>
      <c r="AS71" s="12"/>
      <c r="AT71" s="12"/>
      <c r="AU71" s="12"/>
      <c r="AV71" s="2008" t="s">
        <v>257</v>
      </c>
      <c r="AW71" s="2008"/>
      <c r="AX71" s="2008"/>
      <c r="AY71" s="2008"/>
      <c r="AZ71" s="12"/>
      <c r="BA71" s="12"/>
      <c r="BB71" s="12"/>
      <c r="BC71" s="12"/>
      <c r="BD71" s="12"/>
      <c r="BE71" s="2008" t="s">
        <v>257</v>
      </c>
      <c r="BF71" s="2008"/>
      <c r="BG71" s="2008"/>
      <c r="BH71" s="2008"/>
      <c r="BI71" s="12"/>
      <c r="BJ71" s="12"/>
      <c r="BK71" s="12"/>
      <c r="BL71" s="12"/>
      <c r="BM71" s="12"/>
      <c r="BN71" s="2008" t="s">
        <v>257</v>
      </c>
      <c r="BO71" s="2008"/>
      <c r="BP71" s="2008"/>
      <c r="BQ71" s="2008"/>
      <c r="BR71" s="12"/>
      <c r="BS71" s="12"/>
      <c r="BT71" s="12"/>
      <c r="BU71" s="12"/>
      <c r="BV71" s="12"/>
      <c r="BW71" s="2008" t="s">
        <v>257</v>
      </c>
      <c r="BX71" s="2008"/>
      <c r="BY71" s="2008"/>
      <c r="BZ71" s="2008"/>
      <c r="CA71" s="12"/>
      <c r="CB71" s="12"/>
      <c r="CC71" s="12"/>
      <c r="CD71" s="12"/>
      <c r="CE71" s="12"/>
      <c r="CF71" s="2008" t="s">
        <v>257</v>
      </c>
      <c r="CG71" s="2008"/>
      <c r="CH71" s="2008"/>
      <c r="CI71" s="2008"/>
      <c r="CJ71" s="12"/>
      <c r="CK71" s="12"/>
      <c r="CL71" s="12"/>
      <c r="CM71" s="182"/>
    </row>
    <row r="72" spans="1:91" x14ac:dyDescent="0.25">
      <c r="A72" s="12"/>
      <c r="B72" s="12"/>
      <c r="C72" s="931"/>
      <c r="D72" s="932" t="s">
        <v>252</v>
      </c>
      <c r="E72" s="927" t="s">
        <v>258</v>
      </c>
      <c r="F72" s="927" t="s">
        <v>259</v>
      </c>
      <c r="G72" s="12"/>
      <c r="H72" s="12"/>
      <c r="I72" s="12"/>
      <c r="J72" s="12"/>
      <c r="K72" s="12"/>
      <c r="L72" s="931"/>
      <c r="M72" s="932" t="s">
        <v>252</v>
      </c>
      <c r="N72" s="927" t="s">
        <v>258</v>
      </c>
      <c r="O72" s="927" t="s">
        <v>259</v>
      </c>
      <c r="P72" s="12"/>
      <c r="Q72" s="12"/>
      <c r="R72" s="12"/>
      <c r="S72" s="12"/>
      <c r="T72" s="12"/>
      <c r="U72" s="931"/>
      <c r="V72" s="932" t="s">
        <v>252</v>
      </c>
      <c r="W72" s="927" t="s">
        <v>258</v>
      </c>
      <c r="X72" s="927" t="s">
        <v>259</v>
      </c>
      <c r="Y72" s="12"/>
      <c r="Z72" s="12"/>
      <c r="AA72" s="12"/>
      <c r="AB72" s="12"/>
      <c r="AC72" s="12"/>
      <c r="AD72" s="931"/>
      <c r="AE72" s="932" t="s">
        <v>252</v>
      </c>
      <c r="AF72" s="927" t="s">
        <v>258</v>
      </c>
      <c r="AG72" s="927" t="s">
        <v>259</v>
      </c>
      <c r="AH72" s="12"/>
      <c r="AI72" s="12"/>
      <c r="AJ72" s="12"/>
      <c r="AK72" s="12"/>
      <c r="AL72" s="12"/>
      <c r="AM72" s="931"/>
      <c r="AN72" s="932" t="s">
        <v>252</v>
      </c>
      <c r="AO72" s="927" t="s">
        <v>258</v>
      </c>
      <c r="AP72" s="927" t="s">
        <v>259</v>
      </c>
      <c r="AQ72" s="12"/>
      <c r="AR72" s="12"/>
      <c r="AS72" s="12"/>
      <c r="AT72" s="12"/>
      <c r="AU72" s="12"/>
      <c r="AV72" s="931"/>
      <c r="AW72" s="932" t="s">
        <v>252</v>
      </c>
      <c r="AX72" s="927" t="s">
        <v>258</v>
      </c>
      <c r="AY72" s="927" t="s">
        <v>259</v>
      </c>
      <c r="AZ72" s="12"/>
      <c r="BA72" s="12"/>
      <c r="BB72" s="12"/>
      <c r="BC72" s="12"/>
      <c r="BD72" s="12"/>
      <c r="BE72" s="931"/>
      <c r="BF72" s="932" t="s">
        <v>252</v>
      </c>
      <c r="BG72" s="927" t="s">
        <v>258</v>
      </c>
      <c r="BH72" s="927" t="s">
        <v>259</v>
      </c>
      <c r="BI72" s="12"/>
      <c r="BJ72" s="12"/>
      <c r="BK72" s="12"/>
      <c r="BL72" s="12"/>
      <c r="BM72" s="12"/>
      <c r="BN72" s="931"/>
      <c r="BO72" s="932" t="s">
        <v>252</v>
      </c>
      <c r="BP72" s="927" t="s">
        <v>258</v>
      </c>
      <c r="BQ72" s="927" t="s">
        <v>259</v>
      </c>
      <c r="BR72" s="12"/>
      <c r="BS72" s="12"/>
      <c r="BT72" s="12"/>
      <c r="BU72" s="12"/>
      <c r="BV72" s="12"/>
      <c r="BW72" s="931"/>
      <c r="BX72" s="932" t="s">
        <v>252</v>
      </c>
      <c r="BY72" s="927" t="s">
        <v>258</v>
      </c>
      <c r="BZ72" s="927" t="s">
        <v>259</v>
      </c>
      <c r="CA72" s="12"/>
      <c r="CB72" s="12"/>
      <c r="CC72" s="12"/>
      <c r="CD72" s="12"/>
      <c r="CE72" s="12"/>
      <c r="CF72" s="931"/>
      <c r="CG72" s="932" t="s">
        <v>252</v>
      </c>
      <c r="CH72" s="927" t="s">
        <v>258</v>
      </c>
      <c r="CI72" s="927" t="s">
        <v>259</v>
      </c>
      <c r="CJ72" s="12"/>
      <c r="CK72" s="12"/>
      <c r="CL72" s="12"/>
      <c r="CM72" s="182"/>
    </row>
    <row r="73" spans="1:91" x14ac:dyDescent="0.25">
      <c r="A73" s="12"/>
      <c r="B73" s="12"/>
      <c r="C73" s="928">
        <v>1</v>
      </c>
      <c r="D73" s="929">
        <f>E4</f>
        <v>2020</v>
      </c>
      <c r="E73" s="930">
        <f t="shared" ref="E73:E88" si="90">F54-E55</f>
        <v>0</v>
      </c>
      <c r="F73" s="930">
        <f t="shared" ref="F73:F88" si="91">E55</f>
        <v>0</v>
      </c>
      <c r="G73" s="12"/>
      <c r="H73" s="12"/>
      <c r="I73" s="12"/>
      <c r="J73" s="12"/>
      <c r="K73" s="12"/>
      <c r="L73" s="928">
        <v>1</v>
      </c>
      <c r="M73" s="929">
        <f>N4</f>
        <v>2021</v>
      </c>
      <c r="N73" s="930">
        <f t="shared" ref="N73:N88" si="92">O54-N55</f>
        <v>0</v>
      </c>
      <c r="O73" s="930">
        <f t="shared" ref="O73:O88" si="93">N55</f>
        <v>0</v>
      </c>
      <c r="P73" s="12"/>
      <c r="Q73" s="12"/>
      <c r="R73" s="12"/>
      <c r="S73" s="12"/>
      <c r="T73" s="12"/>
      <c r="U73" s="928">
        <v>1</v>
      </c>
      <c r="V73" s="929">
        <f>W4</f>
        <v>2022</v>
      </c>
      <c r="W73" s="930">
        <f t="shared" ref="W73:W88" si="94">X54-W55</f>
        <v>0</v>
      </c>
      <c r="X73" s="930">
        <f t="shared" ref="X73:X88" si="95">W55</f>
        <v>0</v>
      </c>
      <c r="Y73" s="12"/>
      <c r="Z73" s="12"/>
      <c r="AA73" s="12"/>
      <c r="AB73" s="12"/>
      <c r="AC73" s="12"/>
      <c r="AD73" s="928">
        <v>1</v>
      </c>
      <c r="AE73" s="929">
        <f>AF4</f>
        <v>2023</v>
      </c>
      <c r="AF73" s="930">
        <f t="shared" ref="AF73:AF88" si="96">AG54-AF55</f>
        <v>0</v>
      </c>
      <c r="AG73" s="930">
        <f t="shared" ref="AG73:AG88" si="97">AF55</f>
        <v>0</v>
      </c>
      <c r="AH73" s="12"/>
      <c r="AI73" s="12"/>
      <c r="AJ73" s="12"/>
      <c r="AK73" s="12"/>
      <c r="AL73" s="12"/>
      <c r="AM73" s="928">
        <v>1</v>
      </c>
      <c r="AN73" s="929">
        <f>AO4</f>
        <v>2024</v>
      </c>
      <c r="AO73" s="930">
        <f t="shared" ref="AO73:AO88" si="98">AP54-AO55</f>
        <v>0</v>
      </c>
      <c r="AP73" s="930">
        <f t="shared" ref="AP73:AP88" si="99">AO55</f>
        <v>0</v>
      </c>
      <c r="AQ73" s="12"/>
      <c r="AR73" s="12"/>
      <c r="AS73" s="12"/>
      <c r="AT73" s="12"/>
      <c r="AU73" s="12"/>
      <c r="AV73" s="928">
        <v>1</v>
      </c>
      <c r="AW73" s="929">
        <f>AX4</f>
        <v>2025</v>
      </c>
      <c r="AX73" s="930">
        <f t="shared" ref="AX73:AX88" si="100">AY54-AX55</f>
        <v>0</v>
      </c>
      <c r="AY73" s="930">
        <f t="shared" ref="AY73:AY88" si="101">AX55</f>
        <v>0</v>
      </c>
      <c r="AZ73" s="12"/>
      <c r="BA73" s="12"/>
      <c r="BB73" s="12"/>
      <c r="BC73" s="12"/>
      <c r="BD73" s="12"/>
      <c r="BE73" s="928">
        <v>1</v>
      </c>
      <c r="BF73" s="929">
        <f>BG4</f>
        <v>2026</v>
      </c>
      <c r="BG73" s="930">
        <f t="shared" ref="BG73:BG88" si="102">BH54-BG55</f>
        <v>0</v>
      </c>
      <c r="BH73" s="930">
        <f t="shared" ref="BH73:BH88" si="103">BG55</f>
        <v>0</v>
      </c>
      <c r="BI73" s="12"/>
      <c r="BJ73" s="12"/>
      <c r="BK73" s="12"/>
      <c r="BL73" s="12"/>
      <c r="BM73" s="12"/>
      <c r="BN73" s="928">
        <v>1</v>
      </c>
      <c r="BO73" s="929">
        <f>BP4</f>
        <v>2027</v>
      </c>
      <c r="BP73" s="930">
        <f t="shared" ref="BP73:BP88" si="104">BQ54-BP55</f>
        <v>0</v>
      </c>
      <c r="BQ73" s="930">
        <f t="shared" ref="BQ73:BQ88" si="105">BP55</f>
        <v>0</v>
      </c>
      <c r="BR73" s="12"/>
      <c r="BS73" s="12"/>
      <c r="BT73" s="12"/>
      <c r="BU73" s="12"/>
      <c r="BV73" s="12"/>
      <c r="BW73" s="928">
        <v>1</v>
      </c>
      <c r="BX73" s="929">
        <f>BY4</f>
        <v>2028</v>
      </c>
      <c r="BY73" s="930">
        <f t="shared" ref="BY73:BY88" si="106">BZ54-BY55</f>
        <v>0</v>
      </c>
      <c r="BZ73" s="930">
        <f t="shared" ref="BZ73:BZ88" si="107">BY55</f>
        <v>0</v>
      </c>
      <c r="CA73" s="12"/>
      <c r="CB73" s="12"/>
      <c r="CC73" s="12"/>
      <c r="CD73" s="12"/>
      <c r="CE73" s="12"/>
      <c r="CF73" s="928">
        <v>1</v>
      </c>
      <c r="CG73" s="929">
        <f>CH4</f>
        <v>2029</v>
      </c>
      <c r="CH73" s="930">
        <f t="shared" ref="CH73:CH88" si="108">CI54-CH55</f>
        <v>0</v>
      </c>
      <c r="CI73" s="930">
        <f t="shared" ref="CI73:CI88" si="109">CH55</f>
        <v>0</v>
      </c>
      <c r="CJ73" s="12"/>
      <c r="CK73" s="12"/>
      <c r="CL73" s="12"/>
      <c r="CM73" s="182"/>
    </row>
    <row r="74" spans="1:91" x14ac:dyDescent="0.25">
      <c r="A74" s="12"/>
      <c r="B74" s="12"/>
      <c r="C74" s="928">
        <f>C73+1</f>
        <v>2</v>
      </c>
      <c r="D74" s="929">
        <f>D73+1</f>
        <v>2021</v>
      </c>
      <c r="E74" s="930">
        <f t="shared" si="90"/>
        <v>0</v>
      </c>
      <c r="F74" s="930">
        <f t="shared" si="91"/>
        <v>0</v>
      </c>
      <c r="G74" s="12"/>
      <c r="H74" s="12"/>
      <c r="I74" s="12"/>
      <c r="J74" s="12"/>
      <c r="K74" s="12"/>
      <c r="L74" s="928">
        <f>L73+1</f>
        <v>2</v>
      </c>
      <c r="M74" s="929">
        <f>M73+1</f>
        <v>2022</v>
      </c>
      <c r="N74" s="930">
        <f t="shared" si="92"/>
        <v>0</v>
      </c>
      <c r="O74" s="930">
        <f t="shared" si="93"/>
        <v>0</v>
      </c>
      <c r="P74" s="12"/>
      <c r="Q74" s="12"/>
      <c r="R74" s="12"/>
      <c r="S74" s="12"/>
      <c r="T74" s="12"/>
      <c r="U74" s="928">
        <f>U73+1</f>
        <v>2</v>
      </c>
      <c r="V74" s="929">
        <f>V73+1</f>
        <v>2023</v>
      </c>
      <c r="W74" s="930">
        <f t="shared" si="94"/>
        <v>0</v>
      </c>
      <c r="X74" s="930">
        <f t="shared" si="95"/>
        <v>0</v>
      </c>
      <c r="Y74" s="12"/>
      <c r="Z74" s="12"/>
      <c r="AA74" s="12"/>
      <c r="AB74" s="12"/>
      <c r="AC74" s="12"/>
      <c r="AD74" s="928">
        <f>AD73+1</f>
        <v>2</v>
      </c>
      <c r="AE74" s="929">
        <f>AE73+1</f>
        <v>2024</v>
      </c>
      <c r="AF74" s="930">
        <f t="shared" si="96"/>
        <v>0</v>
      </c>
      <c r="AG74" s="930">
        <f t="shared" si="97"/>
        <v>0</v>
      </c>
      <c r="AH74" s="12"/>
      <c r="AI74" s="12"/>
      <c r="AJ74" s="12"/>
      <c r="AK74" s="12"/>
      <c r="AL74" s="12"/>
      <c r="AM74" s="928">
        <f>AM73+1</f>
        <v>2</v>
      </c>
      <c r="AN74" s="929">
        <f>AN73+1</f>
        <v>2025</v>
      </c>
      <c r="AO74" s="930">
        <f t="shared" si="98"/>
        <v>0</v>
      </c>
      <c r="AP74" s="930">
        <f t="shared" si="99"/>
        <v>0</v>
      </c>
      <c r="AQ74" s="12"/>
      <c r="AR74" s="12"/>
      <c r="AS74" s="12"/>
      <c r="AT74" s="12"/>
      <c r="AU74" s="12"/>
      <c r="AV74" s="928">
        <f>AV73+1</f>
        <v>2</v>
      </c>
      <c r="AW74" s="929">
        <f>AW73+1</f>
        <v>2026</v>
      </c>
      <c r="AX74" s="930">
        <f t="shared" si="100"/>
        <v>0</v>
      </c>
      <c r="AY74" s="930">
        <f t="shared" si="101"/>
        <v>0</v>
      </c>
      <c r="AZ74" s="12"/>
      <c r="BA74" s="12"/>
      <c r="BB74" s="12"/>
      <c r="BC74" s="12"/>
      <c r="BD74" s="12"/>
      <c r="BE74" s="928">
        <f>BE73+1</f>
        <v>2</v>
      </c>
      <c r="BF74" s="929">
        <f>BF73+1</f>
        <v>2027</v>
      </c>
      <c r="BG74" s="930">
        <f t="shared" si="102"/>
        <v>0</v>
      </c>
      <c r="BH74" s="930">
        <f t="shared" si="103"/>
        <v>0</v>
      </c>
      <c r="BI74" s="12"/>
      <c r="BJ74" s="12"/>
      <c r="BK74" s="12"/>
      <c r="BL74" s="12"/>
      <c r="BM74" s="12"/>
      <c r="BN74" s="928">
        <f>BN73+1</f>
        <v>2</v>
      </c>
      <c r="BO74" s="929">
        <f>BO73+1</f>
        <v>2028</v>
      </c>
      <c r="BP74" s="930">
        <f t="shared" si="104"/>
        <v>0</v>
      </c>
      <c r="BQ74" s="930">
        <f t="shared" si="105"/>
        <v>0</v>
      </c>
      <c r="BR74" s="12"/>
      <c r="BS74" s="12"/>
      <c r="BT74" s="12"/>
      <c r="BU74" s="12"/>
      <c r="BV74" s="12"/>
      <c r="BW74" s="928">
        <f>BW73+1</f>
        <v>2</v>
      </c>
      <c r="BX74" s="929">
        <f>BX73+1</f>
        <v>2029</v>
      </c>
      <c r="BY74" s="930">
        <f t="shared" si="106"/>
        <v>0</v>
      </c>
      <c r="BZ74" s="930">
        <f t="shared" si="107"/>
        <v>0</v>
      </c>
      <c r="CA74" s="12"/>
      <c r="CB74" s="12"/>
      <c r="CC74" s="12"/>
      <c r="CD74" s="12"/>
      <c r="CE74" s="12"/>
      <c r="CF74" s="928">
        <f>CF73+1</f>
        <v>2</v>
      </c>
      <c r="CG74" s="929">
        <f>CG73+1</f>
        <v>2030</v>
      </c>
      <c r="CH74" s="930">
        <f t="shared" si="108"/>
        <v>0</v>
      </c>
      <c r="CI74" s="930">
        <f t="shared" si="109"/>
        <v>0</v>
      </c>
      <c r="CJ74" s="12"/>
      <c r="CK74" s="12"/>
      <c r="CL74" s="12"/>
      <c r="CM74" s="182"/>
    </row>
    <row r="75" spans="1:91" x14ac:dyDescent="0.25">
      <c r="A75" s="12"/>
      <c r="B75" s="12"/>
      <c r="C75" s="928">
        <f t="shared" ref="C75:D88" si="110">C74+1</f>
        <v>3</v>
      </c>
      <c r="D75" s="929">
        <f>D74+1</f>
        <v>2022</v>
      </c>
      <c r="E75" s="930">
        <f t="shared" si="90"/>
        <v>0</v>
      </c>
      <c r="F75" s="930">
        <f t="shared" si="91"/>
        <v>0</v>
      </c>
      <c r="G75" s="12"/>
      <c r="H75" s="12"/>
      <c r="I75" s="12"/>
      <c r="J75" s="12"/>
      <c r="K75" s="12"/>
      <c r="L75" s="928">
        <f t="shared" ref="L75:M88" si="111">L74+1</f>
        <v>3</v>
      </c>
      <c r="M75" s="929">
        <f>M74+1</f>
        <v>2023</v>
      </c>
      <c r="N75" s="930">
        <f t="shared" si="92"/>
        <v>0</v>
      </c>
      <c r="O75" s="930">
        <f t="shared" si="93"/>
        <v>0</v>
      </c>
      <c r="P75" s="12"/>
      <c r="Q75" s="12"/>
      <c r="R75" s="12"/>
      <c r="S75" s="12"/>
      <c r="T75" s="12"/>
      <c r="U75" s="928">
        <f t="shared" ref="U75:V88" si="112">U74+1</f>
        <v>3</v>
      </c>
      <c r="V75" s="929">
        <f>V74+1</f>
        <v>2024</v>
      </c>
      <c r="W75" s="930">
        <f t="shared" si="94"/>
        <v>0</v>
      </c>
      <c r="X75" s="930">
        <f t="shared" si="95"/>
        <v>0</v>
      </c>
      <c r="Y75" s="12"/>
      <c r="Z75" s="12"/>
      <c r="AA75" s="12"/>
      <c r="AB75" s="12"/>
      <c r="AC75" s="12"/>
      <c r="AD75" s="928">
        <f t="shared" ref="AD75:AE88" si="113">AD74+1</f>
        <v>3</v>
      </c>
      <c r="AE75" s="929">
        <f>AE74+1</f>
        <v>2025</v>
      </c>
      <c r="AF75" s="930">
        <f t="shared" si="96"/>
        <v>0</v>
      </c>
      <c r="AG75" s="930">
        <f t="shared" si="97"/>
        <v>0</v>
      </c>
      <c r="AH75" s="12"/>
      <c r="AI75" s="12"/>
      <c r="AJ75" s="12"/>
      <c r="AK75" s="12"/>
      <c r="AL75" s="12"/>
      <c r="AM75" s="928">
        <f t="shared" ref="AM75:AN88" si="114">AM74+1</f>
        <v>3</v>
      </c>
      <c r="AN75" s="929">
        <f>AN74+1</f>
        <v>2026</v>
      </c>
      <c r="AO75" s="930">
        <f t="shared" si="98"/>
        <v>0</v>
      </c>
      <c r="AP75" s="930">
        <f t="shared" si="99"/>
        <v>0</v>
      </c>
      <c r="AQ75" s="12"/>
      <c r="AR75" s="12"/>
      <c r="AS75" s="12"/>
      <c r="AT75" s="12"/>
      <c r="AU75" s="12"/>
      <c r="AV75" s="928">
        <f t="shared" ref="AV75:AW88" si="115">AV74+1</f>
        <v>3</v>
      </c>
      <c r="AW75" s="929">
        <f>AW74+1</f>
        <v>2027</v>
      </c>
      <c r="AX75" s="930">
        <f t="shared" si="100"/>
        <v>0</v>
      </c>
      <c r="AY75" s="930">
        <f t="shared" si="101"/>
        <v>0</v>
      </c>
      <c r="AZ75" s="12"/>
      <c r="BA75" s="12"/>
      <c r="BB75" s="12"/>
      <c r="BC75" s="12"/>
      <c r="BD75" s="12"/>
      <c r="BE75" s="928">
        <f t="shared" ref="BE75:BF88" si="116">BE74+1</f>
        <v>3</v>
      </c>
      <c r="BF75" s="929">
        <f>BF74+1</f>
        <v>2028</v>
      </c>
      <c r="BG75" s="930">
        <f t="shared" si="102"/>
        <v>0</v>
      </c>
      <c r="BH75" s="930">
        <f t="shared" si="103"/>
        <v>0</v>
      </c>
      <c r="BI75" s="12"/>
      <c r="BJ75" s="12"/>
      <c r="BK75" s="12"/>
      <c r="BL75" s="12"/>
      <c r="BM75" s="12"/>
      <c r="BN75" s="928">
        <f t="shared" ref="BN75:BO88" si="117">BN74+1</f>
        <v>3</v>
      </c>
      <c r="BO75" s="929">
        <f>BO74+1</f>
        <v>2029</v>
      </c>
      <c r="BP75" s="930">
        <f t="shared" si="104"/>
        <v>0</v>
      </c>
      <c r="BQ75" s="930">
        <f t="shared" si="105"/>
        <v>0</v>
      </c>
      <c r="BR75" s="12"/>
      <c r="BS75" s="12"/>
      <c r="BT75" s="12"/>
      <c r="BU75" s="12"/>
      <c r="BV75" s="12"/>
      <c r="BW75" s="928">
        <f t="shared" ref="BW75:BX88" si="118">BW74+1</f>
        <v>3</v>
      </c>
      <c r="BX75" s="929">
        <f>BX74+1</f>
        <v>2030</v>
      </c>
      <c r="BY75" s="930">
        <f t="shared" si="106"/>
        <v>0</v>
      </c>
      <c r="BZ75" s="930">
        <f t="shared" si="107"/>
        <v>0</v>
      </c>
      <c r="CA75" s="12"/>
      <c r="CB75" s="12"/>
      <c r="CC75" s="12"/>
      <c r="CD75" s="12"/>
      <c r="CE75" s="12"/>
      <c r="CF75" s="928">
        <f t="shared" ref="CF75:CG88" si="119">CF74+1</f>
        <v>3</v>
      </c>
      <c r="CG75" s="929">
        <f>CG74+1</f>
        <v>2031</v>
      </c>
      <c r="CH75" s="930">
        <f t="shared" si="108"/>
        <v>0</v>
      </c>
      <c r="CI75" s="930">
        <f t="shared" si="109"/>
        <v>0</v>
      </c>
      <c r="CJ75" s="12"/>
      <c r="CK75" s="12"/>
      <c r="CL75" s="12"/>
      <c r="CM75" s="182"/>
    </row>
    <row r="76" spans="1:91" x14ac:dyDescent="0.25">
      <c r="A76" s="12"/>
      <c r="B76" s="12"/>
      <c r="C76" s="928">
        <f t="shared" si="110"/>
        <v>4</v>
      </c>
      <c r="D76" s="929">
        <f t="shared" si="110"/>
        <v>2023</v>
      </c>
      <c r="E76" s="930">
        <f t="shared" si="90"/>
        <v>0</v>
      </c>
      <c r="F76" s="930">
        <f t="shared" si="91"/>
        <v>0</v>
      </c>
      <c r="G76" s="12"/>
      <c r="H76" s="12"/>
      <c r="I76" s="12"/>
      <c r="J76" s="12"/>
      <c r="K76" s="12"/>
      <c r="L76" s="928">
        <f t="shared" si="111"/>
        <v>4</v>
      </c>
      <c r="M76" s="929">
        <f t="shared" si="111"/>
        <v>2024</v>
      </c>
      <c r="N76" s="930">
        <f t="shared" si="92"/>
        <v>0</v>
      </c>
      <c r="O76" s="930">
        <f t="shared" si="93"/>
        <v>0</v>
      </c>
      <c r="P76" s="12"/>
      <c r="Q76" s="12"/>
      <c r="R76" s="12"/>
      <c r="S76" s="12"/>
      <c r="T76" s="12"/>
      <c r="U76" s="928">
        <f t="shared" si="112"/>
        <v>4</v>
      </c>
      <c r="V76" s="929">
        <f t="shared" si="112"/>
        <v>2025</v>
      </c>
      <c r="W76" s="930">
        <f t="shared" si="94"/>
        <v>0</v>
      </c>
      <c r="X76" s="930">
        <f t="shared" si="95"/>
        <v>0</v>
      </c>
      <c r="Y76" s="12"/>
      <c r="Z76" s="12"/>
      <c r="AA76" s="12"/>
      <c r="AB76" s="12"/>
      <c r="AC76" s="12"/>
      <c r="AD76" s="928">
        <f t="shared" si="113"/>
        <v>4</v>
      </c>
      <c r="AE76" s="929">
        <f t="shared" si="113"/>
        <v>2026</v>
      </c>
      <c r="AF76" s="930">
        <f t="shared" si="96"/>
        <v>0</v>
      </c>
      <c r="AG76" s="930">
        <f t="shared" si="97"/>
        <v>0</v>
      </c>
      <c r="AH76" s="12"/>
      <c r="AI76" s="12"/>
      <c r="AJ76" s="12"/>
      <c r="AK76" s="12"/>
      <c r="AL76" s="12"/>
      <c r="AM76" s="928">
        <f t="shared" si="114"/>
        <v>4</v>
      </c>
      <c r="AN76" s="929">
        <f t="shared" si="114"/>
        <v>2027</v>
      </c>
      <c r="AO76" s="930">
        <f t="shared" si="98"/>
        <v>0</v>
      </c>
      <c r="AP76" s="930">
        <f t="shared" si="99"/>
        <v>0</v>
      </c>
      <c r="AQ76" s="12"/>
      <c r="AR76" s="12"/>
      <c r="AS76" s="12"/>
      <c r="AT76" s="12"/>
      <c r="AU76" s="12"/>
      <c r="AV76" s="928">
        <f t="shared" si="115"/>
        <v>4</v>
      </c>
      <c r="AW76" s="929">
        <f t="shared" si="115"/>
        <v>2028</v>
      </c>
      <c r="AX76" s="930">
        <f t="shared" si="100"/>
        <v>0</v>
      </c>
      <c r="AY76" s="930">
        <f t="shared" si="101"/>
        <v>0</v>
      </c>
      <c r="AZ76" s="12"/>
      <c r="BA76" s="12"/>
      <c r="BB76" s="12"/>
      <c r="BC76" s="12"/>
      <c r="BD76" s="12"/>
      <c r="BE76" s="928">
        <f t="shared" si="116"/>
        <v>4</v>
      </c>
      <c r="BF76" s="929">
        <f t="shared" si="116"/>
        <v>2029</v>
      </c>
      <c r="BG76" s="930">
        <f t="shared" si="102"/>
        <v>0</v>
      </c>
      <c r="BH76" s="930">
        <f t="shared" si="103"/>
        <v>0</v>
      </c>
      <c r="BI76" s="12"/>
      <c r="BJ76" s="12"/>
      <c r="BK76" s="12"/>
      <c r="BL76" s="12"/>
      <c r="BM76" s="12"/>
      <c r="BN76" s="928">
        <f t="shared" si="117"/>
        <v>4</v>
      </c>
      <c r="BO76" s="929">
        <f t="shared" si="117"/>
        <v>2030</v>
      </c>
      <c r="BP76" s="930">
        <f t="shared" si="104"/>
        <v>0</v>
      </c>
      <c r="BQ76" s="930">
        <f t="shared" si="105"/>
        <v>0</v>
      </c>
      <c r="BR76" s="12"/>
      <c r="BS76" s="12"/>
      <c r="BT76" s="12"/>
      <c r="BU76" s="12"/>
      <c r="BV76" s="12"/>
      <c r="BW76" s="928">
        <f t="shared" si="118"/>
        <v>4</v>
      </c>
      <c r="BX76" s="929">
        <f t="shared" si="118"/>
        <v>2031</v>
      </c>
      <c r="BY76" s="930">
        <f t="shared" si="106"/>
        <v>0</v>
      </c>
      <c r="BZ76" s="930">
        <f t="shared" si="107"/>
        <v>0</v>
      </c>
      <c r="CA76" s="12"/>
      <c r="CB76" s="12"/>
      <c r="CC76" s="12"/>
      <c r="CD76" s="12"/>
      <c r="CE76" s="12"/>
      <c r="CF76" s="928">
        <f t="shared" si="119"/>
        <v>4</v>
      </c>
      <c r="CG76" s="929">
        <f t="shared" si="119"/>
        <v>2032</v>
      </c>
      <c r="CH76" s="930">
        <f t="shared" si="108"/>
        <v>0</v>
      </c>
      <c r="CI76" s="930">
        <f t="shared" si="109"/>
        <v>0</v>
      </c>
      <c r="CJ76" s="12"/>
      <c r="CK76" s="12"/>
      <c r="CL76" s="12"/>
      <c r="CM76" s="182"/>
    </row>
    <row r="77" spans="1:91" x14ac:dyDescent="0.25">
      <c r="A77" s="12"/>
      <c r="B77" s="12"/>
      <c r="C77" s="928">
        <f t="shared" si="110"/>
        <v>5</v>
      </c>
      <c r="D77" s="929">
        <f t="shared" si="110"/>
        <v>2024</v>
      </c>
      <c r="E77" s="930">
        <f t="shared" si="90"/>
        <v>0</v>
      </c>
      <c r="F77" s="930">
        <f t="shared" si="91"/>
        <v>0</v>
      </c>
      <c r="G77" s="12"/>
      <c r="H77" s="12"/>
      <c r="I77" s="12"/>
      <c r="J77" s="12"/>
      <c r="K77" s="12"/>
      <c r="L77" s="928">
        <f t="shared" si="111"/>
        <v>5</v>
      </c>
      <c r="M77" s="929">
        <f t="shared" si="111"/>
        <v>2025</v>
      </c>
      <c r="N77" s="930">
        <f t="shared" si="92"/>
        <v>0</v>
      </c>
      <c r="O77" s="930">
        <f t="shared" si="93"/>
        <v>0</v>
      </c>
      <c r="P77" s="12"/>
      <c r="Q77" s="12"/>
      <c r="R77" s="12"/>
      <c r="S77" s="12"/>
      <c r="T77" s="12"/>
      <c r="U77" s="928">
        <f t="shared" si="112"/>
        <v>5</v>
      </c>
      <c r="V77" s="929">
        <f t="shared" si="112"/>
        <v>2026</v>
      </c>
      <c r="W77" s="930">
        <f t="shared" si="94"/>
        <v>0</v>
      </c>
      <c r="X77" s="930">
        <f t="shared" si="95"/>
        <v>0</v>
      </c>
      <c r="Y77" s="12"/>
      <c r="Z77" s="12"/>
      <c r="AA77" s="12"/>
      <c r="AB77" s="12"/>
      <c r="AC77" s="12"/>
      <c r="AD77" s="928">
        <f t="shared" si="113"/>
        <v>5</v>
      </c>
      <c r="AE77" s="929">
        <f t="shared" si="113"/>
        <v>2027</v>
      </c>
      <c r="AF77" s="930">
        <f t="shared" si="96"/>
        <v>0</v>
      </c>
      <c r="AG77" s="930">
        <f t="shared" si="97"/>
        <v>0</v>
      </c>
      <c r="AH77" s="12"/>
      <c r="AI77" s="12"/>
      <c r="AJ77" s="12"/>
      <c r="AK77" s="12"/>
      <c r="AL77" s="12"/>
      <c r="AM77" s="928">
        <f t="shared" si="114"/>
        <v>5</v>
      </c>
      <c r="AN77" s="929">
        <f t="shared" si="114"/>
        <v>2028</v>
      </c>
      <c r="AO77" s="930">
        <f t="shared" si="98"/>
        <v>0</v>
      </c>
      <c r="AP77" s="930">
        <f t="shared" si="99"/>
        <v>0</v>
      </c>
      <c r="AQ77" s="12"/>
      <c r="AR77" s="12"/>
      <c r="AS77" s="12"/>
      <c r="AT77" s="12"/>
      <c r="AU77" s="12"/>
      <c r="AV77" s="928">
        <f t="shared" si="115"/>
        <v>5</v>
      </c>
      <c r="AW77" s="929">
        <f t="shared" si="115"/>
        <v>2029</v>
      </c>
      <c r="AX77" s="930">
        <f t="shared" si="100"/>
        <v>0</v>
      </c>
      <c r="AY77" s="930">
        <f t="shared" si="101"/>
        <v>0</v>
      </c>
      <c r="AZ77" s="12"/>
      <c r="BA77" s="12"/>
      <c r="BB77" s="12"/>
      <c r="BC77" s="12"/>
      <c r="BD77" s="12"/>
      <c r="BE77" s="928">
        <f t="shared" si="116"/>
        <v>5</v>
      </c>
      <c r="BF77" s="929">
        <f t="shared" si="116"/>
        <v>2030</v>
      </c>
      <c r="BG77" s="930">
        <f t="shared" si="102"/>
        <v>0</v>
      </c>
      <c r="BH77" s="930">
        <f t="shared" si="103"/>
        <v>0</v>
      </c>
      <c r="BI77" s="12"/>
      <c r="BJ77" s="12"/>
      <c r="BK77" s="12"/>
      <c r="BL77" s="12"/>
      <c r="BM77" s="12"/>
      <c r="BN77" s="928">
        <f t="shared" si="117"/>
        <v>5</v>
      </c>
      <c r="BO77" s="929">
        <f t="shared" si="117"/>
        <v>2031</v>
      </c>
      <c r="BP77" s="930">
        <f t="shared" si="104"/>
        <v>0</v>
      </c>
      <c r="BQ77" s="930">
        <f t="shared" si="105"/>
        <v>0</v>
      </c>
      <c r="BR77" s="12"/>
      <c r="BS77" s="12"/>
      <c r="BT77" s="12"/>
      <c r="BU77" s="12"/>
      <c r="BV77" s="12"/>
      <c r="BW77" s="928">
        <f t="shared" si="118"/>
        <v>5</v>
      </c>
      <c r="BX77" s="929">
        <f t="shared" si="118"/>
        <v>2032</v>
      </c>
      <c r="BY77" s="930">
        <f t="shared" si="106"/>
        <v>0</v>
      </c>
      <c r="BZ77" s="930">
        <f t="shared" si="107"/>
        <v>0</v>
      </c>
      <c r="CA77" s="12"/>
      <c r="CB77" s="12"/>
      <c r="CC77" s="12"/>
      <c r="CD77" s="12"/>
      <c r="CE77" s="12"/>
      <c r="CF77" s="928">
        <f t="shared" si="119"/>
        <v>5</v>
      </c>
      <c r="CG77" s="929">
        <f t="shared" si="119"/>
        <v>2033</v>
      </c>
      <c r="CH77" s="930">
        <f t="shared" si="108"/>
        <v>0</v>
      </c>
      <c r="CI77" s="930">
        <f t="shared" si="109"/>
        <v>0</v>
      </c>
      <c r="CJ77" s="12"/>
      <c r="CK77" s="12"/>
      <c r="CL77" s="12"/>
      <c r="CM77" s="182"/>
    </row>
    <row r="78" spans="1:91" x14ac:dyDescent="0.25">
      <c r="A78" s="12"/>
      <c r="B78" s="12"/>
      <c r="C78" s="928">
        <f t="shared" si="110"/>
        <v>6</v>
      </c>
      <c r="D78" s="929">
        <f t="shared" si="110"/>
        <v>2025</v>
      </c>
      <c r="E78" s="930">
        <f t="shared" si="90"/>
        <v>0</v>
      </c>
      <c r="F78" s="930">
        <f t="shared" si="91"/>
        <v>0</v>
      </c>
      <c r="G78" s="12"/>
      <c r="H78" s="12"/>
      <c r="I78" s="12"/>
      <c r="J78" s="12"/>
      <c r="K78" s="12"/>
      <c r="L78" s="928">
        <f t="shared" si="111"/>
        <v>6</v>
      </c>
      <c r="M78" s="929">
        <f t="shared" si="111"/>
        <v>2026</v>
      </c>
      <c r="N78" s="930">
        <f t="shared" si="92"/>
        <v>0</v>
      </c>
      <c r="O78" s="930">
        <f t="shared" si="93"/>
        <v>0</v>
      </c>
      <c r="P78" s="12"/>
      <c r="Q78" s="12"/>
      <c r="R78" s="12"/>
      <c r="S78" s="12"/>
      <c r="T78" s="12"/>
      <c r="U78" s="928">
        <f t="shared" si="112"/>
        <v>6</v>
      </c>
      <c r="V78" s="929">
        <f t="shared" si="112"/>
        <v>2027</v>
      </c>
      <c r="W78" s="930">
        <f t="shared" si="94"/>
        <v>0</v>
      </c>
      <c r="X78" s="930">
        <f t="shared" si="95"/>
        <v>0</v>
      </c>
      <c r="Y78" s="12"/>
      <c r="Z78" s="12"/>
      <c r="AA78" s="12"/>
      <c r="AB78" s="12"/>
      <c r="AC78" s="12"/>
      <c r="AD78" s="928">
        <f t="shared" si="113"/>
        <v>6</v>
      </c>
      <c r="AE78" s="929">
        <f t="shared" si="113"/>
        <v>2028</v>
      </c>
      <c r="AF78" s="930">
        <f t="shared" si="96"/>
        <v>0</v>
      </c>
      <c r="AG78" s="930">
        <f t="shared" si="97"/>
        <v>0</v>
      </c>
      <c r="AH78" s="12"/>
      <c r="AI78" s="12"/>
      <c r="AJ78" s="12"/>
      <c r="AK78" s="12"/>
      <c r="AL78" s="12"/>
      <c r="AM78" s="928">
        <f t="shared" si="114"/>
        <v>6</v>
      </c>
      <c r="AN78" s="929">
        <f t="shared" si="114"/>
        <v>2029</v>
      </c>
      <c r="AO78" s="930">
        <f t="shared" si="98"/>
        <v>0</v>
      </c>
      <c r="AP78" s="930">
        <f t="shared" si="99"/>
        <v>0</v>
      </c>
      <c r="AQ78" s="12"/>
      <c r="AR78" s="12"/>
      <c r="AS78" s="12"/>
      <c r="AT78" s="12"/>
      <c r="AU78" s="12"/>
      <c r="AV78" s="928">
        <f t="shared" si="115"/>
        <v>6</v>
      </c>
      <c r="AW78" s="929">
        <f t="shared" si="115"/>
        <v>2030</v>
      </c>
      <c r="AX78" s="930">
        <f t="shared" si="100"/>
        <v>0</v>
      </c>
      <c r="AY78" s="930">
        <f t="shared" si="101"/>
        <v>0</v>
      </c>
      <c r="AZ78" s="12"/>
      <c r="BA78" s="12"/>
      <c r="BB78" s="12"/>
      <c r="BC78" s="12"/>
      <c r="BD78" s="12"/>
      <c r="BE78" s="928">
        <f t="shared" si="116"/>
        <v>6</v>
      </c>
      <c r="BF78" s="929">
        <f t="shared" si="116"/>
        <v>2031</v>
      </c>
      <c r="BG78" s="930">
        <f t="shared" si="102"/>
        <v>0</v>
      </c>
      <c r="BH78" s="930">
        <f t="shared" si="103"/>
        <v>0</v>
      </c>
      <c r="BI78" s="12"/>
      <c r="BJ78" s="12"/>
      <c r="BK78" s="12"/>
      <c r="BL78" s="12"/>
      <c r="BM78" s="12"/>
      <c r="BN78" s="928">
        <f t="shared" si="117"/>
        <v>6</v>
      </c>
      <c r="BO78" s="929">
        <f t="shared" si="117"/>
        <v>2032</v>
      </c>
      <c r="BP78" s="930">
        <f t="shared" si="104"/>
        <v>0</v>
      </c>
      <c r="BQ78" s="930">
        <f t="shared" si="105"/>
        <v>0</v>
      </c>
      <c r="BR78" s="12"/>
      <c r="BS78" s="12"/>
      <c r="BT78" s="12"/>
      <c r="BU78" s="12"/>
      <c r="BV78" s="12"/>
      <c r="BW78" s="928">
        <f t="shared" si="118"/>
        <v>6</v>
      </c>
      <c r="BX78" s="929">
        <f t="shared" si="118"/>
        <v>2033</v>
      </c>
      <c r="BY78" s="930">
        <f t="shared" si="106"/>
        <v>0</v>
      </c>
      <c r="BZ78" s="930">
        <f t="shared" si="107"/>
        <v>0</v>
      </c>
      <c r="CA78" s="12"/>
      <c r="CB78" s="12"/>
      <c r="CC78" s="12"/>
      <c r="CD78" s="12"/>
      <c r="CE78" s="12"/>
      <c r="CF78" s="928">
        <f t="shared" si="119"/>
        <v>6</v>
      </c>
      <c r="CG78" s="929">
        <f t="shared" si="119"/>
        <v>2034</v>
      </c>
      <c r="CH78" s="930">
        <f t="shared" si="108"/>
        <v>0</v>
      </c>
      <c r="CI78" s="930">
        <f t="shared" si="109"/>
        <v>0</v>
      </c>
      <c r="CJ78" s="12"/>
      <c r="CK78" s="12"/>
      <c r="CL78" s="12"/>
      <c r="CM78" s="182"/>
    </row>
    <row r="79" spans="1:91" x14ac:dyDescent="0.25">
      <c r="A79" s="12"/>
      <c r="B79" s="12"/>
      <c r="C79" s="928">
        <f t="shared" si="110"/>
        <v>7</v>
      </c>
      <c r="D79" s="929">
        <f t="shared" si="110"/>
        <v>2026</v>
      </c>
      <c r="E79" s="930">
        <f t="shared" si="90"/>
        <v>0</v>
      </c>
      <c r="F79" s="930">
        <f t="shared" si="91"/>
        <v>0</v>
      </c>
      <c r="G79" s="12"/>
      <c r="H79" s="12"/>
      <c r="I79" s="12"/>
      <c r="J79" s="12"/>
      <c r="K79" s="12"/>
      <c r="L79" s="928">
        <f t="shared" si="111"/>
        <v>7</v>
      </c>
      <c r="M79" s="929">
        <f t="shared" si="111"/>
        <v>2027</v>
      </c>
      <c r="N79" s="930">
        <f t="shared" si="92"/>
        <v>0</v>
      </c>
      <c r="O79" s="930">
        <f t="shared" si="93"/>
        <v>0</v>
      </c>
      <c r="P79" s="12"/>
      <c r="Q79" s="12"/>
      <c r="R79" s="12"/>
      <c r="S79" s="12"/>
      <c r="T79" s="12"/>
      <c r="U79" s="928">
        <f t="shared" si="112"/>
        <v>7</v>
      </c>
      <c r="V79" s="929">
        <f t="shared" si="112"/>
        <v>2028</v>
      </c>
      <c r="W79" s="930">
        <f t="shared" si="94"/>
        <v>0</v>
      </c>
      <c r="X79" s="930">
        <f t="shared" si="95"/>
        <v>0</v>
      </c>
      <c r="Y79" s="12"/>
      <c r="Z79" s="12"/>
      <c r="AA79" s="12"/>
      <c r="AB79" s="12"/>
      <c r="AC79" s="12"/>
      <c r="AD79" s="928">
        <f t="shared" si="113"/>
        <v>7</v>
      </c>
      <c r="AE79" s="929">
        <f t="shared" si="113"/>
        <v>2029</v>
      </c>
      <c r="AF79" s="930">
        <f t="shared" si="96"/>
        <v>0</v>
      </c>
      <c r="AG79" s="930">
        <f t="shared" si="97"/>
        <v>0</v>
      </c>
      <c r="AH79" s="12"/>
      <c r="AI79" s="12"/>
      <c r="AJ79" s="12"/>
      <c r="AK79" s="12"/>
      <c r="AL79" s="12"/>
      <c r="AM79" s="928">
        <f t="shared" si="114"/>
        <v>7</v>
      </c>
      <c r="AN79" s="929">
        <f t="shared" si="114"/>
        <v>2030</v>
      </c>
      <c r="AO79" s="930">
        <f t="shared" si="98"/>
        <v>0</v>
      </c>
      <c r="AP79" s="930">
        <f t="shared" si="99"/>
        <v>0</v>
      </c>
      <c r="AQ79" s="12"/>
      <c r="AR79" s="12"/>
      <c r="AS79" s="12"/>
      <c r="AT79" s="12"/>
      <c r="AU79" s="12"/>
      <c r="AV79" s="928">
        <f t="shared" si="115"/>
        <v>7</v>
      </c>
      <c r="AW79" s="929">
        <f t="shared" si="115"/>
        <v>2031</v>
      </c>
      <c r="AX79" s="930">
        <f t="shared" si="100"/>
        <v>0</v>
      </c>
      <c r="AY79" s="930">
        <f t="shared" si="101"/>
        <v>0</v>
      </c>
      <c r="AZ79" s="12"/>
      <c r="BA79" s="12"/>
      <c r="BB79" s="12"/>
      <c r="BC79" s="12"/>
      <c r="BD79" s="12"/>
      <c r="BE79" s="928">
        <f t="shared" si="116"/>
        <v>7</v>
      </c>
      <c r="BF79" s="929">
        <f t="shared" si="116"/>
        <v>2032</v>
      </c>
      <c r="BG79" s="930">
        <f t="shared" si="102"/>
        <v>0</v>
      </c>
      <c r="BH79" s="930">
        <f t="shared" si="103"/>
        <v>0</v>
      </c>
      <c r="BI79" s="12"/>
      <c r="BJ79" s="12"/>
      <c r="BK79" s="12"/>
      <c r="BL79" s="12"/>
      <c r="BM79" s="12"/>
      <c r="BN79" s="928">
        <f t="shared" si="117"/>
        <v>7</v>
      </c>
      <c r="BO79" s="929">
        <f t="shared" si="117"/>
        <v>2033</v>
      </c>
      <c r="BP79" s="930">
        <f t="shared" si="104"/>
        <v>0</v>
      </c>
      <c r="BQ79" s="930">
        <f t="shared" si="105"/>
        <v>0</v>
      </c>
      <c r="BR79" s="12"/>
      <c r="BS79" s="12"/>
      <c r="BT79" s="12"/>
      <c r="BU79" s="12"/>
      <c r="BV79" s="12"/>
      <c r="BW79" s="928">
        <f t="shared" si="118"/>
        <v>7</v>
      </c>
      <c r="BX79" s="929">
        <f t="shared" si="118"/>
        <v>2034</v>
      </c>
      <c r="BY79" s="930">
        <f t="shared" si="106"/>
        <v>0</v>
      </c>
      <c r="BZ79" s="930">
        <f t="shared" si="107"/>
        <v>0</v>
      </c>
      <c r="CA79" s="12"/>
      <c r="CB79" s="12"/>
      <c r="CC79" s="12"/>
      <c r="CD79" s="12"/>
      <c r="CE79" s="12"/>
      <c r="CF79" s="928">
        <f t="shared" si="119"/>
        <v>7</v>
      </c>
      <c r="CG79" s="929">
        <f t="shared" si="119"/>
        <v>2035</v>
      </c>
      <c r="CH79" s="930">
        <f t="shared" si="108"/>
        <v>0</v>
      </c>
      <c r="CI79" s="930">
        <f t="shared" si="109"/>
        <v>0</v>
      </c>
      <c r="CJ79" s="12"/>
      <c r="CK79" s="12"/>
      <c r="CL79" s="12"/>
      <c r="CM79" s="182"/>
    </row>
    <row r="80" spans="1:91" x14ac:dyDescent="0.25">
      <c r="A80" s="12"/>
      <c r="B80" s="12"/>
      <c r="C80" s="928">
        <f t="shared" si="110"/>
        <v>8</v>
      </c>
      <c r="D80" s="929">
        <f t="shared" si="110"/>
        <v>2027</v>
      </c>
      <c r="E80" s="930">
        <f t="shared" si="90"/>
        <v>0</v>
      </c>
      <c r="F80" s="930">
        <f t="shared" si="91"/>
        <v>0</v>
      </c>
      <c r="G80" s="12"/>
      <c r="H80" s="12"/>
      <c r="I80" s="12"/>
      <c r="J80" s="12"/>
      <c r="K80" s="12"/>
      <c r="L80" s="928">
        <f t="shared" si="111"/>
        <v>8</v>
      </c>
      <c r="M80" s="929">
        <f t="shared" si="111"/>
        <v>2028</v>
      </c>
      <c r="N80" s="930">
        <f t="shared" si="92"/>
        <v>0</v>
      </c>
      <c r="O80" s="930">
        <f t="shared" si="93"/>
        <v>0</v>
      </c>
      <c r="P80" s="12"/>
      <c r="Q80" s="12"/>
      <c r="R80" s="12"/>
      <c r="S80" s="12"/>
      <c r="T80" s="12"/>
      <c r="U80" s="928">
        <f t="shared" si="112"/>
        <v>8</v>
      </c>
      <c r="V80" s="929">
        <f t="shared" si="112"/>
        <v>2029</v>
      </c>
      <c r="W80" s="930">
        <f t="shared" si="94"/>
        <v>0</v>
      </c>
      <c r="X80" s="930">
        <f t="shared" si="95"/>
        <v>0</v>
      </c>
      <c r="Y80" s="12"/>
      <c r="Z80" s="12"/>
      <c r="AA80" s="12"/>
      <c r="AB80" s="12"/>
      <c r="AC80" s="12"/>
      <c r="AD80" s="928">
        <f t="shared" si="113"/>
        <v>8</v>
      </c>
      <c r="AE80" s="929">
        <f t="shared" si="113"/>
        <v>2030</v>
      </c>
      <c r="AF80" s="930">
        <f t="shared" si="96"/>
        <v>0</v>
      </c>
      <c r="AG80" s="930">
        <f t="shared" si="97"/>
        <v>0</v>
      </c>
      <c r="AH80" s="12"/>
      <c r="AI80" s="12"/>
      <c r="AJ80" s="12"/>
      <c r="AK80" s="12"/>
      <c r="AL80" s="12"/>
      <c r="AM80" s="928">
        <f t="shared" si="114"/>
        <v>8</v>
      </c>
      <c r="AN80" s="929">
        <f t="shared" si="114"/>
        <v>2031</v>
      </c>
      <c r="AO80" s="930">
        <f t="shared" si="98"/>
        <v>0</v>
      </c>
      <c r="AP80" s="930">
        <f t="shared" si="99"/>
        <v>0</v>
      </c>
      <c r="AQ80" s="12"/>
      <c r="AR80" s="12"/>
      <c r="AS80" s="12"/>
      <c r="AT80" s="12"/>
      <c r="AU80" s="12"/>
      <c r="AV80" s="928">
        <f t="shared" si="115"/>
        <v>8</v>
      </c>
      <c r="AW80" s="929">
        <f t="shared" si="115"/>
        <v>2032</v>
      </c>
      <c r="AX80" s="930">
        <f t="shared" si="100"/>
        <v>0</v>
      </c>
      <c r="AY80" s="930">
        <f t="shared" si="101"/>
        <v>0</v>
      </c>
      <c r="AZ80" s="12"/>
      <c r="BA80" s="12"/>
      <c r="BB80" s="12"/>
      <c r="BC80" s="12"/>
      <c r="BD80" s="12"/>
      <c r="BE80" s="928">
        <f t="shared" si="116"/>
        <v>8</v>
      </c>
      <c r="BF80" s="929">
        <f t="shared" si="116"/>
        <v>2033</v>
      </c>
      <c r="BG80" s="930">
        <f t="shared" si="102"/>
        <v>0</v>
      </c>
      <c r="BH80" s="930">
        <f t="shared" si="103"/>
        <v>0</v>
      </c>
      <c r="BI80" s="12"/>
      <c r="BJ80" s="12"/>
      <c r="BK80" s="12"/>
      <c r="BL80" s="12"/>
      <c r="BM80" s="12"/>
      <c r="BN80" s="928">
        <f t="shared" si="117"/>
        <v>8</v>
      </c>
      <c r="BO80" s="929">
        <f t="shared" si="117"/>
        <v>2034</v>
      </c>
      <c r="BP80" s="930">
        <f t="shared" si="104"/>
        <v>0</v>
      </c>
      <c r="BQ80" s="930">
        <f t="shared" si="105"/>
        <v>0</v>
      </c>
      <c r="BR80" s="12"/>
      <c r="BS80" s="12"/>
      <c r="BT80" s="12"/>
      <c r="BU80" s="12"/>
      <c r="BV80" s="12"/>
      <c r="BW80" s="928">
        <f t="shared" si="118"/>
        <v>8</v>
      </c>
      <c r="BX80" s="929">
        <f t="shared" si="118"/>
        <v>2035</v>
      </c>
      <c r="BY80" s="930">
        <f t="shared" si="106"/>
        <v>0</v>
      </c>
      <c r="BZ80" s="930">
        <f t="shared" si="107"/>
        <v>0</v>
      </c>
      <c r="CA80" s="12"/>
      <c r="CB80" s="12"/>
      <c r="CC80" s="12"/>
      <c r="CD80" s="12"/>
      <c r="CE80" s="12"/>
      <c r="CF80" s="928">
        <f t="shared" si="119"/>
        <v>8</v>
      </c>
      <c r="CG80" s="929">
        <f t="shared" si="119"/>
        <v>2036</v>
      </c>
      <c r="CH80" s="930">
        <f t="shared" si="108"/>
        <v>0</v>
      </c>
      <c r="CI80" s="930">
        <f t="shared" si="109"/>
        <v>0</v>
      </c>
      <c r="CJ80" s="12"/>
      <c r="CK80" s="12"/>
      <c r="CL80" s="12"/>
      <c r="CM80" s="182"/>
    </row>
    <row r="81" spans="1:91" x14ac:dyDescent="0.25">
      <c r="A81" s="12"/>
      <c r="B81" s="12"/>
      <c r="C81" s="928">
        <f t="shared" si="110"/>
        <v>9</v>
      </c>
      <c r="D81" s="929">
        <f t="shared" si="110"/>
        <v>2028</v>
      </c>
      <c r="E81" s="930">
        <f t="shared" si="90"/>
        <v>0</v>
      </c>
      <c r="F81" s="930">
        <f t="shared" si="91"/>
        <v>0</v>
      </c>
      <c r="G81" s="12"/>
      <c r="H81" s="12"/>
      <c r="I81" s="12"/>
      <c r="J81" s="12"/>
      <c r="K81" s="12"/>
      <c r="L81" s="928">
        <f t="shared" si="111"/>
        <v>9</v>
      </c>
      <c r="M81" s="929">
        <f t="shared" si="111"/>
        <v>2029</v>
      </c>
      <c r="N81" s="930">
        <f t="shared" si="92"/>
        <v>0</v>
      </c>
      <c r="O81" s="930">
        <f t="shared" si="93"/>
        <v>0</v>
      </c>
      <c r="P81" s="12"/>
      <c r="Q81" s="12"/>
      <c r="R81" s="12"/>
      <c r="S81" s="12"/>
      <c r="T81" s="12"/>
      <c r="U81" s="928">
        <f t="shared" si="112"/>
        <v>9</v>
      </c>
      <c r="V81" s="929">
        <f t="shared" si="112"/>
        <v>2030</v>
      </c>
      <c r="W81" s="930">
        <f t="shared" si="94"/>
        <v>0</v>
      </c>
      <c r="X81" s="930">
        <f t="shared" si="95"/>
        <v>0</v>
      </c>
      <c r="Y81" s="12"/>
      <c r="Z81" s="12"/>
      <c r="AA81" s="12"/>
      <c r="AB81" s="12"/>
      <c r="AC81" s="12"/>
      <c r="AD81" s="928">
        <f t="shared" si="113"/>
        <v>9</v>
      </c>
      <c r="AE81" s="929">
        <f t="shared" si="113"/>
        <v>2031</v>
      </c>
      <c r="AF81" s="930">
        <f t="shared" si="96"/>
        <v>0</v>
      </c>
      <c r="AG81" s="930">
        <f t="shared" si="97"/>
        <v>0</v>
      </c>
      <c r="AH81" s="12"/>
      <c r="AI81" s="12"/>
      <c r="AJ81" s="12"/>
      <c r="AK81" s="12"/>
      <c r="AL81" s="12"/>
      <c r="AM81" s="928">
        <f t="shared" si="114"/>
        <v>9</v>
      </c>
      <c r="AN81" s="929">
        <f t="shared" si="114"/>
        <v>2032</v>
      </c>
      <c r="AO81" s="930">
        <f t="shared" si="98"/>
        <v>0</v>
      </c>
      <c r="AP81" s="930">
        <f t="shared" si="99"/>
        <v>0</v>
      </c>
      <c r="AQ81" s="12"/>
      <c r="AR81" s="12"/>
      <c r="AS81" s="12"/>
      <c r="AT81" s="12"/>
      <c r="AU81" s="12"/>
      <c r="AV81" s="928">
        <f t="shared" si="115"/>
        <v>9</v>
      </c>
      <c r="AW81" s="929">
        <f t="shared" si="115"/>
        <v>2033</v>
      </c>
      <c r="AX81" s="930">
        <f t="shared" si="100"/>
        <v>0</v>
      </c>
      <c r="AY81" s="930">
        <f t="shared" si="101"/>
        <v>0</v>
      </c>
      <c r="AZ81" s="12"/>
      <c r="BA81" s="12"/>
      <c r="BB81" s="12"/>
      <c r="BC81" s="12"/>
      <c r="BD81" s="12"/>
      <c r="BE81" s="928">
        <f t="shared" si="116"/>
        <v>9</v>
      </c>
      <c r="BF81" s="929">
        <f t="shared" si="116"/>
        <v>2034</v>
      </c>
      <c r="BG81" s="930">
        <f t="shared" si="102"/>
        <v>0</v>
      </c>
      <c r="BH81" s="930">
        <f t="shared" si="103"/>
        <v>0</v>
      </c>
      <c r="BI81" s="12"/>
      <c r="BJ81" s="12"/>
      <c r="BK81" s="12"/>
      <c r="BL81" s="12"/>
      <c r="BM81" s="12"/>
      <c r="BN81" s="928">
        <f t="shared" si="117"/>
        <v>9</v>
      </c>
      <c r="BO81" s="929">
        <f t="shared" si="117"/>
        <v>2035</v>
      </c>
      <c r="BP81" s="930">
        <f t="shared" si="104"/>
        <v>0</v>
      </c>
      <c r="BQ81" s="930">
        <f t="shared" si="105"/>
        <v>0</v>
      </c>
      <c r="BR81" s="12"/>
      <c r="BS81" s="12"/>
      <c r="BT81" s="12"/>
      <c r="BU81" s="12"/>
      <c r="BV81" s="12"/>
      <c r="BW81" s="928">
        <f t="shared" si="118"/>
        <v>9</v>
      </c>
      <c r="BX81" s="929">
        <f t="shared" si="118"/>
        <v>2036</v>
      </c>
      <c r="BY81" s="930">
        <f t="shared" si="106"/>
        <v>0</v>
      </c>
      <c r="BZ81" s="930">
        <f t="shared" si="107"/>
        <v>0</v>
      </c>
      <c r="CA81" s="12"/>
      <c r="CB81" s="12"/>
      <c r="CC81" s="12"/>
      <c r="CD81" s="12"/>
      <c r="CE81" s="12"/>
      <c r="CF81" s="928">
        <f t="shared" si="119"/>
        <v>9</v>
      </c>
      <c r="CG81" s="929">
        <f t="shared" si="119"/>
        <v>2037</v>
      </c>
      <c r="CH81" s="930">
        <f t="shared" si="108"/>
        <v>0</v>
      </c>
      <c r="CI81" s="930">
        <f t="shared" si="109"/>
        <v>0</v>
      </c>
      <c r="CJ81" s="12"/>
      <c r="CK81" s="12"/>
      <c r="CL81" s="12"/>
      <c r="CM81" s="182"/>
    </row>
    <row r="82" spans="1:91" x14ac:dyDescent="0.25">
      <c r="A82" s="12"/>
      <c r="B82" s="12"/>
      <c r="C82" s="928">
        <f t="shared" si="110"/>
        <v>10</v>
      </c>
      <c r="D82" s="929">
        <f t="shared" si="110"/>
        <v>2029</v>
      </c>
      <c r="E82" s="930">
        <f t="shared" si="90"/>
        <v>0</v>
      </c>
      <c r="F82" s="930">
        <f t="shared" si="91"/>
        <v>0</v>
      </c>
      <c r="G82" s="12"/>
      <c r="H82" s="12"/>
      <c r="I82" s="12"/>
      <c r="J82" s="12"/>
      <c r="K82" s="12"/>
      <c r="L82" s="928">
        <f t="shared" si="111"/>
        <v>10</v>
      </c>
      <c r="M82" s="929">
        <f t="shared" si="111"/>
        <v>2030</v>
      </c>
      <c r="N82" s="930">
        <f t="shared" si="92"/>
        <v>0</v>
      </c>
      <c r="O82" s="930">
        <f t="shared" si="93"/>
        <v>0</v>
      </c>
      <c r="P82" s="12"/>
      <c r="Q82" s="12"/>
      <c r="R82" s="12"/>
      <c r="S82" s="12"/>
      <c r="T82" s="12"/>
      <c r="U82" s="928">
        <f t="shared" si="112"/>
        <v>10</v>
      </c>
      <c r="V82" s="929">
        <f t="shared" si="112"/>
        <v>2031</v>
      </c>
      <c r="W82" s="930">
        <f t="shared" si="94"/>
        <v>0</v>
      </c>
      <c r="X82" s="930">
        <f t="shared" si="95"/>
        <v>0</v>
      </c>
      <c r="Y82" s="12"/>
      <c r="Z82" s="12"/>
      <c r="AA82" s="12"/>
      <c r="AB82" s="12"/>
      <c r="AC82" s="12"/>
      <c r="AD82" s="928">
        <f t="shared" si="113"/>
        <v>10</v>
      </c>
      <c r="AE82" s="929">
        <f t="shared" si="113"/>
        <v>2032</v>
      </c>
      <c r="AF82" s="930">
        <f t="shared" si="96"/>
        <v>0</v>
      </c>
      <c r="AG82" s="930">
        <f t="shared" si="97"/>
        <v>0</v>
      </c>
      <c r="AH82" s="12"/>
      <c r="AI82" s="12"/>
      <c r="AJ82" s="12"/>
      <c r="AK82" s="12"/>
      <c r="AL82" s="12"/>
      <c r="AM82" s="928">
        <f t="shared" si="114"/>
        <v>10</v>
      </c>
      <c r="AN82" s="929">
        <f t="shared" si="114"/>
        <v>2033</v>
      </c>
      <c r="AO82" s="930">
        <f t="shared" si="98"/>
        <v>0</v>
      </c>
      <c r="AP82" s="930">
        <f t="shared" si="99"/>
        <v>0</v>
      </c>
      <c r="AQ82" s="12"/>
      <c r="AR82" s="12"/>
      <c r="AS82" s="12"/>
      <c r="AT82" s="12"/>
      <c r="AU82" s="12"/>
      <c r="AV82" s="928">
        <f t="shared" si="115"/>
        <v>10</v>
      </c>
      <c r="AW82" s="929">
        <f t="shared" si="115"/>
        <v>2034</v>
      </c>
      <c r="AX82" s="930">
        <f t="shared" si="100"/>
        <v>0</v>
      </c>
      <c r="AY82" s="930">
        <f t="shared" si="101"/>
        <v>0</v>
      </c>
      <c r="AZ82" s="12"/>
      <c r="BA82" s="12"/>
      <c r="BB82" s="12"/>
      <c r="BC82" s="12"/>
      <c r="BD82" s="12"/>
      <c r="BE82" s="928">
        <f t="shared" si="116"/>
        <v>10</v>
      </c>
      <c r="BF82" s="929">
        <f t="shared" si="116"/>
        <v>2035</v>
      </c>
      <c r="BG82" s="930">
        <f t="shared" si="102"/>
        <v>0</v>
      </c>
      <c r="BH82" s="930">
        <f t="shared" si="103"/>
        <v>0</v>
      </c>
      <c r="BI82" s="12"/>
      <c r="BJ82" s="12"/>
      <c r="BK82" s="12"/>
      <c r="BL82" s="12"/>
      <c r="BM82" s="12"/>
      <c r="BN82" s="928">
        <f t="shared" si="117"/>
        <v>10</v>
      </c>
      <c r="BO82" s="929">
        <f t="shared" si="117"/>
        <v>2036</v>
      </c>
      <c r="BP82" s="930">
        <f t="shared" si="104"/>
        <v>0</v>
      </c>
      <c r="BQ82" s="930">
        <f t="shared" si="105"/>
        <v>0</v>
      </c>
      <c r="BR82" s="12"/>
      <c r="BS82" s="12"/>
      <c r="BT82" s="12"/>
      <c r="BU82" s="12"/>
      <c r="BV82" s="12"/>
      <c r="BW82" s="928">
        <f t="shared" si="118"/>
        <v>10</v>
      </c>
      <c r="BX82" s="929">
        <f t="shared" si="118"/>
        <v>2037</v>
      </c>
      <c r="BY82" s="930">
        <f t="shared" si="106"/>
        <v>0</v>
      </c>
      <c r="BZ82" s="930">
        <f t="shared" si="107"/>
        <v>0</v>
      </c>
      <c r="CA82" s="12"/>
      <c r="CB82" s="12"/>
      <c r="CC82" s="12"/>
      <c r="CD82" s="12"/>
      <c r="CE82" s="12"/>
      <c r="CF82" s="928">
        <f t="shared" si="119"/>
        <v>10</v>
      </c>
      <c r="CG82" s="929">
        <f t="shared" si="119"/>
        <v>2038</v>
      </c>
      <c r="CH82" s="930">
        <f t="shared" si="108"/>
        <v>0</v>
      </c>
      <c r="CI82" s="930">
        <f t="shared" si="109"/>
        <v>0</v>
      </c>
      <c r="CJ82" s="12"/>
      <c r="CK82" s="12"/>
      <c r="CL82" s="12"/>
      <c r="CM82" s="182"/>
    </row>
    <row r="83" spans="1:91" x14ac:dyDescent="0.25">
      <c r="A83" s="12"/>
      <c r="B83" s="12"/>
      <c r="C83" s="928">
        <f t="shared" si="110"/>
        <v>11</v>
      </c>
      <c r="D83" s="929">
        <f t="shared" si="110"/>
        <v>2030</v>
      </c>
      <c r="E83" s="930">
        <f t="shared" si="90"/>
        <v>0</v>
      </c>
      <c r="F83" s="930">
        <f t="shared" si="91"/>
        <v>0</v>
      </c>
      <c r="G83" s="12"/>
      <c r="H83" s="12"/>
      <c r="I83" s="12"/>
      <c r="J83" s="12"/>
      <c r="K83" s="12"/>
      <c r="L83" s="928">
        <f t="shared" si="111"/>
        <v>11</v>
      </c>
      <c r="M83" s="929">
        <f t="shared" si="111"/>
        <v>2031</v>
      </c>
      <c r="N83" s="930">
        <f t="shared" si="92"/>
        <v>0</v>
      </c>
      <c r="O83" s="930">
        <f t="shared" si="93"/>
        <v>0</v>
      </c>
      <c r="P83" s="12"/>
      <c r="Q83" s="12"/>
      <c r="R83" s="12"/>
      <c r="S83" s="12"/>
      <c r="T83" s="12"/>
      <c r="U83" s="928">
        <f t="shared" si="112"/>
        <v>11</v>
      </c>
      <c r="V83" s="929">
        <f t="shared" si="112"/>
        <v>2032</v>
      </c>
      <c r="W83" s="930">
        <f t="shared" si="94"/>
        <v>0</v>
      </c>
      <c r="X83" s="930">
        <f t="shared" si="95"/>
        <v>0</v>
      </c>
      <c r="Y83" s="12"/>
      <c r="Z83" s="12"/>
      <c r="AA83" s="12"/>
      <c r="AB83" s="12"/>
      <c r="AC83" s="12"/>
      <c r="AD83" s="928">
        <f t="shared" si="113"/>
        <v>11</v>
      </c>
      <c r="AE83" s="929">
        <f t="shared" si="113"/>
        <v>2033</v>
      </c>
      <c r="AF83" s="930">
        <f t="shared" si="96"/>
        <v>0</v>
      </c>
      <c r="AG83" s="930">
        <f t="shared" si="97"/>
        <v>0</v>
      </c>
      <c r="AH83" s="12"/>
      <c r="AI83" s="12"/>
      <c r="AJ83" s="12"/>
      <c r="AK83" s="12"/>
      <c r="AL83" s="12"/>
      <c r="AM83" s="928">
        <f t="shared" si="114"/>
        <v>11</v>
      </c>
      <c r="AN83" s="929">
        <f t="shared" si="114"/>
        <v>2034</v>
      </c>
      <c r="AO83" s="930">
        <f t="shared" si="98"/>
        <v>0</v>
      </c>
      <c r="AP83" s="930">
        <f t="shared" si="99"/>
        <v>0</v>
      </c>
      <c r="AQ83" s="12"/>
      <c r="AR83" s="12"/>
      <c r="AS83" s="12"/>
      <c r="AT83" s="12"/>
      <c r="AU83" s="12"/>
      <c r="AV83" s="928">
        <f t="shared" si="115"/>
        <v>11</v>
      </c>
      <c r="AW83" s="929">
        <f t="shared" si="115"/>
        <v>2035</v>
      </c>
      <c r="AX83" s="930">
        <f t="shared" si="100"/>
        <v>0</v>
      </c>
      <c r="AY83" s="930">
        <f t="shared" si="101"/>
        <v>0</v>
      </c>
      <c r="AZ83" s="12"/>
      <c r="BA83" s="12"/>
      <c r="BB83" s="12"/>
      <c r="BC83" s="12"/>
      <c r="BD83" s="12"/>
      <c r="BE83" s="928">
        <f t="shared" si="116"/>
        <v>11</v>
      </c>
      <c r="BF83" s="929">
        <f t="shared" si="116"/>
        <v>2036</v>
      </c>
      <c r="BG83" s="930">
        <f t="shared" si="102"/>
        <v>0</v>
      </c>
      <c r="BH83" s="930">
        <f t="shared" si="103"/>
        <v>0</v>
      </c>
      <c r="BI83" s="12"/>
      <c r="BJ83" s="12"/>
      <c r="BK83" s="12"/>
      <c r="BL83" s="12"/>
      <c r="BM83" s="12"/>
      <c r="BN83" s="928">
        <f t="shared" si="117"/>
        <v>11</v>
      </c>
      <c r="BO83" s="929">
        <f t="shared" si="117"/>
        <v>2037</v>
      </c>
      <c r="BP83" s="930">
        <f t="shared" si="104"/>
        <v>0</v>
      </c>
      <c r="BQ83" s="930">
        <f t="shared" si="105"/>
        <v>0</v>
      </c>
      <c r="BR83" s="12"/>
      <c r="BS83" s="12"/>
      <c r="BT83" s="12"/>
      <c r="BU83" s="12"/>
      <c r="BV83" s="12"/>
      <c r="BW83" s="928">
        <f t="shared" si="118"/>
        <v>11</v>
      </c>
      <c r="BX83" s="929">
        <f t="shared" si="118"/>
        <v>2038</v>
      </c>
      <c r="BY83" s="930">
        <f t="shared" si="106"/>
        <v>0</v>
      </c>
      <c r="BZ83" s="930">
        <f t="shared" si="107"/>
        <v>0</v>
      </c>
      <c r="CA83" s="12"/>
      <c r="CB83" s="12"/>
      <c r="CC83" s="12"/>
      <c r="CD83" s="12"/>
      <c r="CE83" s="12"/>
      <c r="CF83" s="928">
        <f t="shared" si="119"/>
        <v>11</v>
      </c>
      <c r="CG83" s="929">
        <f t="shared" si="119"/>
        <v>2039</v>
      </c>
      <c r="CH83" s="930">
        <f t="shared" si="108"/>
        <v>0</v>
      </c>
      <c r="CI83" s="930">
        <f t="shared" si="109"/>
        <v>0</v>
      </c>
      <c r="CJ83" s="12"/>
      <c r="CK83" s="12"/>
      <c r="CL83" s="12"/>
      <c r="CM83" s="182"/>
    </row>
    <row r="84" spans="1:91" x14ac:dyDescent="0.25">
      <c r="A84" s="12"/>
      <c r="B84" s="12"/>
      <c r="C84" s="928">
        <f t="shared" si="110"/>
        <v>12</v>
      </c>
      <c r="D84" s="929">
        <f t="shared" si="110"/>
        <v>2031</v>
      </c>
      <c r="E84" s="930">
        <f t="shared" si="90"/>
        <v>0</v>
      </c>
      <c r="F84" s="930">
        <f t="shared" si="91"/>
        <v>0</v>
      </c>
      <c r="G84" s="12"/>
      <c r="H84" s="12"/>
      <c r="I84" s="12"/>
      <c r="J84" s="12"/>
      <c r="K84" s="12"/>
      <c r="L84" s="928">
        <f t="shared" si="111"/>
        <v>12</v>
      </c>
      <c r="M84" s="929">
        <f t="shared" si="111"/>
        <v>2032</v>
      </c>
      <c r="N84" s="930">
        <f t="shared" si="92"/>
        <v>0</v>
      </c>
      <c r="O84" s="930">
        <f t="shared" si="93"/>
        <v>0</v>
      </c>
      <c r="P84" s="12"/>
      <c r="Q84" s="12"/>
      <c r="R84" s="12"/>
      <c r="S84" s="12"/>
      <c r="T84" s="12"/>
      <c r="U84" s="928">
        <f t="shared" si="112"/>
        <v>12</v>
      </c>
      <c r="V84" s="929">
        <f t="shared" si="112"/>
        <v>2033</v>
      </c>
      <c r="W84" s="930">
        <f t="shared" si="94"/>
        <v>0</v>
      </c>
      <c r="X84" s="930">
        <f t="shared" si="95"/>
        <v>0</v>
      </c>
      <c r="Y84" s="12"/>
      <c r="Z84" s="12"/>
      <c r="AA84" s="12"/>
      <c r="AB84" s="12"/>
      <c r="AC84" s="12"/>
      <c r="AD84" s="928">
        <f t="shared" si="113"/>
        <v>12</v>
      </c>
      <c r="AE84" s="929">
        <f t="shared" si="113"/>
        <v>2034</v>
      </c>
      <c r="AF84" s="930">
        <f t="shared" si="96"/>
        <v>0</v>
      </c>
      <c r="AG84" s="930">
        <f t="shared" si="97"/>
        <v>0</v>
      </c>
      <c r="AH84" s="12"/>
      <c r="AI84" s="12"/>
      <c r="AJ84" s="12"/>
      <c r="AK84" s="12"/>
      <c r="AL84" s="12"/>
      <c r="AM84" s="928">
        <f t="shared" si="114"/>
        <v>12</v>
      </c>
      <c r="AN84" s="929">
        <f t="shared" si="114"/>
        <v>2035</v>
      </c>
      <c r="AO84" s="930">
        <f t="shared" si="98"/>
        <v>0</v>
      </c>
      <c r="AP84" s="930">
        <f t="shared" si="99"/>
        <v>0</v>
      </c>
      <c r="AQ84" s="12"/>
      <c r="AR84" s="12"/>
      <c r="AS84" s="12"/>
      <c r="AT84" s="12"/>
      <c r="AU84" s="12"/>
      <c r="AV84" s="928">
        <f t="shared" si="115"/>
        <v>12</v>
      </c>
      <c r="AW84" s="929">
        <f t="shared" si="115"/>
        <v>2036</v>
      </c>
      <c r="AX84" s="930">
        <f t="shared" si="100"/>
        <v>0</v>
      </c>
      <c r="AY84" s="930">
        <f t="shared" si="101"/>
        <v>0</v>
      </c>
      <c r="AZ84" s="12"/>
      <c r="BA84" s="12"/>
      <c r="BB84" s="12"/>
      <c r="BC84" s="12"/>
      <c r="BD84" s="12"/>
      <c r="BE84" s="928">
        <f t="shared" si="116"/>
        <v>12</v>
      </c>
      <c r="BF84" s="929">
        <f t="shared" si="116"/>
        <v>2037</v>
      </c>
      <c r="BG84" s="930">
        <f t="shared" si="102"/>
        <v>0</v>
      </c>
      <c r="BH84" s="930">
        <f t="shared" si="103"/>
        <v>0</v>
      </c>
      <c r="BI84" s="12"/>
      <c r="BJ84" s="12"/>
      <c r="BK84" s="12"/>
      <c r="BL84" s="12"/>
      <c r="BM84" s="12"/>
      <c r="BN84" s="928">
        <f t="shared" si="117"/>
        <v>12</v>
      </c>
      <c r="BO84" s="929">
        <f t="shared" si="117"/>
        <v>2038</v>
      </c>
      <c r="BP84" s="930">
        <f t="shared" si="104"/>
        <v>0</v>
      </c>
      <c r="BQ84" s="930">
        <f t="shared" si="105"/>
        <v>0</v>
      </c>
      <c r="BR84" s="12"/>
      <c r="BS84" s="12"/>
      <c r="BT84" s="12"/>
      <c r="BU84" s="12"/>
      <c r="BV84" s="12"/>
      <c r="BW84" s="928">
        <f t="shared" si="118"/>
        <v>12</v>
      </c>
      <c r="BX84" s="929">
        <f t="shared" si="118"/>
        <v>2039</v>
      </c>
      <c r="BY84" s="930">
        <f t="shared" si="106"/>
        <v>0</v>
      </c>
      <c r="BZ84" s="930">
        <f t="shared" si="107"/>
        <v>0</v>
      </c>
      <c r="CA84" s="12"/>
      <c r="CB84" s="12"/>
      <c r="CC84" s="12"/>
      <c r="CD84" s="12"/>
      <c r="CE84" s="12"/>
      <c r="CF84" s="928">
        <f t="shared" si="119"/>
        <v>12</v>
      </c>
      <c r="CG84" s="929">
        <f t="shared" si="119"/>
        <v>2040</v>
      </c>
      <c r="CH84" s="930">
        <f t="shared" si="108"/>
        <v>0</v>
      </c>
      <c r="CI84" s="930">
        <f t="shared" si="109"/>
        <v>0</v>
      </c>
      <c r="CJ84" s="12"/>
      <c r="CK84" s="12"/>
      <c r="CL84" s="12"/>
      <c r="CM84" s="182"/>
    </row>
    <row r="85" spans="1:91" x14ac:dyDescent="0.25">
      <c r="A85" s="12"/>
      <c r="B85" s="12"/>
      <c r="C85" s="928">
        <f t="shared" si="110"/>
        <v>13</v>
      </c>
      <c r="D85" s="929">
        <f t="shared" si="110"/>
        <v>2032</v>
      </c>
      <c r="E85" s="930">
        <f t="shared" si="90"/>
        <v>0</v>
      </c>
      <c r="F85" s="930">
        <f t="shared" si="91"/>
        <v>0</v>
      </c>
      <c r="G85" s="12"/>
      <c r="H85" s="12"/>
      <c r="I85" s="12"/>
      <c r="J85" s="12"/>
      <c r="K85" s="12"/>
      <c r="L85" s="928">
        <f t="shared" si="111"/>
        <v>13</v>
      </c>
      <c r="M85" s="929">
        <f t="shared" si="111"/>
        <v>2033</v>
      </c>
      <c r="N85" s="930">
        <f t="shared" si="92"/>
        <v>0</v>
      </c>
      <c r="O85" s="930">
        <f t="shared" si="93"/>
        <v>0</v>
      </c>
      <c r="P85" s="12"/>
      <c r="Q85" s="12"/>
      <c r="R85" s="12"/>
      <c r="S85" s="12"/>
      <c r="T85" s="12"/>
      <c r="U85" s="928">
        <f t="shared" si="112"/>
        <v>13</v>
      </c>
      <c r="V85" s="929">
        <f t="shared" si="112"/>
        <v>2034</v>
      </c>
      <c r="W85" s="930">
        <f t="shared" si="94"/>
        <v>0</v>
      </c>
      <c r="X85" s="930">
        <f t="shared" si="95"/>
        <v>0</v>
      </c>
      <c r="Y85" s="12"/>
      <c r="Z85" s="12"/>
      <c r="AA85" s="12"/>
      <c r="AB85" s="12"/>
      <c r="AC85" s="12"/>
      <c r="AD85" s="928">
        <f t="shared" si="113"/>
        <v>13</v>
      </c>
      <c r="AE85" s="929">
        <f t="shared" si="113"/>
        <v>2035</v>
      </c>
      <c r="AF85" s="930">
        <f t="shared" si="96"/>
        <v>0</v>
      </c>
      <c r="AG85" s="930">
        <f t="shared" si="97"/>
        <v>0</v>
      </c>
      <c r="AH85" s="12"/>
      <c r="AI85" s="12"/>
      <c r="AJ85" s="12"/>
      <c r="AK85" s="12"/>
      <c r="AL85" s="12"/>
      <c r="AM85" s="928">
        <f t="shared" si="114"/>
        <v>13</v>
      </c>
      <c r="AN85" s="929">
        <f t="shared" si="114"/>
        <v>2036</v>
      </c>
      <c r="AO85" s="930">
        <f t="shared" si="98"/>
        <v>0</v>
      </c>
      <c r="AP85" s="930">
        <f t="shared" si="99"/>
        <v>0</v>
      </c>
      <c r="AQ85" s="12"/>
      <c r="AR85" s="12"/>
      <c r="AS85" s="12"/>
      <c r="AT85" s="12"/>
      <c r="AU85" s="12"/>
      <c r="AV85" s="928">
        <f t="shared" si="115"/>
        <v>13</v>
      </c>
      <c r="AW85" s="929">
        <f t="shared" si="115"/>
        <v>2037</v>
      </c>
      <c r="AX85" s="930">
        <f t="shared" si="100"/>
        <v>0</v>
      </c>
      <c r="AY85" s="930">
        <f t="shared" si="101"/>
        <v>0</v>
      </c>
      <c r="AZ85" s="12"/>
      <c r="BA85" s="12"/>
      <c r="BB85" s="12"/>
      <c r="BC85" s="12"/>
      <c r="BD85" s="12"/>
      <c r="BE85" s="928">
        <f t="shared" si="116"/>
        <v>13</v>
      </c>
      <c r="BF85" s="929">
        <f t="shared" si="116"/>
        <v>2038</v>
      </c>
      <c r="BG85" s="930">
        <f t="shared" si="102"/>
        <v>0</v>
      </c>
      <c r="BH85" s="930">
        <f t="shared" si="103"/>
        <v>0</v>
      </c>
      <c r="BI85" s="12"/>
      <c r="BJ85" s="12"/>
      <c r="BK85" s="12"/>
      <c r="BL85" s="12"/>
      <c r="BM85" s="12"/>
      <c r="BN85" s="928">
        <f t="shared" si="117"/>
        <v>13</v>
      </c>
      <c r="BO85" s="929">
        <f t="shared" si="117"/>
        <v>2039</v>
      </c>
      <c r="BP85" s="930">
        <f t="shared" si="104"/>
        <v>0</v>
      </c>
      <c r="BQ85" s="930">
        <f t="shared" si="105"/>
        <v>0</v>
      </c>
      <c r="BR85" s="12"/>
      <c r="BS85" s="12"/>
      <c r="BT85" s="12"/>
      <c r="BU85" s="12"/>
      <c r="BV85" s="12"/>
      <c r="BW85" s="928">
        <f t="shared" si="118"/>
        <v>13</v>
      </c>
      <c r="BX85" s="929">
        <f t="shared" si="118"/>
        <v>2040</v>
      </c>
      <c r="BY85" s="930">
        <f t="shared" si="106"/>
        <v>0</v>
      </c>
      <c r="BZ85" s="930">
        <f t="shared" si="107"/>
        <v>0</v>
      </c>
      <c r="CA85" s="12"/>
      <c r="CB85" s="12"/>
      <c r="CC85" s="12"/>
      <c r="CD85" s="12"/>
      <c r="CE85" s="12"/>
      <c r="CF85" s="928">
        <f t="shared" si="119"/>
        <v>13</v>
      </c>
      <c r="CG85" s="929">
        <f t="shared" si="119"/>
        <v>2041</v>
      </c>
      <c r="CH85" s="930">
        <f t="shared" si="108"/>
        <v>0</v>
      </c>
      <c r="CI85" s="930">
        <f t="shared" si="109"/>
        <v>0</v>
      </c>
      <c r="CJ85" s="12"/>
      <c r="CK85" s="12"/>
      <c r="CL85" s="12"/>
      <c r="CM85" s="182"/>
    </row>
    <row r="86" spans="1:91" x14ac:dyDescent="0.25">
      <c r="A86" s="12"/>
      <c r="B86" s="12"/>
      <c r="C86" s="928">
        <f t="shared" si="110"/>
        <v>14</v>
      </c>
      <c r="D86" s="929">
        <f t="shared" si="110"/>
        <v>2033</v>
      </c>
      <c r="E86" s="930">
        <f t="shared" si="90"/>
        <v>0</v>
      </c>
      <c r="F86" s="930">
        <f t="shared" si="91"/>
        <v>0</v>
      </c>
      <c r="G86" s="12"/>
      <c r="H86" s="12"/>
      <c r="I86" s="12"/>
      <c r="J86" s="12"/>
      <c r="K86" s="12"/>
      <c r="L86" s="928">
        <f t="shared" si="111"/>
        <v>14</v>
      </c>
      <c r="M86" s="929">
        <f t="shared" si="111"/>
        <v>2034</v>
      </c>
      <c r="N86" s="930">
        <f t="shared" si="92"/>
        <v>0</v>
      </c>
      <c r="O86" s="930">
        <f t="shared" si="93"/>
        <v>0</v>
      </c>
      <c r="P86" s="12"/>
      <c r="Q86" s="12"/>
      <c r="R86" s="12"/>
      <c r="S86" s="12"/>
      <c r="T86" s="12"/>
      <c r="U86" s="928">
        <f t="shared" si="112"/>
        <v>14</v>
      </c>
      <c r="V86" s="929">
        <f t="shared" si="112"/>
        <v>2035</v>
      </c>
      <c r="W86" s="930">
        <f t="shared" si="94"/>
        <v>0</v>
      </c>
      <c r="X86" s="930">
        <f t="shared" si="95"/>
        <v>0</v>
      </c>
      <c r="Y86" s="12"/>
      <c r="Z86" s="12"/>
      <c r="AA86" s="12"/>
      <c r="AB86" s="12"/>
      <c r="AC86" s="12"/>
      <c r="AD86" s="928">
        <f t="shared" si="113"/>
        <v>14</v>
      </c>
      <c r="AE86" s="929">
        <f t="shared" si="113"/>
        <v>2036</v>
      </c>
      <c r="AF86" s="930">
        <f t="shared" si="96"/>
        <v>0</v>
      </c>
      <c r="AG86" s="930">
        <f t="shared" si="97"/>
        <v>0</v>
      </c>
      <c r="AH86" s="12"/>
      <c r="AI86" s="12"/>
      <c r="AJ86" s="12"/>
      <c r="AK86" s="12"/>
      <c r="AL86" s="12"/>
      <c r="AM86" s="928">
        <f t="shared" si="114"/>
        <v>14</v>
      </c>
      <c r="AN86" s="929">
        <f t="shared" si="114"/>
        <v>2037</v>
      </c>
      <c r="AO86" s="930">
        <f t="shared" si="98"/>
        <v>0</v>
      </c>
      <c r="AP86" s="930">
        <f t="shared" si="99"/>
        <v>0</v>
      </c>
      <c r="AQ86" s="12"/>
      <c r="AR86" s="12"/>
      <c r="AS86" s="12"/>
      <c r="AT86" s="12"/>
      <c r="AU86" s="12"/>
      <c r="AV86" s="928">
        <f t="shared" si="115"/>
        <v>14</v>
      </c>
      <c r="AW86" s="929">
        <f t="shared" si="115"/>
        <v>2038</v>
      </c>
      <c r="AX86" s="930">
        <f t="shared" si="100"/>
        <v>0</v>
      </c>
      <c r="AY86" s="930">
        <f t="shared" si="101"/>
        <v>0</v>
      </c>
      <c r="AZ86" s="12"/>
      <c r="BA86" s="12"/>
      <c r="BB86" s="12"/>
      <c r="BC86" s="12"/>
      <c r="BD86" s="12"/>
      <c r="BE86" s="928">
        <f t="shared" si="116"/>
        <v>14</v>
      </c>
      <c r="BF86" s="929">
        <f t="shared" si="116"/>
        <v>2039</v>
      </c>
      <c r="BG86" s="930">
        <f t="shared" si="102"/>
        <v>0</v>
      </c>
      <c r="BH86" s="930">
        <f t="shared" si="103"/>
        <v>0</v>
      </c>
      <c r="BI86" s="12"/>
      <c r="BJ86" s="12"/>
      <c r="BK86" s="12"/>
      <c r="BL86" s="12"/>
      <c r="BM86" s="12"/>
      <c r="BN86" s="928">
        <f t="shared" si="117"/>
        <v>14</v>
      </c>
      <c r="BO86" s="929">
        <f t="shared" si="117"/>
        <v>2040</v>
      </c>
      <c r="BP86" s="930">
        <f t="shared" si="104"/>
        <v>0</v>
      </c>
      <c r="BQ86" s="930">
        <f t="shared" si="105"/>
        <v>0</v>
      </c>
      <c r="BR86" s="12"/>
      <c r="BS86" s="12"/>
      <c r="BT86" s="12"/>
      <c r="BU86" s="12"/>
      <c r="BV86" s="12"/>
      <c r="BW86" s="928">
        <f t="shared" si="118"/>
        <v>14</v>
      </c>
      <c r="BX86" s="929">
        <f t="shared" si="118"/>
        <v>2041</v>
      </c>
      <c r="BY86" s="930">
        <f t="shared" si="106"/>
        <v>0</v>
      </c>
      <c r="BZ86" s="930">
        <f t="shared" si="107"/>
        <v>0</v>
      </c>
      <c r="CA86" s="12"/>
      <c r="CB86" s="12"/>
      <c r="CC86" s="12"/>
      <c r="CD86" s="12"/>
      <c r="CE86" s="12"/>
      <c r="CF86" s="928">
        <f t="shared" si="119"/>
        <v>14</v>
      </c>
      <c r="CG86" s="929">
        <f t="shared" si="119"/>
        <v>2042</v>
      </c>
      <c r="CH86" s="930">
        <f t="shared" si="108"/>
        <v>0</v>
      </c>
      <c r="CI86" s="930">
        <f t="shared" si="109"/>
        <v>0</v>
      </c>
      <c r="CJ86" s="12"/>
      <c r="CK86" s="12"/>
      <c r="CL86" s="12"/>
      <c r="CM86" s="182"/>
    </row>
    <row r="87" spans="1:91" x14ac:dyDescent="0.25">
      <c r="A87" s="12"/>
      <c r="B87" s="12"/>
      <c r="C87" s="928">
        <f t="shared" si="110"/>
        <v>15</v>
      </c>
      <c r="D87" s="929">
        <f t="shared" si="110"/>
        <v>2034</v>
      </c>
      <c r="E87" s="930">
        <f t="shared" si="90"/>
        <v>0</v>
      </c>
      <c r="F87" s="930">
        <f t="shared" si="91"/>
        <v>0</v>
      </c>
      <c r="G87" s="12"/>
      <c r="H87" s="12"/>
      <c r="I87" s="12"/>
      <c r="J87" s="12"/>
      <c r="K87" s="12"/>
      <c r="L87" s="928">
        <f t="shared" si="111"/>
        <v>15</v>
      </c>
      <c r="M87" s="929">
        <f t="shared" si="111"/>
        <v>2035</v>
      </c>
      <c r="N87" s="930">
        <f t="shared" si="92"/>
        <v>0</v>
      </c>
      <c r="O87" s="930">
        <f t="shared" si="93"/>
        <v>0</v>
      </c>
      <c r="P87" s="12"/>
      <c r="Q87" s="12"/>
      <c r="R87" s="12"/>
      <c r="S87" s="12"/>
      <c r="T87" s="12"/>
      <c r="U87" s="928">
        <f t="shared" si="112"/>
        <v>15</v>
      </c>
      <c r="V87" s="929">
        <f t="shared" si="112"/>
        <v>2036</v>
      </c>
      <c r="W87" s="930">
        <f t="shared" si="94"/>
        <v>0</v>
      </c>
      <c r="X87" s="930">
        <f t="shared" si="95"/>
        <v>0</v>
      </c>
      <c r="Y87" s="12"/>
      <c r="Z87" s="12"/>
      <c r="AA87" s="12"/>
      <c r="AB87" s="12"/>
      <c r="AC87" s="12"/>
      <c r="AD87" s="928">
        <f t="shared" si="113"/>
        <v>15</v>
      </c>
      <c r="AE87" s="929">
        <f t="shared" si="113"/>
        <v>2037</v>
      </c>
      <c r="AF87" s="930">
        <f t="shared" si="96"/>
        <v>0</v>
      </c>
      <c r="AG87" s="930">
        <f t="shared" si="97"/>
        <v>0</v>
      </c>
      <c r="AH87" s="12"/>
      <c r="AI87" s="12"/>
      <c r="AJ87" s="12"/>
      <c r="AK87" s="12"/>
      <c r="AL87" s="12"/>
      <c r="AM87" s="928">
        <f t="shared" si="114"/>
        <v>15</v>
      </c>
      <c r="AN87" s="929">
        <f t="shared" si="114"/>
        <v>2038</v>
      </c>
      <c r="AO87" s="930">
        <f t="shared" si="98"/>
        <v>0</v>
      </c>
      <c r="AP87" s="930">
        <f t="shared" si="99"/>
        <v>0</v>
      </c>
      <c r="AQ87" s="12"/>
      <c r="AR87" s="12"/>
      <c r="AS87" s="12"/>
      <c r="AT87" s="12"/>
      <c r="AU87" s="12"/>
      <c r="AV87" s="928">
        <f t="shared" si="115"/>
        <v>15</v>
      </c>
      <c r="AW87" s="929">
        <f t="shared" si="115"/>
        <v>2039</v>
      </c>
      <c r="AX87" s="930">
        <f t="shared" si="100"/>
        <v>0</v>
      </c>
      <c r="AY87" s="930">
        <f t="shared" si="101"/>
        <v>0</v>
      </c>
      <c r="AZ87" s="12"/>
      <c r="BA87" s="12"/>
      <c r="BB87" s="12"/>
      <c r="BC87" s="12"/>
      <c r="BD87" s="12"/>
      <c r="BE87" s="928">
        <f t="shared" si="116"/>
        <v>15</v>
      </c>
      <c r="BF87" s="929">
        <f t="shared" si="116"/>
        <v>2040</v>
      </c>
      <c r="BG87" s="930">
        <f t="shared" si="102"/>
        <v>0</v>
      </c>
      <c r="BH87" s="930">
        <f t="shared" si="103"/>
        <v>0</v>
      </c>
      <c r="BI87" s="12"/>
      <c r="BJ87" s="12"/>
      <c r="BK87" s="12"/>
      <c r="BL87" s="12"/>
      <c r="BM87" s="12"/>
      <c r="BN87" s="928">
        <f t="shared" si="117"/>
        <v>15</v>
      </c>
      <c r="BO87" s="929">
        <f t="shared" si="117"/>
        <v>2041</v>
      </c>
      <c r="BP87" s="930">
        <f t="shared" si="104"/>
        <v>0</v>
      </c>
      <c r="BQ87" s="930">
        <f t="shared" si="105"/>
        <v>0</v>
      </c>
      <c r="BR87" s="12"/>
      <c r="BS87" s="12"/>
      <c r="BT87" s="12"/>
      <c r="BU87" s="12"/>
      <c r="BV87" s="12"/>
      <c r="BW87" s="928">
        <f t="shared" si="118"/>
        <v>15</v>
      </c>
      <c r="BX87" s="929">
        <f t="shared" si="118"/>
        <v>2042</v>
      </c>
      <c r="BY87" s="930">
        <f t="shared" si="106"/>
        <v>0</v>
      </c>
      <c r="BZ87" s="930">
        <f t="shared" si="107"/>
        <v>0</v>
      </c>
      <c r="CA87" s="12"/>
      <c r="CB87" s="12"/>
      <c r="CC87" s="12"/>
      <c r="CD87" s="12"/>
      <c r="CE87" s="12"/>
      <c r="CF87" s="928">
        <f t="shared" si="119"/>
        <v>15</v>
      </c>
      <c r="CG87" s="929">
        <f t="shared" si="119"/>
        <v>2043</v>
      </c>
      <c r="CH87" s="930">
        <f t="shared" si="108"/>
        <v>0</v>
      </c>
      <c r="CI87" s="930">
        <f t="shared" si="109"/>
        <v>0</v>
      </c>
      <c r="CJ87" s="12"/>
      <c r="CK87" s="12"/>
      <c r="CL87" s="12"/>
      <c r="CM87" s="182"/>
    </row>
    <row r="88" spans="1:91" x14ac:dyDescent="0.25">
      <c r="A88" s="12"/>
      <c r="B88" s="12"/>
      <c r="C88" s="928">
        <f t="shared" si="110"/>
        <v>16</v>
      </c>
      <c r="D88" s="929">
        <f t="shared" si="110"/>
        <v>2035</v>
      </c>
      <c r="E88" s="930">
        <f t="shared" si="90"/>
        <v>0</v>
      </c>
      <c r="F88" s="930">
        <f t="shared" si="91"/>
        <v>0</v>
      </c>
      <c r="G88" s="12"/>
      <c r="H88" s="12"/>
      <c r="I88" s="12"/>
      <c r="J88" s="12"/>
      <c r="K88" s="12"/>
      <c r="L88" s="928">
        <f t="shared" si="111"/>
        <v>16</v>
      </c>
      <c r="M88" s="929">
        <f t="shared" si="111"/>
        <v>2036</v>
      </c>
      <c r="N88" s="930">
        <f t="shared" si="92"/>
        <v>0</v>
      </c>
      <c r="O88" s="930">
        <f t="shared" si="93"/>
        <v>0</v>
      </c>
      <c r="P88" s="12"/>
      <c r="Q88" s="12"/>
      <c r="R88" s="12"/>
      <c r="S88" s="12"/>
      <c r="T88" s="12"/>
      <c r="U88" s="928">
        <f t="shared" si="112"/>
        <v>16</v>
      </c>
      <c r="V88" s="929">
        <f t="shared" si="112"/>
        <v>2037</v>
      </c>
      <c r="W88" s="930">
        <f t="shared" si="94"/>
        <v>0</v>
      </c>
      <c r="X88" s="930">
        <f t="shared" si="95"/>
        <v>0</v>
      </c>
      <c r="Y88" s="12"/>
      <c r="Z88" s="12"/>
      <c r="AA88" s="12"/>
      <c r="AB88" s="12"/>
      <c r="AC88" s="12"/>
      <c r="AD88" s="928">
        <f t="shared" si="113"/>
        <v>16</v>
      </c>
      <c r="AE88" s="929">
        <f t="shared" si="113"/>
        <v>2038</v>
      </c>
      <c r="AF88" s="930">
        <f t="shared" si="96"/>
        <v>0</v>
      </c>
      <c r="AG88" s="930">
        <f t="shared" si="97"/>
        <v>0</v>
      </c>
      <c r="AH88" s="12"/>
      <c r="AI88" s="12"/>
      <c r="AJ88" s="12"/>
      <c r="AK88" s="12"/>
      <c r="AL88" s="12"/>
      <c r="AM88" s="928">
        <f t="shared" si="114"/>
        <v>16</v>
      </c>
      <c r="AN88" s="929">
        <f t="shared" si="114"/>
        <v>2039</v>
      </c>
      <c r="AO88" s="930">
        <f t="shared" si="98"/>
        <v>0</v>
      </c>
      <c r="AP88" s="930">
        <f t="shared" si="99"/>
        <v>0</v>
      </c>
      <c r="AQ88" s="12"/>
      <c r="AR88" s="12"/>
      <c r="AS88" s="12"/>
      <c r="AT88" s="12"/>
      <c r="AU88" s="12"/>
      <c r="AV88" s="928">
        <f t="shared" si="115"/>
        <v>16</v>
      </c>
      <c r="AW88" s="929">
        <f t="shared" si="115"/>
        <v>2040</v>
      </c>
      <c r="AX88" s="930">
        <f t="shared" si="100"/>
        <v>0</v>
      </c>
      <c r="AY88" s="930">
        <f t="shared" si="101"/>
        <v>0</v>
      </c>
      <c r="AZ88" s="12"/>
      <c r="BA88" s="12"/>
      <c r="BB88" s="12"/>
      <c r="BC88" s="12"/>
      <c r="BD88" s="12"/>
      <c r="BE88" s="928">
        <f t="shared" si="116"/>
        <v>16</v>
      </c>
      <c r="BF88" s="929">
        <f t="shared" si="116"/>
        <v>2041</v>
      </c>
      <c r="BG88" s="930">
        <f t="shared" si="102"/>
        <v>0</v>
      </c>
      <c r="BH88" s="930">
        <f t="shared" si="103"/>
        <v>0</v>
      </c>
      <c r="BI88" s="12"/>
      <c r="BJ88" s="12"/>
      <c r="BK88" s="12"/>
      <c r="BL88" s="12"/>
      <c r="BM88" s="12"/>
      <c r="BN88" s="928">
        <f t="shared" si="117"/>
        <v>16</v>
      </c>
      <c r="BO88" s="929">
        <f t="shared" si="117"/>
        <v>2042</v>
      </c>
      <c r="BP88" s="930">
        <f t="shared" si="104"/>
        <v>0</v>
      </c>
      <c r="BQ88" s="930">
        <f t="shared" si="105"/>
        <v>0</v>
      </c>
      <c r="BR88" s="12"/>
      <c r="BS88" s="12"/>
      <c r="BT88" s="12"/>
      <c r="BU88" s="12"/>
      <c r="BV88" s="12"/>
      <c r="BW88" s="928">
        <f t="shared" si="118"/>
        <v>16</v>
      </c>
      <c r="BX88" s="929">
        <f t="shared" si="118"/>
        <v>2043</v>
      </c>
      <c r="BY88" s="930">
        <f t="shared" si="106"/>
        <v>0</v>
      </c>
      <c r="BZ88" s="930">
        <f t="shared" si="107"/>
        <v>0</v>
      </c>
      <c r="CA88" s="12"/>
      <c r="CB88" s="12"/>
      <c r="CC88" s="12"/>
      <c r="CD88" s="12"/>
      <c r="CE88" s="12"/>
      <c r="CF88" s="928">
        <f t="shared" si="119"/>
        <v>16</v>
      </c>
      <c r="CG88" s="929">
        <f t="shared" si="119"/>
        <v>2044</v>
      </c>
      <c r="CH88" s="930">
        <f t="shared" si="108"/>
        <v>0</v>
      </c>
      <c r="CI88" s="930">
        <f t="shared" si="109"/>
        <v>0</v>
      </c>
      <c r="CJ88" s="12"/>
      <c r="CK88" s="12"/>
      <c r="CL88" s="12"/>
      <c r="CM88" s="182"/>
    </row>
    <row r="89" spans="1:91" x14ac:dyDescent="0.25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  <c r="AQ89" s="182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  <c r="BF89" s="182"/>
      <c r="BG89" s="182"/>
      <c r="BH89" s="182"/>
      <c r="BI89" s="182"/>
      <c r="BJ89" s="182"/>
      <c r="BK89" s="182"/>
      <c r="BL89" s="182"/>
      <c r="BM89" s="182"/>
      <c r="BN89" s="182"/>
      <c r="BO89" s="182"/>
      <c r="BP89" s="182"/>
      <c r="BQ89" s="182"/>
      <c r="BR89" s="182"/>
      <c r="BS89" s="182"/>
      <c r="BT89" s="182"/>
      <c r="BU89" s="182"/>
      <c r="BV89" s="182"/>
      <c r="BW89" s="182"/>
      <c r="BX89" s="182"/>
      <c r="BY89" s="182"/>
      <c r="BZ89" s="182"/>
      <c r="CA89" s="182"/>
      <c r="CB89" s="182"/>
      <c r="CC89" s="182"/>
      <c r="CD89" s="182"/>
      <c r="CE89" s="182"/>
      <c r="CF89" s="182"/>
      <c r="CG89" s="182"/>
      <c r="CH89" s="182"/>
      <c r="CI89" s="182"/>
      <c r="CJ89" s="182"/>
      <c r="CK89" s="182"/>
      <c r="CL89" s="182"/>
      <c r="CM89" s="182"/>
    </row>
  </sheetData>
  <mergeCells count="20">
    <mergeCell ref="AV71:AY71"/>
    <mergeCell ref="B15:C17"/>
    <mergeCell ref="K15:L17"/>
    <mergeCell ref="T15:U17"/>
    <mergeCell ref="AC15:AD17"/>
    <mergeCell ref="AL15:AM17"/>
    <mergeCell ref="AU15:AV17"/>
    <mergeCell ref="C71:F71"/>
    <mergeCell ref="L71:O71"/>
    <mergeCell ref="U71:X71"/>
    <mergeCell ref="AD71:AG71"/>
    <mergeCell ref="AM71:AP71"/>
    <mergeCell ref="BE71:BH71"/>
    <mergeCell ref="BN71:BQ71"/>
    <mergeCell ref="BW71:BZ71"/>
    <mergeCell ref="CF71:CI71"/>
    <mergeCell ref="BD15:BE17"/>
    <mergeCell ref="BM15:BN17"/>
    <mergeCell ref="BV15:BW17"/>
    <mergeCell ref="CE15:CF17"/>
  </mergeCells>
  <dataValidations count="1">
    <dataValidation type="list" allowBlank="1" showInputMessage="1" showErrorMessage="1" sqref="E10 N10 W10 AF10 AO10 AX10 BG10 BP10 BY10 CH10">
      <formula1>"Semestral,Anual"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7"/>
  <dimension ref="A1:Z10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1.25" outlineLevelRow="1" x14ac:dyDescent="0.25"/>
  <cols>
    <col min="1" max="1" width="16.42578125" style="13" customWidth="1"/>
    <col min="2" max="2" width="10.85546875" style="13" customWidth="1"/>
    <col min="3" max="3" width="11" style="13" customWidth="1"/>
    <col min="4" max="5" width="10.85546875" style="13" customWidth="1"/>
    <col min="6" max="7" width="11" style="13" customWidth="1"/>
    <col min="8" max="8" width="10.42578125" style="13" customWidth="1"/>
    <col min="9" max="9" width="10.85546875" style="13" customWidth="1"/>
    <col min="10" max="10" width="11" style="13" customWidth="1"/>
    <col min="11" max="11" width="10.140625" style="13" customWidth="1"/>
    <col min="12" max="13" width="11" style="13" customWidth="1"/>
    <col min="14" max="15" width="10.85546875" style="13" customWidth="1"/>
    <col min="16" max="17" width="12.42578125" style="13" bestFit="1" customWidth="1"/>
    <col min="18" max="16384" width="9.140625" style="13"/>
  </cols>
  <sheetData>
    <row r="1" spans="1:26" x14ac:dyDescent="0.25">
      <c r="B1" s="994">
        <f>Pressupostos!C11</f>
        <v>2020</v>
      </c>
      <c r="C1" s="994">
        <f>B1+1</f>
        <v>2021</v>
      </c>
      <c r="D1" s="994">
        <f t="shared" ref="D1:Z1" si="0">C1+1</f>
        <v>2022</v>
      </c>
      <c r="E1" s="994">
        <f t="shared" si="0"/>
        <v>2023</v>
      </c>
      <c r="F1" s="994">
        <f t="shared" si="0"/>
        <v>2024</v>
      </c>
      <c r="G1" s="994">
        <f t="shared" si="0"/>
        <v>2025</v>
      </c>
      <c r="H1" s="994">
        <f t="shared" si="0"/>
        <v>2026</v>
      </c>
      <c r="I1" s="994">
        <f t="shared" si="0"/>
        <v>2027</v>
      </c>
      <c r="J1" s="994">
        <f t="shared" si="0"/>
        <v>2028</v>
      </c>
      <c r="K1" s="994">
        <f t="shared" si="0"/>
        <v>2029</v>
      </c>
      <c r="L1" s="994">
        <f t="shared" si="0"/>
        <v>2030</v>
      </c>
      <c r="M1" s="994">
        <f t="shared" si="0"/>
        <v>2031</v>
      </c>
      <c r="N1" s="994">
        <f t="shared" si="0"/>
        <v>2032</v>
      </c>
      <c r="O1" s="994">
        <f t="shared" si="0"/>
        <v>2033</v>
      </c>
      <c r="P1" s="994">
        <f t="shared" si="0"/>
        <v>2034</v>
      </c>
      <c r="Q1" s="994">
        <f t="shared" si="0"/>
        <v>2035</v>
      </c>
      <c r="R1" s="994">
        <f t="shared" si="0"/>
        <v>2036</v>
      </c>
      <c r="S1" s="994">
        <f t="shared" si="0"/>
        <v>2037</v>
      </c>
      <c r="T1" s="994">
        <f t="shared" si="0"/>
        <v>2038</v>
      </c>
      <c r="U1" s="994">
        <f t="shared" si="0"/>
        <v>2039</v>
      </c>
      <c r="V1" s="994">
        <f t="shared" si="0"/>
        <v>2040</v>
      </c>
      <c r="W1" s="994">
        <f t="shared" si="0"/>
        <v>2041</v>
      </c>
      <c r="X1" s="994">
        <f t="shared" si="0"/>
        <v>2042</v>
      </c>
      <c r="Y1" s="994">
        <f t="shared" si="0"/>
        <v>2043</v>
      </c>
      <c r="Z1" s="994">
        <f t="shared" si="0"/>
        <v>2044</v>
      </c>
    </row>
    <row r="2" spans="1:26" x14ac:dyDescent="0.25">
      <c r="A2" s="2015" t="s">
        <v>385</v>
      </c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  <c r="U2" s="995"/>
      <c r="V2" s="995"/>
      <c r="W2" s="995"/>
      <c r="X2" s="995"/>
      <c r="Y2" s="995"/>
      <c r="Z2" s="995"/>
    </row>
    <row r="3" spans="1:26" x14ac:dyDescent="0.25">
      <c r="A3" s="2015"/>
      <c r="B3" s="995"/>
      <c r="C3" s="995"/>
      <c r="D3" s="995"/>
      <c r="E3" s="995"/>
      <c r="F3" s="995"/>
      <c r="G3" s="995"/>
      <c r="H3" s="995"/>
      <c r="I3" s="995"/>
      <c r="J3" s="995"/>
      <c r="K3" s="995"/>
      <c r="L3" s="995"/>
      <c r="M3" s="995"/>
      <c r="N3" s="995"/>
      <c r="O3" s="995"/>
      <c r="P3" s="995"/>
      <c r="Q3" s="995"/>
      <c r="R3" s="995"/>
      <c r="S3" s="995"/>
      <c r="T3" s="995"/>
      <c r="U3" s="995"/>
      <c r="V3" s="995"/>
      <c r="W3" s="995"/>
      <c r="X3" s="995"/>
      <c r="Y3" s="995"/>
      <c r="Z3" s="995"/>
    </row>
    <row r="4" spans="1:26" x14ac:dyDescent="0.25">
      <c r="A4" s="996" t="s">
        <v>258</v>
      </c>
      <c r="B4" s="61"/>
      <c r="C4" s="61"/>
      <c r="D4" s="61"/>
      <c r="E4" s="61"/>
      <c r="F4" s="61"/>
      <c r="G4" s="61"/>
      <c r="H4" s="61"/>
      <c r="I4" s="61"/>
      <c r="J4" s="61"/>
      <c r="K4" s="61"/>
    </row>
    <row r="5" spans="1:26" x14ac:dyDescent="0.25">
      <c r="A5" s="997" t="s">
        <v>386</v>
      </c>
      <c r="B5" s="61"/>
      <c r="C5" s="61"/>
      <c r="D5" s="61"/>
      <c r="E5" s="61"/>
      <c r="F5" s="61"/>
      <c r="G5" s="61"/>
      <c r="H5" s="61"/>
      <c r="I5" s="61"/>
      <c r="J5" s="61"/>
      <c r="K5" s="61"/>
    </row>
    <row r="6" spans="1:26" x14ac:dyDescent="0.25">
      <c r="A6" s="496">
        <f>A7-1</f>
        <v>2019</v>
      </c>
      <c r="B6" s="28">
        <f>SUMIF(SerDividaAntiga!$AE$74:$AE$89,B$1,SerDividaAntiga!$AF$74:$AF$89)</f>
        <v>0</v>
      </c>
      <c r="C6" s="28">
        <f>SUMIF(SerDividaAntiga!$AE$74:$AE$89,C$1,SerDividaAntiga!$AF$74:$AF$89)</f>
        <v>0</v>
      </c>
      <c r="D6" s="28">
        <f>SUMIF(SerDividaAntiga!$AE$74:$AE$89,D$1,SerDividaAntiga!$AF$74:$AF$89)</f>
        <v>0</v>
      </c>
      <c r="E6" s="28">
        <f>SUMIF(SerDividaAntiga!$AE$74:$AE$89,E$1,SerDividaAntiga!$AF$74:$AF$89)</f>
        <v>0</v>
      </c>
      <c r="F6" s="28">
        <f>SUMIF(SerDividaAntiga!$AE$74:$AE$89,F$1,SerDividaAntiga!$AF$74:$AF$89)</f>
        <v>0</v>
      </c>
      <c r="G6" s="28">
        <f>SUMIF(SerDividaAntiga!$AE$74:$AE$89,G$1,SerDividaAntiga!$AF$74:$AF$89)</f>
        <v>0</v>
      </c>
      <c r="H6" s="28">
        <f>SUMIF(SerDividaAntiga!$AE$74:$AE$89,H$1,SerDividaAntiga!$AF$74:$AF$89)</f>
        <v>0</v>
      </c>
      <c r="I6" s="28">
        <f>SUMIF(SerDividaAntiga!$AE$74:$AE$89,I$1,SerDividaAntiga!$AF$74:$AF$89)</f>
        <v>0</v>
      </c>
      <c r="J6" s="28">
        <f>SUMIF(SerDividaAntiga!$AE$74:$AE$89,J$1,SerDividaAntiga!$AF$74:$AF$89)</f>
        <v>0</v>
      </c>
      <c r="K6" s="28">
        <f>SUMIF(SerDividaAntiga!$AE$74:$AE$89,K$1,SerDividaAntiga!$AF$74:$AF$89)</f>
        <v>0</v>
      </c>
      <c r="L6" s="28">
        <f>SUMIF(SerDividaAntiga!$AE$74:$AE$89,L$1,SerDividaAntiga!$AF$74:$AF$89)</f>
        <v>0</v>
      </c>
      <c r="M6" s="28">
        <f>SUMIF(SerDividaAntiga!$AE$74:$AE$89,M$1,SerDividaAntiga!$AF$74:$AF$89)</f>
        <v>0</v>
      </c>
      <c r="N6" s="28">
        <f>SUMIF(SerDividaAntiga!$AE$74:$AE$89,N$1,SerDividaAntiga!$AF$74:$AF$89)</f>
        <v>0</v>
      </c>
      <c r="O6" s="28">
        <f>SUMIF(SerDividaAntiga!$AE$74:$AE$89,O$1,SerDividaAntiga!$AF$74:$AF$89)</f>
        <v>0</v>
      </c>
      <c r="P6" s="28">
        <f>SUMIF(SerDividaAntiga!$AE$74:$AE$89,P$1,SerDividaAntiga!$AF$74:$AF$89)</f>
        <v>0</v>
      </c>
      <c r="Q6" s="28">
        <f>SUMIF(SerDividaAntiga!$AE$74:$AE$89,Q$1,SerDividaAntiga!$AF$74:$AF$89)</f>
        <v>0</v>
      </c>
    </row>
    <row r="7" spans="1:26" x14ac:dyDescent="0.25">
      <c r="A7" s="496">
        <f>Pressupostos!C11</f>
        <v>2020</v>
      </c>
      <c r="B7" s="28">
        <f>SUMIF(SerNovaDivida_LP!$D$73:$D$88,B$1,SerNovaDivida_LP!$E$73:$E$88)</f>
        <v>0</v>
      </c>
      <c r="C7" s="28">
        <f>SUMIF(SerNovaDivida_LP!$D$73:$D$88,C$1,SerNovaDivida_LP!$E$73:$E$88)</f>
        <v>0</v>
      </c>
      <c r="D7" s="28">
        <f>SUMIF(SerNovaDivida_LP!$D$73:$D$88,D$1,SerNovaDivida_LP!$E$73:$E$88)</f>
        <v>0</v>
      </c>
      <c r="E7" s="28">
        <f>SUMIF(SerNovaDivida_LP!$D$73:$D$88,E$1,SerNovaDivida_LP!$E$73:$E$88)</f>
        <v>0</v>
      </c>
      <c r="F7" s="28">
        <f>SUMIF(SerNovaDivida_LP!$D$73:$D$88,F$1,SerNovaDivida_LP!$E$73:$E$88)</f>
        <v>0</v>
      </c>
      <c r="G7" s="28">
        <f>SUMIF(SerNovaDivida_LP!$D$73:$D$88,G$1,SerNovaDivida_LP!$E$73:$E$88)</f>
        <v>0</v>
      </c>
      <c r="H7" s="28">
        <f>SUMIF(SerNovaDivida_LP!$D$73:$D$88,H$1,SerNovaDivida_LP!$E$73:$E$88)</f>
        <v>0</v>
      </c>
      <c r="I7" s="28">
        <f>SUMIF(SerNovaDivida_LP!$D$73:$D$88,I$1,SerNovaDivida_LP!$E$73:$E$88)</f>
        <v>0</v>
      </c>
      <c r="J7" s="28">
        <f>SUMIF(SerNovaDivida_LP!$D$73:$D$88,J$1,SerNovaDivida_LP!$E$73:$E$88)</f>
        <v>0</v>
      </c>
      <c r="K7" s="28">
        <f>SUMIF(SerNovaDivida_LP!$D$73:$D$88,K$1,SerNovaDivida_LP!$E$73:$E$88)</f>
        <v>0</v>
      </c>
      <c r="L7" s="28">
        <f>SUMIF(SerNovaDivida_LP!$D$73:$D$88,L$1,SerNovaDivida_LP!$E$73:$E$88)</f>
        <v>0</v>
      </c>
      <c r="M7" s="28">
        <f>SUMIF(SerNovaDivida_LP!$D$73:$D$88,M$1,SerNovaDivida_LP!$E$73:$E$88)</f>
        <v>0</v>
      </c>
      <c r="N7" s="28">
        <f>SUMIF(SerNovaDivida_LP!$D$73:$D$88,N$1,SerNovaDivida_LP!$E$73:$E$88)</f>
        <v>0</v>
      </c>
      <c r="O7" s="28">
        <f>SUMIF(SerNovaDivida_LP!$D$73:$D$88,O$1,SerNovaDivida_LP!$E$73:$E$88)</f>
        <v>0</v>
      </c>
      <c r="P7" s="28">
        <f>SUMIF(SerNovaDivida_LP!$D$73:$D$88,P$1,SerNovaDivida_LP!$E$73:$E$88)</f>
        <v>0</v>
      </c>
      <c r="Q7" s="28">
        <f>SUMIF(SerNovaDivida_LP!$D$73:$D$88,Q$1,SerNovaDivida_LP!$E$73:$E$88)</f>
        <v>0</v>
      </c>
    </row>
    <row r="8" spans="1:26" x14ac:dyDescent="0.25">
      <c r="A8" s="496">
        <f>A7+1</f>
        <v>2021</v>
      </c>
      <c r="B8" s="28">
        <f>SUMIF(SerNovaDivida_LP!$M$73:$M$88,B$1,SerNovaDivida_LP!$N$73:$N$88)</f>
        <v>0</v>
      </c>
      <c r="C8" s="28">
        <f>SUMIF(SerNovaDivida_LP!$M$73:$M$88,C$1,SerNovaDivida_LP!$N$73:$N$88)</f>
        <v>0</v>
      </c>
      <c r="D8" s="28">
        <f>SUMIF(SerNovaDivida_LP!$M$73:$M$88,D$1,SerNovaDivida_LP!$N$73:$N$88)</f>
        <v>0</v>
      </c>
      <c r="E8" s="28">
        <f>SUMIF(SerNovaDivida_LP!$M$73:$M$88,E$1,SerNovaDivida_LP!$N$73:$N$88)</f>
        <v>0</v>
      </c>
      <c r="F8" s="28">
        <f>SUMIF(SerNovaDivida_LP!$M$73:$M$88,F$1,SerNovaDivida_LP!$N$73:$N$88)</f>
        <v>0</v>
      </c>
      <c r="G8" s="28">
        <f>SUMIF(SerNovaDivida_LP!$M$73:$M$88,G$1,SerNovaDivida_LP!$N$73:$N$88)</f>
        <v>0</v>
      </c>
      <c r="H8" s="28">
        <f>SUMIF(SerNovaDivida_LP!$M$73:$M$88,H$1,SerNovaDivida_LP!$N$73:$N$88)</f>
        <v>0</v>
      </c>
      <c r="I8" s="28">
        <f>SUMIF(SerNovaDivida_LP!$M$73:$M$88,I$1,SerNovaDivida_LP!$N$73:$N$88)</f>
        <v>0</v>
      </c>
      <c r="J8" s="28">
        <f>SUMIF(SerNovaDivida_LP!$M$73:$M$88,J$1,SerNovaDivida_LP!$N$73:$N$88)</f>
        <v>0</v>
      </c>
      <c r="K8" s="28">
        <f>SUMIF(SerNovaDivida_LP!$M$73:$M$88,K$1,SerNovaDivida_LP!$N$73:$N$88)</f>
        <v>0</v>
      </c>
      <c r="L8" s="28">
        <f>SUMIF(SerNovaDivida_LP!$M$73:$M$88,L$1,SerNovaDivida_LP!$N$73:$N$88)</f>
        <v>0</v>
      </c>
      <c r="M8" s="28">
        <f>SUMIF(SerNovaDivida_LP!$M$73:$M$88,M$1,SerNovaDivida_LP!$N$73:$N$88)</f>
        <v>0</v>
      </c>
      <c r="N8" s="28">
        <f>SUMIF(SerNovaDivida_LP!$M$73:$M$88,N$1,SerNovaDivida_LP!$N$73:$N$88)</f>
        <v>0</v>
      </c>
      <c r="O8" s="28">
        <f>SUMIF(SerNovaDivida_LP!$M$73:$M$88,O$1,SerNovaDivida_LP!$N$73:$N$88)</f>
        <v>0</v>
      </c>
      <c r="P8" s="28">
        <f>SUMIF(SerNovaDivida_LP!$M$73:$M$88,P$1,SerNovaDivida_LP!$N$73:$N$88)</f>
        <v>0</v>
      </c>
      <c r="Q8" s="28">
        <f>SUMIF(SerNovaDivida_LP!$M$73:$M$88,Q$1,SerNovaDivida_LP!$N$73:$N$88)</f>
        <v>0</v>
      </c>
    </row>
    <row r="9" spans="1:26" x14ac:dyDescent="0.25">
      <c r="A9" s="496">
        <f t="shared" ref="A9:A16" si="1">A8+1</f>
        <v>2022</v>
      </c>
      <c r="B9" s="28">
        <f>SUMIF(SerNovaDivida_LP!$V$73:$V$88,B$1,SerNovaDivida_LP!$W$73:$W$88)</f>
        <v>0</v>
      </c>
      <c r="C9" s="28">
        <f>SUMIF(SerNovaDivida_LP!$V$73:$V$88,C$1,SerNovaDivida_LP!$W$73:$W$88)</f>
        <v>0</v>
      </c>
      <c r="D9" s="28">
        <f>SUMIF(SerNovaDivida_LP!$V$73:$V$88,D$1,SerNovaDivida_LP!$W$73:$W$88)</f>
        <v>0</v>
      </c>
      <c r="E9" s="28">
        <f>SUMIF(SerNovaDivida_LP!$V$73:$V$88,E$1,SerNovaDivida_LP!$W$73:$W$88)</f>
        <v>0</v>
      </c>
      <c r="F9" s="28">
        <f>SUMIF(SerNovaDivida_LP!$V$73:$V$88,F$1,SerNovaDivida_LP!$W$73:$W$88)</f>
        <v>0</v>
      </c>
      <c r="G9" s="28">
        <f>SUMIF(SerNovaDivida_LP!$V$73:$V$88,G$1,SerNovaDivida_LP!$W$73:$W$88)</f>
        <v>0</v>
      </c>
      <c r="H9" s="28">
        <f>SUMIF(SerNovaDivida_LP!$V$73:$V$88,H$1,SerNovaDivida_LP!$W$73:$W$88)</f>
        <v>0</v>
      </c>
      <c r="I9" s="28">
        <f>SUMIF(SerNovaDivida_LP!$V$73:$V$88,I$1,SerNovaDivida_LP!$W$73:$W$88)</f>
        <v>0</v>
      </c>
      <c r="J9" s="28">
        <f>SUMIF(SerNovaDivida_LP!$V$73:$V$88,J$1,SerNovaDivida_LP!$W$73:$W$88)</f>
        <v>0</v>
      </c>
      <c r="K9" s="28">
        <f>SUMIF(SerNovaDivida_LP!$V$73:$V$88,K$1,SerNovaDivida_LP!$W$73:$W$88)</f>
        <v>0</v>
      </c>
      <c r="L9" s="28">
        <f>SUMIF(SerNovaDivida_LP!$V$73:$V$88,L$1,SerNovaDivida_LP!$W$73:$W$88)</f>
        <v>0</v>
      </c>
      <c r="M9" s="28">
        <f>SUMIF(SerNovaDivida_LP!$V$73:$V$88,M$1,SerNovaDivida_LP!$W$73:$W$88)</f>
        <v>0</v>
      </c>
      <c r="N9" s="28">
        <f>SUMIF(SerNovaDivida_LP!$V$73:$V$88,N$1,SerNovaDivida_LP!$W$73:$W$88)</f>
        <v>0</v>
      </c>
      <c r="O9" s="28">
        <f>SUMIF(SerNovaDivida_LP!$V$73:$V$88,O$1,SerNovaDivida_LP!$W$73:$W$88)</f>
        <v>0</v>
      </c>
      <c r="P9" s="28">
        <f>SUMIF(SerNovaDivida_LP!$V$73:$V$88,P$1,SerNovaDivida_LP!$W$73:$W$88)</f>
        <v>0</v>
      </c>
      <c r="Q9" s="28">
        <f>SUMIF(SerNovaDivida_LP!$V$73:$V$88,Q$1,SerNovaDivida_LP!$W$73:$W$88)</f>
        <v>0</v>
      </c>
    </row>
    <row r="10" spans="1:26" x14ac:dyDescent="0.25">
      <c r="A10" s="496">
        <f t="shared" si="1"/>
        <v>2023</v>
      </c>
      <c r="B10" s="28">
        <f>SUMIF(SerNovaDivida_LP!$AE$73:$AE$88,B$1,SerNovaDivida_LP!$AF$73:$AF$88)</f>
        <v>0</v>
      </c>
      <c r="C10" s="28">
        <f>SUMIF(SerNovaDivida_LP!$AE$73:$AE$88,C$1,SerNovaDivida_LP!$AF$73:$AF$88)</f>
        <v>0</v>
      </c>
      <c r="D10" s="28">
        <f>SUMIF(SerNovaDivida_LP!$AE$73:$AE$88,D$1,SerNovaDivida_LP!$AF$73:$AF$88)</f>
        <v>0</v>
      </c>
      <c r="E10" s="28">
        <f>SUMIF(SerNovaDivida_LP!$AE$73:$AE$88,E$1,SerNovaDivida_LP!$AF$73:$AF$88)</f>
        <v>0</v>
      </c>
      <c r="F10" s="28">
        <f>SUMIF(SerNovaDivida_LP!$AE$73:$AE$88,F$1,SerNovaDivida_LP!$AF$73:$AF$88)</f>
        <v>0</v>
      </c>
      <c r="G10" s="28">
        <f>SUMIF(SerNovaDivida_LP!$AE$73:$AE$88,G$1,SerNovaDivida_LP!$AF$73:$AF$88)</f>
        <v>0</v>
      </c>
      <c r="H10" s="28">
        <f>SUMIF(SerNovaDivida_LP!$AE$73:$AE$88,H$1,SerNovaDivida_LP!$AF$73:$AF$88)</f>
        <v>0</v>
      </c>
      <c r="I10" s="28">
        <f>SUMIF(SerNovaDivida_LP!$AE$73:$AE$88,I$1,SerNovaDivida_LP!$AF$73:$AF$88)</f>
        <v>0</v>
      </c>
      <c r="J10" s="28">
        <f>SUMIF(SerNovaDivida_LP!$AE$73:$AE$88,J$1,SerNovaDivida_LP!$AF$73:$AF$88)</f>
        <v>0</v>
      </c>
      <c r="K10" s="28">
        <f>SUMIF(SerNovaDivida_LP!$AE$73:$AE$88,K$1,SerNovaDivida_LP!$AF$73:$AF$88)</f>
        <v>0</v>
      </c>
      <c r="L10" s="28">
        <f>SUMIF(SerNovaDivida_LP!$AE$73:$AE$88,L$1,SerNovaDivida_LP!$AF$73:$AF$88)</f>
        <v>0</v>
      </c>
      <c r="M10" s="28">
        <f>SUMIF(SerNovaDivida_LP!$AE$73:$AE$88,M$1,SerNovaDivida_LP!$AF$73:$AF$88)</f>
        <v>0</v>
      </c>
      <c r="N10" s="28">
        <f>SUMIF(SerNovaDivida_LP!$AE$73:$AE$88,N$1,SerNovaDivida_LP!$AF$73:$AF$88)</f>
        <v>0</v>
      </c>
      <c r="O10" s="28">
        <f>SUMIF(SerNovaDivida_LP!$AE$73:$AE$88,O$1,SerNovaDivida_LP!$AF$73:$AF$88)</f>
        <v>0</v>
      </c>
      <c r="P10" s="28">
        <f>SUMIF(SerNovaDivida_LP!$AE$73:$AE$88,P$1,SerNovaDivida_LP!$AF$73:$AF$88)</f>
        <v>0</v>
      </c>
      <c r="Q10" s="28">
        <f>SUMIF(SerNovaDivida_LP!$AE$73:$AE$88,Q$1,SerNovaDivida_LP!$AF$73:$AF$88)</f>
        <v>0</v>
      </c>
    </row>
    <row r="11" spans="1:26" x14ac:dyDescent="0.25">
      <c r="A11" s="496">
        <f t="shared" si="1"/>
        <v>2024</v>
      </c>
      <c r="B11" s="28">
        <f>SUMIF(SerNovaDivida_LP!$AN$73:$AN$88,B$1,SerNovaDivida_LP!$AO$73:$AO$88)</f>
        <v>0</v>
      </c>
      <c r="C11" s="28">
        <f>SUMIF(SerNovaDivida_LP!$AN$73:$AN$88,C$1,SerNovaDivida_LP!$AO$73:$AO$88)</f>
        <v>0</v>
      </c>
      <c r="D11" s="28">
        <f>SUMIF(SerNovaDivida_LP!$AN$73:$AN$88,D$1,SerNovaDivida_LP!$AO$73:$AO$88)</f>
        <v>0</v>
      </c>
      <c r="E11" s="28">
        <f>SUMIF(SerNovaDivida_LP!$AN$73:$AN$88,E$1,SerNovaDivida_LP!$AO$73:$AO$88)</f>
        <v>0</v>
      </c>
      <c r="F11" s="28">
        <f>SUMIF(SerNovaDivida_LP!$AN$73:$AN$88,F$1,SerNovaDivida_LP!$AO$73:$AO$88)</f>
        <v>0</v>
      </c>
      <c r="G11" s="28">
        <f>SUMIF(SerNovaDivida_LP!$AN$73:$AN$88,G$1,SerNovaDivida_LP!$AO$73:$AO$88)</f>
        <v>0</v>
      </c>
      <c r="H11" s="28">
        <f>SUMIF(SerNovaDivida_LP!$AN$73:$AN$88,H$1,SerNovaDivida_LP!$AO$73:$AO$88)</f>
        <v>0</v>
      </c>
      <c r="I11" s="28">
        <f>SUMIF(SerNovaDivida_LP!$AN$73:$AN$88,I$1,SerNovaDivida_LP!$AO$73:$AO$88)</f>
        <v>0</v>
      </c>
      <c r="J11" s="28">
        <f>SUMIF(SerNovaDivida_LP!$AN$73:$AN$88,J$1,SerNovaDivida_LP!$AO$73:$AO$88)</f>
        <v>0</v>
      </c>
      <c r="K11" s="28">
        <f>SUMIF(SerNovaDivida_LP!$AN$73:$AN$88,K$1,SerNovaDivida_LP!$AO$73:$AO$88)</f>
        <v>0</v>
      </c>
      <c r="L11" s="28">
        <f>SUMIF(SerNovaDivida_LP!$AN$73:$AN$88,L$1,SerNovaDivida_LP!$AO$73:$AO$88)</f>
        <v>0</v>
      </c>
      <c r="M11" s="28">
        <f>SUMIF(SerNovaDivida_LP!$AN$73:$AN$88,M$1,SerNovaDivida_LP!$AO$73:$AO$88)</f>
        <v>0</v>
      </c>
      <c r="N11" s="28">
        <f>SUMIF(SerNovaDivida_LP!$AN$73:$AN$88,N$1,SerNovaDivida_LP!$AO$73:$AO$88)</f>
        <v>0</v>
      </c>
      <c r="O11" s="28">
        <f>SUMIF(SerNovaDivida_LP!$AN$73:$AN$88,O$1,SerNovaDivida_LP!$AO$73:$AO$88)</f>
        <v>0</v>
      </c>
      <c r="P11" s="28">
        <f>SUMIF(SerNovaDivida_LP!$AN$73:$AN$88,P$1,SerNovaDivida_LP!$AO$73:$AO$88)</f>
        <v>0</v>
      </c>
      <c r="Q11" s="28">
        <f>SUMIF(SerNovaDivida_LP!$AN$73:$AN$88,Q$1,SerNovaDivida_LP!$AO$73:$AO$88)</f>
        <v>0</v>
      </c>
    </row>
    <row r="12" spans="1:26" x14ac:dyDescent="0.25">
      <c r="A12" s="496">
        <f t="shared" si="1"/>
        <v>2025</v>
      </c>
      <c r="B12" s="28">
        <f>SUMIF(SerNovaDivida_LP!$AW$73:$AW$88,B$1,SerNovaDivida_LP!$AX$73:$AX$88)</f>
        <v>0</v>
      </c>
      <c r="C12" s="28">
        <f>SUMIF(SerNovaDivida_LP!$AW$73:$AW$88,C$1,SerNovaDivida_LP!$AX$73:$AX$88)</f>
        <v>0</v>
      </c>
      <c r="D12" s="28">
        <f>SUMIF(SerNovaDivida_LP!$AW$73:$AW$88,D$1,SerNovaDivida_LP!$AX$73:$AX$88)</f>
        <v>0</v>
      </c>
      <c r="E12" s="28">
        <f>SUMIF(SerNovaDivida_LP!$AW$73:$AW$88,E$1,SerNovaDivida_LP!$AX$73:$AX$88)</f>
        <v>0</v>
      </c>
      <c r="F12" s="28">
        <f>SUMIF(SerNovaDivida_LP!$AW$73:$AW$88,F$1,SerNovaDivida_LP!$AX$73:$AX$88)</f>
        <v>0</v>
      </c>
      <c r="G12" s="28">
        <f>SUMIF(SerNovaDivida_LP!$AW$73:$AW$88,G$1,SerNovaDivida_LP!$AX$73:$AX$88)</f>
        <v>0</v>
      </c>
      <c r="H12" s="28">
        <f>SUMIF(SerNovaDivida_LP!$AW$73:$AW$88,H$1,SerNovaDivida_LP!$AX$73:$AX$88)</f>
        <v>0</v>
      </c>
      <c r="I12" s="28">
        <f>SUMIF(SerNovaDivida_LP!$AW$73:$AW$88,I$1,SerNovaDivida_LP!$AX$73:$AX$88)</f>
        <v>0</v>
      </c>
      <c r="J12" s="28">
        <f>SUMIF(SerNovaDivida_LP!$AW$73:$AW$88,J$1,SerNovaDivida_LP!$AX$73:$AX$88)</f>
        <v>0</v>
      </c>
      <c r="K12" s="28">
        <f>SUMIF(SerNovaDivida_LP!$AW$73:$AW$88,K$1,SerNovaDivida_LP!$AX$73:$AX$88)</f>
        <v>0</v>
      </c>
      <c r="L12" s="28">
        <f>SUMIF(SerNovaDivida_LP!$AW$73:$AW$88,L$1,SerNovaDivida_LP!$AX$73:$AX$88)</f>
        <v>0</v>
      </c>
      <c r="M12" s="28">
        <f>SUMIF(SerNovaDivida_LP!$AW$73:$AW$88,M$1,SerNovaDivida_LP!$AX$73:$AX$88)</f>
        <v>0</v>
      </c>
      <c r="N12" s="28">
        <f>SUMIF(SerNovaDivida_LP!$AW$73:$AW$88,N$1,SerNovaDivida_LP!$AX$73:$AX$88)</f>
        <v>0</v>
      </c>
      <c r="O12" s="28">
        <f>SUMIF(SerNovaDivida_LP!$AW$73:$AW$88,O$1,SerNovaDivida_LP!$AX$73:$AX$88)</f>
        <v>0</v>
      </c>
      <c r="P12" s="28">
        <f>SUMIF(SerNovaDivida_LP!$AW$73:$AW$88,P$1,SerNovaDivida_LP!$AX$73:$AX$88)</f>
        <v>0</v>
      </c>
      <c r="Q12" s="28">
        <f>SUMIF(SerNovaDivida_LP!$AW$73:$AW$88,Q$1,SerNovaDivida_LP!$AX$73:$AX$88)</f>
        <v>0</v>
      </c>
    </row>
    <row r="13" spans="1:26" x14ac:dyDescent="0.25">
      <c r="A13" s="496">
        <f t="shared" si="1"/>
        <v>2026</v>
      </c>
      <c r="B13" s="28">
        <f>SUMIF(SerNovaDivida_LP!$BF$73:$BF$88,B$1,SerNovaDivida_LP!$BG$73:$BG$88)</f>
        <v>0</v>
      </c>
      <c r="C13" s="28">
        <f>SUMIF(SerNovaDivida_LP!$BF$73:$BF$88,C$1,SerNovaDivida_LP!$BG$73:$BG$88)</f>
        <v>0</v>
      </c>
      <c r="D13" s="28">
        <f>SUMIF(SerNovaDivida_LP!$BF$73:$BF$88,D$1,SerNovaDivida_LP!$BG$73:$BG$88)</f>
        <v>0</v>
      </c>
      <c r="E13" s="28">
        <f>SUMIF(SerNovaDivida_LP!$BF$73:$BF$88,E$1,SerNovaDivida_LP!$BG$73:$BG$88)</f>
        <v>0</v>
      </c>
      <c r="F13" s="28">
        <f>SUMIF(SerNovaDivida_LP!$BF$73:$BF$88,F$1,SerNovaDivida_LP!$BG$73:$BG$88)</f>
        <v>0</v>
      </c>
      <c r="G13" s="28">
        <f>SUMIF(SerNovaDivida_LP!$BF$73:$BF$88,G$1,SerNovaDivida_LP!$BG$73:$BG$88)</f>
        <v>0</v>
      </c>
      <c r="H13" s="28">
        <f>SUMIF(SerNovaDivida_LP!$BF$73:$BF$88,H$1,SerNovaDivida_LP!$BG$73:$BG$88)</f>
        <v>0</v>
      </c>
      <c r="I13" s="28">
        <f>SUMIF(SerNovaDivida_LP!$BF$73:$BF$88,I$1,SerNovaDivida_LP!$BG$73:$BG$88)</f>
        <v>0</v>
      </c>
      <c r="J13" s="28">
        <f>SUMIF(SerNovaDivida_LP!$BF$73:$BF$88,J$1,SerNovaDivida_LP!$BG$73:$BG$88)</f>
        <v>0</v>
      </c>
      <c r="K13" s="28">
        <f>SUMIF(SerNovaDivida_LP!$BF$73:$BF$88,K$1,SerNovaDivida_LP!$BG$73:$BG$88)</f>
        <v>0</v>
      </c>
      <c r="L13" s="28">
        <f>SUMIF(SerNovaDivida_LP!$BF$73:$BF$88,L$1,SerNovaDivida_LP!$BG$73:$BG$88)</f>
        <v>0</v>
      </c>
      <c r="M13" s="28">
        <f>SUMIF(SerNovaDivida_LP!$BF$73:$BF$88,M$1,SerNovaDivida_LP!$BG$73:$BG$88)</f>
        <v>0</v>
      </c>
      <c r="N13" s="28">
        <f>SUMIF(SerNovaDivida_LP!$BF$73:$BF$88,N$1,SerNovaDivida_LP!$BG$73:$BG$88)</f>
        <v>0</v>
      </c>
      <c r="O13" s="28">
        <f>SUMIF(SerNovaDivida_LP!$BF$73:$BF$88,O$1,SerNovaDivida_LP!$BG$73:$BG$88)</f>
        <v>0</v>
      </c>
      <c r="P13" s="28">
        <f>SUMIF(SerNovaDivida_LP!$BF$73:$BF$88,P$1,SerNovaDivida_LP!$BG$73:$BG$88)</f>
        <v>0</v>
      </c>
      <c r="Q13" s="28">
        <f>SUMIF(SerNovaDivida_LP!$BF$73:$BF$88,Q$1,SerNovaDivida_LP!$BG$73:$BG$88)</f>
        <v>0</v>
      </c>
    </row>
    <row r="14" spans="1:26" x14ac:dyDescent="0.25">
      <c r="A14" s="496">
        <f t="shared" si="1"/>
        <v>2027</v>
      </c>
      <c r="B14" s="28">
        <f>SUMIF(SerNovaDivida_LP!$BO$73:$BO$88,B$1,SerNovaDivida_LP!$BP$73:$BP$88)</f>
        <v>0</v>
      </c>
      <c r="C14" s="28">
        <f>SUMIF(SerNovaDivida_LP!$BO$73:$BO$88,C$1,SerNovaDivida_LP!$BP$73:$BP$88)</f>
        <v>0</v>
      </c>
      <c r="D14" s="28">
        <f>SUMIF(SerNovaDivida_LP!$BO$73:$BO$88,D$1,SerNovaDivida_LP!$BP$73:$BP$88)</f>
        <v>0</v>
      </c>
      <c r="E14" s="28">
        <f>SUMIF(SerNovaDivida_LP!$BO$73:$BO$88,E$1,SerNovaDivida_LP!$BP$73:$BP$88)</f>
        <v>0</v>
      </c>
      <c r="F14" s="28">
        <f>SUMIF(SerNovaDivida_LP!$BO$73:$BO$88,F$1,SerNovaDivida_LP!$BP$73:$BP$88)</f>
        <v>0</v>
      </c>
      <c r="G14" s="28">
        <f>SUMIF(SerNovaDivida_LP!$BO$73:$BO$88,G$1,SerNovaDivida_LP!$BP$73:$BP$88)</f>
        <v>0</v>
      </c>
      <c r="H14" s="28">
        <f>SUMIF(SerNovaDivida_LP!$BO$73:$BO$88,H$1,SerNovaDivida_LP!$BP$73:$BP$88)</f>
        <v>0</v>
      </c>
      <c r="I14" s="28">
        <f>SUMIF(SerNovaDivida_LP!$BO$73:$BO$88,I$1,SerNovaDivida_LP!$BP$73:$BP$88)</f>
        <v>0</v>
      </c>
      <c r="J14" s="28">
        <f>SUMIF(SerNovaDivida_LP!$BO$73:$BO$88,J$1,SerNovaDivida_LP!$BP$73:$BP$88)</f>
        <v>0</v>
      </c>
      <c r="K14" s="28">
        <f>SUMIF(SerNovaDivida_LP!$BO$73:$BO$88,K$1,SerNovaDivida_LP!$BP$73:$BP$88)</f>
        <v>0</v>
      </c>
      <c r="L14" s="28">
        <f>SUMIF(SerNovaDivida_LP!$BO$73:$BO$88,L$1,SerNovaDivida_LP!$BP$73:$BP$88)</f>
        <v>0</v>
      </c>
      <c r="M14" s="28">
        <f>SUMIF(SerNovaDivida_LP!$BO$73:$BO$88,M$1,SerNovaDivida_LP!$BP$73:$BP$88)</f>
        <v>0</v>
      </c>
      <c r="N14" s="28">
        <f>SUMIF(SerNovaDivida_LP!$BO$73:$BO$88,N$1,SerNovaDivida_LP!$BP$73:$BP$88)</f>
        <v>0</v>
      </c>
      <c r="O14" s="28">
        <f>SUMIF(SerNovaDivida_LP!$BO$73:$BO$88,O$1,SerNovaDivida_LP!$BP$73:$BP$88)</f>
        <v>0</v>
      </c>
      <c r="P14" s="28">
        <f>SUMIF(SerNovaDivida_LP!$BO$73:$BO$88,P$1,SerNovaDivida_LP!$BP$73:$BP$88)</f>
        <v>0</v>
      </c>
      <c r="Q14" s="28">
        <f>SUMIF(SerNovaDivida_LP!$BO$73:$BO$88,Q$1,SerNovaDivida_LP!$BP$73:$BP$88)</f>
        <v>0</v>
      </c>
    </row>
    <row r="15" spans="1:26" x14ac:dyDescent="0.25">
      <c r="A15" s="496">
        <f t="shared" si="1"/>
        <v>2028</v>
      </c>
      <c r="B15" s="28">
        <f>SUMIF(SerNovaDivida_LP!BX$73:$BX$88,B$1,SerNovaDivida_LP!$BY$73:$BY$88)</f>
        <v>0</v>
      </c>
      <c r="C15" s="28">
        <f ca="1">SUMIF(SerNovaDivida_LP!$BX$73:BY$88,C$1,SerNovaDivida_LP!$BY$73:$BY$88)</f>
        <v>0</v>
      </c>
      <c r="D15" s="28">
        <f ca="1">SUMIF(SerNovaDivida_LP!$BX$73:BZ$88,D$1,SerNovaDivida_LP!$BY$73:$BY$88)</f>
        <v>0</v>
      </c>
      <c r="E15" s="28">
        <f ca="1">SUMIF(SerNovaDivida_LP!$BX$73:CA$88,E$1,SerNovaDivida_LP!$BY$73:$BY$88)</f>
        <v>0</v>
      </c>
      <c r="F15" s="28">
        <f ca="1">SUMIF(SerNovaDivida_LP!$BX$73:CB$88,F$1,SerNovaDivida_LP!$BY$73:$BY$88)</f>
        <v>0</v>
      </c>
      <c r="G15" s="28">
        <f ca="1">SUMIF(SerNovaDivida_LP!$BX$73:CC$88,G$1,SerNovaDivida_LP!$BY$73:$BY$88)</f>
        <v>0</v>
      </c>
      <c r="H15" s="28">
        <f ca="1">SUMIF(SerNovaDivida_LP!$BX$73:CD$88,H$1,SerNovaDivida_LP!$BY$73:$BY$88)</f>
        <v>0</v>
      </c>
      <c r="I15" s="28">
        <f ca="1">SUMIF(SerNovaDivida_LP!$BX$73:CE$88,I$1,SerNovaDivida_LP!$BY$73:$BY$88)</f>
        <v>0</v>
      </c>
      <c r="J15" s="28">
        <f ca="1">SUMIF(SerNovaDivida_LP!$BX$73:CF$88,J$1,SerNovaDivida_LP!$BY$73:$BY$88)</f>
        <v>0</v>
      </c>
      <c r="K15" s="28">
        <f ca="1">SUMIF(SerNovaDivida_LP!$BX$73:CG$88,K$1,SerNovaDivida_LP!$BY$73:$BY$88)</f>
        <v>0</v>
      </c>
      <c r="L15" s="28">
        <f ca="1">SUMIF(SerNovaDivida_LP!$BX$73:CH$88,L$1,SerNovaDivida_LP!$BY$73:$BY$88)</f>
        <v>0</v>
      </c>
      <c r="M15" s="28">
        <f ca="1">SUMIF(SerNovaDivida_LP!$BX$73:CI$88,M$1,SerNovaDivida_LP!$BY$73:$BY$88)</f>
        <v>0</v>
      </c>
      <c r="N15" s="28">
        <f ca="1">SUMIF(SerNovaDivida_LP!$BX$73:CJ$88,N$1,SerNovaDivida_LP!$BY$73:$BY$88)</f>
        <v>0</v>
      </c>
      <c r="O15" s="28">
        <f ca="1">SUMIF(SerNovaDivida_LP!$BX$73:CK$88,O$1,SerNovaDivida_LP!$BY$73:$BY$88)</f>
        <v>0</v>
      </c>
      <c r="P15" s="28">
        <f ca="1">SUMIF(SerNovaDivida_LP!$BX$73:CL$88,P$1,SerNovaDivida_LP!$BY$73:$BY$88)</f>
        <v>0</v>
      </c>
      <c r="Q15" s="28">
        <f ca="1">SUMIF(SerNovaDivida_LP!$BX$73:CM$88,Q$1,SerNovaDivida_LP!$BY$73:$BY$88)</f>
        <v>0</v>
      </c>
    </row>
    <row r="16" spans="1:26" x14ac:dyDescent="0.25">
      <c r="A16" s="496">
        <f t="shared" si="1"/>
        <v>2029</v>
      </c>
      <c r="B16" s="28">
        <f>SUMIF(SerNovaDivida_LP!$CG$73:$CG$88,B$1,SerNovaDivida_LP!$CH$73:$CH$88)</f>
        <v>0</v>
      </c>
      <c r="C16" s="28">
        <f>SUMIF(SerNovaDivida_LP!$CG$73:$CG$88,C$1,SerNovaDivida_LP!$CH$73:$CH$88)</f>
        <v>0</v>
      </c>
      <c r="D16" s="28">
        <f>SUMIF(SerNovaDivida_LP!$CG$73:$CG$88,D$1,SerNovaDivida_LP!$CH$73:$CH$88)</f>
        <v>0</v>
      </c>
      <c r="E16" s="28">
        <f>SUMIF(SerNovaDivida_LP!$CG$73:$CG$88,E$1,SerNovaDivida_LP!$CH$73:$CH$88)</f>
        <v>0</v>
      </c>
      <c r="F16" s="28">
        <f>SUMIF(SerNovaDivida_LP!$CG$73:$CG$88,F$1,SerNovaDivida_LP!$CH$73:$CH$88)</f>
        <v>0</v>
      </c>
      <c r="G16" s="28">
        <f>SUMIF(SerNovaDivida_LP!$CG$73:$CG$88,G$1,SerNovaDivida_LP!$CH$73:$CH$88)</f>
        <v>0</v>
      </c>
      <c r="H16" s="28">
        <f>SUMIF(SerNovaDivida_LP!$CG$73:$CG$88,H$1,SerNovaDivida_LP!$CH$73:$CH$88)</f>
        <v>0</v>
      </c>
      <c r="I16" s="28">
        <f>SUMIF(SerNovaDivida_LP!$CG$73:$CG$88,I$1,SerNovaDivida_LP!$CH$73:$CH$88)</f>
        <v>0</v>
      </c>
      <c r="J16" s="28">
        <f>SUMIF(SerNovaDivida_LP!$CG$73:$CG$88,J$1,SerNovaDivida_LP!$CH$73:$CH$88)</f>
        <v>0</v>
      </c>
      <c r="K16" s="28">
        <f>SUMIF(SerNovaDivida_LP!$CG$73:$CG$88,K$1,SerNovaDivida_LP!$CH$73:$CH$88)</f>
        <v>0</v>
      </c>
      <c r="L16" s="28">
        <f>SUMIF(SerNovaDivida_LP!$CG$73:$CG$88,L$1,SerNovaDivida_LP!$CH$73:$CH$88)</f>
        <v>0</v>
      </c>
      <c r="M16" s="28">
        <f>SUMIF(SerNovaDivida_LP!$CG$73:$CG$88,M$1,SerNovaDivida_LP!$CH$73:$CH$88)</f>
        <v>0</v>
      </c>
      <c r="N16" s="28">
        <f>SUMIF(SerNovaDivida_LP!$CG$73:$CG$88,N$1,SerNovaDivida_LP!$CH$73:$CH$88)</f>
        <v>0</v>
      </c>
      <c r="O16" s="28">
        <f>SUMIF(SerNovaDivida_LP!$CG$73:$CG$88,O$1,SerNovaDivida_LP!$CH$73:$CH$88)</f>
        <v>0</v>
      </c>
      <c r="P16" s="28">
        <f>SUMIF(SerNovaDivida_LP!$CG$73:$CG$88,P$1,SerNovaDivida_LP!$CH$73:$CH$88)</f>
        <v>0</v>
      </c>
      <c r="Q16" s="28">
        <f>SUMIF(SerNovaDivida_LP!$CG$73:$CG$88,Q$1,SerNovaDivida_LP!$CH$73:$CH$88)</f>
        <v>0</v>
      </c>
    </row>
    <row r="17" spans="1:17" s="999" customFormat="1" x14ac:dyDescent="0.25">
      <c r="A17" s="998" t="s">
        <v>387</v>
      </c>
      <c r="B17" s="821">
        <f>SUM(B6:B16)</f>
        <v>0</v>
      </c>
      <c r="C17" s="821">
        <f t="shared" ref="C17:Q17" ca="1" si="2">SUM(C6:C16)</f>
        <v>0</v>
      </c>
      <c r="D17" s="821">
        <f t="shared" ca="1" si="2"/>
        <v>0</v>
      </c>
      <c r="E17" s="821">
        <f t="shared" ca="1" si="2"/>
        <v>0</v>
      </c>
      <c r="F17" s="821">
        <f t="shared" ca="1" si="2"/>
        <v>0</v>
      </c>
      <c r="G17" s="821">
        <f t="shared" ca="1" si="2"/>
        <v>0</v>
      </c>
      <c r="H17" s="821">
        <f t="shared" ca="1" si="2"/>
        <v>0</v>
      </c>
      <c r="I17" s="821">
        <f t="shared" ca="1" si="2"/>
        <v>0</v>
      </c>
      <c r="J17" s="821">
        <f t="shared" ca="1" si="2"/>
        <v>0</v>
      </c>
      <c r="K17" s="821">
        <f t="shared" ca="1" si="2"/>
        <v>0</v>
      </c>
      <c r="L17" s="821">
        <f t="shared" ca="1" si="2"/>
        <v>0</v>
      </c>
      <c r="M17" s="821">
        <f t="shared" ca="1" si="2"/>
        <v>0</v>
      </c>
      <c r="N17" s="821">
        <f t="shared" ca="1" si="2"/>
        <v>0</v>
      </c>
      <c r="O17" s="821">
        <f t="shared" ca="1" si="2"/>
        <v>0</v>
      </c>
      <c r="P17" s="821">
        <f t="shared" ca="1" si="2"/>
        <v>0</v>
      </c>
      <c r="Q17" s="821">
        <f t="shared" ca="1" si="2"/>
        <v>0</v>
      </c>
    </row>
    <row r="19" spans="1:17" x14ac:dyDescent="0.25">
      <c r="A19" s="996" t="s">
        <v>259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</row>
    <row r="20" spans="1:17" x14ac:dyDescent="0.25">
      <c r="A20" s="997" t="s">
        <v>386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</row>
    <row r="21" spans="1:17" x14ac:dyDescent="0.25">
      <c r="A21" s="1000">
        <f>A6</f>
        <v>2019</v>
      </c>
      <c r="B21" s="28">
        <f>SUMIF(SerDividaAntiga!$AE$74:$AE$89,B$1,SerDividaAntiga!$AG$74:$AG$89)</f>
        <v>0</v>
      </c>
      <c r="C21" s="28">
        <f>SUMIF(SerDividaAntiga!$AE$74:$AE$89,C$1,SerDividaAntiga!$AG$74:$AG$89)</f>
        <v>0</v>
      </c>
      <c r="D21" s="28">
        <f>SUMIF(SerDividaAntiga!$AE$74:$AE$89,D$1,SerDividaAntiga!$AG$74:$AG$89)</f>
        <v>0</v>
      </c>
      <c r="E21" s="28">
        <f>SUMIF(SerDividaAntiga!$AE$74:$AE$89,E$1,SerDividaAntiga!$AG$74:$AG$89)</f>
        <v>0</v>
      </c>
      <c r="F21" s="28">
        <f>SUMIF(SerDividaAntiga!$AE$74:$AE$89,F$1,SerDividaAntiga!$AG$74:$AG$89)</f>
        <v>0</v>
      </c>
      <c r="G21" s="28">
        <f>SUMIF(SerDividaAntiga!$AE$74:$AE$89,G$1,SerDividaAntiga!$AG$74:$AG$89)</f>
        <v>0</v>
      </c>
      <c r="H21" s="28">
        <f>SUMIF(SerDividaAntiga!$AE$74:$AE$89,H$1,SerDividaAntiga!$AG$74:$AG$89)</f>
        <v>0</v>
      </c>
      <c r="I21" s="28">
        <f>SUMIF(SerDividaAntiga!$AE$74:$AE$89,I$1,SerDividaAntiga!$AG$74:$AG$89)</f>
        <v>0</v>
      </c>
      <c r="J21" s="28">
        <f>SUMIF(SerDividaAntiga!$AE$74:$AE$89,J$1,SerDividaAntiga!$AG$74:$AG$89)</f>
        <v>0</v>
      </c>
      <c r="K21" s="28">
        <f>SUMIF(SerDividaAntiga!$AE$74:$AE$89,K$1,SerDividaAntiga!$AG$74:$AG$89)</f>
        <v>0</v>
      </c>
      <c r="L21" s="28">
        <f>SUMIF(SerDividaAntiga!$AE$74:$AE$89,L$1,SerDividaAntiga!$AG$74:$AG$89)</f>
        <v>0</v>
      </c>
      <c r="M21" s="28">
        <f>SUMIF(SerDividaAntiga!$AE$74:$AE$89,M$1,SerDividaAntiga!$AG$74:$AG$89)</f>
        <v>0</v>
      </c>
      <c r="N21" s="28">
        <f>SUMIF(SerDividaAntiga!$AE$74:$AE$89,N$1,SerDividaAntiga!$AG$74:$AG$89)</f>
        <v>0</v>
      </c>
      <c r="O21" s="28">
        <f>SUMIF(SerDividaAntiga!$AE$74:$AE$89,O$1,SerDividaAntiga!$AG$74:$AG$89)</f>
        <v>0</v>
      </c>
      <c r="P21" s="28">
        <f>SUMIF(SerDividaAntiga!$AE$74:$AE$89,P$1,SerDividaAntiga!$AG$74:$AG$89)</f>
        <v>0</v>
      </c>
      <c r="Q21" s="28">
        <f>SUMIF(SerDividaAntiga!$AE$74:$AE$89,Q$1,SerDividaAntiga!$AG$74:$AG$89)</f>
        <v>0</v>
      </c>
    </row>
    <row r="22" spans="1:17" x14ac:dyDescent="0.25">
      <c r="A22" s="1000">
        <f>A7</f>
        <v>2020</v>
      </c>
      <c r="B22" s="28">
        <f>SUMIF(SerNovaDivida_LP!$D$73:$D$88,B$1,SerNovaDivida_LP!$F$73:$F$88)</f>
        <v>0</v>
      </c>
      <c r="C22" s="28">
        <f>SUMIF(SerNovaDivida_LP!$D$73:$D$88,C$1,SerNovaDivida_LP!$F$73:$F$88)</f>
        <v>0</v>
      </c>
      <c r="D22" s="28">
        <f>SUMIF(SerNovaDivida_LP!$D$73:$D$88,D$1,SerNovaDivida_LP!$F$73:$F$88)</f>
        <v>0</v>
      </c>
      <c r="E22" s="28">
        <f>SUMIF(SerNovaDivida_LP!$D$73:$D$88,E$1,SerNovaDivida_LP!$F$73:$F$88)</f>
        <v>0</v>
      </c>
      <c r="F22" s="28">
        <f>SUMIF(SerNovaDivida_LP!$D$73:$D$88,F$1,SerNovaDivida_LP!$F$73:$F$88)</f>
        <v>0</v>
      </c>
      <c r="G22" s="28">
        <f>SUMIF(SerNovaDivida_LP!$D$73:$D$88,G$1,SerNovaDivida_LP!$F$73:$F$88)</f>
        <v>0</v>
      </c>
      <c r="H22" s="28">
        <f>SUMIF(SerNovaDivida_LP!$D$73:$D$88,H$1,SerNovaDivida_LP!$F$73:$F$88)</f>
        <v>0</v>
      </c>
      <c r="I22" s="28">
        <f>SUMIF(SerNovaDivida_LP!$D$73:$D$88,I$1,SerNovaDivida_LP!$F$73:$F$88)</f>
        <v>0</v>
      </c>
      <c r="J22" s="28">
        <f>SUMIF(SerNovaDivida_LP!$D$73:$D$88,J$1,SerNovaDivida_LP!$F$73:$F$88)</f>
        <v>0</v>
      </c>
      <c r="K22" s="28">
        <f>SUMIF(SerNovaDivida_LP!$D$73:$D$88,K$1,SerNovaDivida_LP!$F$73:$F$88)</f>
        <v>0</v>
      </c>
      <c r="L22" s="28">
        <f>SUMIF(SerNovaDivida_LP!$D$73:$D$88,L$1,SerNovaDivida_LP!$F$73:$F$88)</f>
        <v>0</v>
      </c>
      <c r="M22" s="28">
        <f>SUMIF(SerNovaDivida_LP!$D$73:$D$88,M$1,SerNovaDivida_LP!$F$73:$F$88)</f>
        <v>0</v>
      </c>
      <c r="N22" s="28">
        <f>SUMIF(SerNovaDivida_LP!$D$73:$D$88,N$1,SerNovaDivida_LP!$F$73:$F$88)</f>
        <v>0</v>
      </c>
      <c r="O22" s="28">
        <f>SUMIF(SerNovaDivida_LP!$D$73:$D$88,O$1,SerNovaDivida_LP!$F$73:$F$88)</f>
        <v>0</v>
      </c>
      <c r="P22" s="28">
        <f>SUMIF(SerNovaDivida_LP!$D$73:$D$88,P$1,SerNovaDivida_LP!$F$73:$F$88)</f>
        <v>0</v>
      </c>
      <c r="Q22" s="28">
        <f>SUMIF(SerNovaDivida_LP!$D$73:$D$88,Q$1,SerNovaDivida_LP!$F$73:$F$88)</f>
        <v>0</v>
      </c>
    </row>
    <row r="23" spans="1:17" x14ac:dyDescent="0.25">
      <c r="A23" s="1000">
        <f t="shared" ref="A23:A31" si="3">A8</f>
        <v>2021</v>
      </c>
      <c r="B23" s="28">
        <f>SUMIF(SerNovaDivida_LP!$M$73:$M$88,B$1,SerNovaDivida_LP!$O$73:$O$88)</f>
        <v>0</v>
      </c>
      <c r="C23" s="28">
        <f>SUMIF(SerNovaDivida_LP!$M$73:$M$88,C$1,SerNovaDivida_LP!$O$73:$O$88)</f>
        <v>0</v>
      </c>
      <c r="D23" s="28">
        <f>SUMIF(SerNovaDivida_LP!$M$73:$M$88,D$1,SerNovaDivida_LP!$O$73:$O$88)</f>
        <v>0</v>
      </c>
      <c r="E23" s="28">
        <f>SUMIF(SerNovaDivida_LP!$M$73:$M$88,E$1,SerNovaDivida_LP!$O$73:$O$88)</f>
        <v>0</v>
      </c>
      <c r="F23" s="28">
        <f>SUMIF(SerNovaDivida_LP!$M$73:$M$88,F$1,SerNovaDivida_LP!$O$73:$O$88)</f>
        <v>0</v>
      </c>
      <c r="G23" s="28">
        <f>SUMIF(SerNovaDivida_LP!$M$73:$M$88,G$1,SerNovaDivida_LP!$O$73:$O$88)</f>
        <v>0</v>
      </c>
      <c r="H23" s="28">
        <f>SUMIF(SerNovaDivida_LP!$M$73:$M$88,H$1,SerNovaDivida_LP!$O$73:$O$88)</f>
        <v>0</v>
      </c>
      <c r="I23" s="28">
        <f>SUMIF(SerNovaDivida_LP!$M$73:$M$88,I$1,SerNovaDivida_LP!$O$73:$O$88)</f>
        <v>0</v>
      </c>
      <c r="J23" s="28">
        <f>SUMIF(SerNovaDivida_LP!$M$73:$M$88,J$1,SerNovaDivida_LP!$O$73:$O$88)</f>
        <v>0</v>
      </c>
      <c r="K23" s="28">
        <f>SUMIF(SerNovaDivida_LP!$M$73:$M$88,K$1,SerNovaDivida_LP!$O$73:$O$88)</f>
        <v>0</v>
      </c>
      <c r="L23" s="28">
        <f>SUMIF(SerNovaDivida_LP!$M$73:$M$88,L$1,SerNovaDivida_LP!$O$73:$O$88)</f>
        <v>0</v>
      </c>
      <c r="M23" s="28">
        <f>SUMIF(SerNovaDivida_LP!$M$73:$M$88,M$1,SerNovaDivida_LP!$O$73:$O$88)</f>
        <v>0</v>
      </c>
      <c r="N23" s="28">
        <f>SUMIF(SerNovaDivida_LP!$M$73:$M$88,N$1,SerNovaDivida_LP!$O$73:$O$88)</f>
        <v>0</v>
      </c>
      <c r="O23" s="28">
        <f>SUMIF(SerNovaDivida_LP!$M$73:$M$88,O$1,SerNovaDivida_LP!$O$73:$O$88)</f>
        <v>0</v>
      </c>
      <c r="P23" s="28">
        <f>SUMIF(SerNovaDivida_LP!$M$73:$M$88,P$1,SerNovaDivida_LP!$O$73:$O$88)</f>
        <v>0</v>
      </c>
      <c r="Q23" s="28">
        <f>SUMIF(SerNovaDivida_LP!$M$73:$M$88,Q$1,SerNovaDivida_LP!$O$73:$O$88)</f>
        <v>0</v>
      </c>
    </row>
    <row r="24" spans="1:17" x14ac:dyDescent="0.25">
      <c r="A24" s="1000">
        <f t="shared" si="3"/>
        <v>2022</v>
      </c>
      <c r="B24" s="28">
        <f>SUMIF(SerNovaDivida_LP!$V$73:$V$88,B$1,SerNovaDivida_LP!$X$73:$X$88)</f>
        <v>0</v>
      </c>
      <c r="C24" s="28">
        <f>SUMIF(SerNovaDivida_LP!$V$73:$V$88,C$1,SerNovaDivida_LP!$X$73:$X$88)</f>
        <v>0</v>
      </c>
      <c r="D24" s="28">
        <f>SUMIF(SerNovaDivida_LP!$V$73:$V$88,D$1,SerNovaDivida_LP!$X$73:$X$88)</f>
        <v>0</v>
      </c>
      <c r="E24" s="28">
        <f>SUMIF(SerNovaDivida_LP!$V$73:$V$88,E$1,SerNovaDivida_LP!$X$73:$X$88)</f>
        <v>0</v>
      </c>
      <c r="F24" s="28">
        <f>SUMIF(SerNovaDivida_LP!$V$73:$V$88,F$1,SerNovaDivida_LP!$X$73:$X$88)</f>
        <v>0</v>
      </c>
      <c r="G24" s="28">
        <f>SUMIF(SerNovaDivida_LP!$V$73:$V$88,G$1,SerNovaDivida_LP!$X$73:$X$88)</f>
        <v>0</v>
      </c>
      <c r="H24" s="28">
        <f>SUMIF(SerNovaDivida_LP!$V$73:$V$88,H$1,SerNovaDivida_LP!$X$73:$X$88)</f>
        <v>0</v>
      </c>
      <c r="I24" s="28">
        <f>SUMIF(SerNovaDivida_LP!$V$73:$V$88,I$1,SerNovaDivida_LP!$X$73:$X$88)</f>
        <v>0</v>
      </c>
      <c r="J24" s="28">
        <f>SUMIF(SerNovaDivida_LP!$V$73:$V$88,J$1,SerNovaDivida_LP!$X$73:$X$88)</f>
        <v>0</v>
      </c>
      <c r="K24" s="28">
        <f>SUMIF(SerNovaDivida_LP!$V$73:$V$88,K$1,SerNovaDivida_LP!$X$73:$X$88)</f>
        <v>0</v>
      </c>
      <c r="L24" s="28">
        <f>SUMIF(SerNovaDivida_LP!$V$73:$V$88,L$1,SerNovaDivida_LP!$X$73:$X$88)</f>
        <v>0</v>
      </c>
      <c r="M24" s="28">
        <f>SUMIF(SerNovaDivida_LP!$V$73:$V$88,M$1,SerNovaDivida_LP!$X$73:$X$88)</f>
        <v>0</v>
      </c>
      <c r="N24" s="28">
        <f>SUMIF(SerNovaDivida_LP!$V$73:$V$88,N$1,SerNovaDivida_LP!$X$73:$X$88)</f>
        <v>0</v>
      </c>
      <c r="O24" s="28">
        <f>SUMIF(SerNovaDivida_LP!$V$73:$V$88,O$1,SerNovaDivida_LP!$X$73:$X$88)</f>
        <v>0</v>
      </c>
      <c r="P24" s="28">
        <f>SUMIF(SerNovaDivida_LP!$V$73:$V$88,P$1,SerNovaDivida_LP!$X$73:$X$88)</f>
        <v>0</v>
      </c>
      <c r="Q24" s="28">
        <f>SUMIF(SerNovaDivida_LP!$V$73:$V$88,Q$1,SerNovaDivida_LP!$X$73:$X$88)</f>
        <v>0</v>
      </c>
    </row>
    <row r="25" spans="1:17" x14ac:dyDescent="0.25">
      <c r="A25" s="1000">
        <f t="shared" si="3"/>
        <v>2023</v>
      </c>
      <c r="B25" s="28">
        <f>SUMIF(SerNovaDivida_LP!$AE$73:$AE$88,B$1,SerNovaDivida_LP!$AG$73:$AG$88)</f>
        <v>0</v>
      </c>
      <c r="C25" s="28">
        <f>SUMIF(SerNovaDivida_LP!$AE$73:$AE$88,C$1,SerNovaDivida_LP!$AG$73:$AG$88)</f>
        <v>0</v>
      </c>
      <c r="D25" s="28">
        <f>SUMIF(SerNovaDivida_LP!$AE$73:$AE$88,D$1,SerNovaDivida_LP!$AG$73:$AG$88)</f>
        <v>0</v>
      </c>
      <c r="E25" s="28">
        <f>SUMIF(SerNovaDivida_LP!$AE$73:$AE$88,E$1,SerNovaDivida_LP!$AG$73:$AG$88)</f>
        <v>0</v>
      </c>
      <c r="F25" s="28">
        <f>SUMIF(SerNovaDivida_LP!$AE$73:$AE$88,F$1,SerNovaDivida_LP!$AG$73:$AG$88)</f>
        <v>0</v>
      </c>
      <c r="G25" s="28">
        <f>SUMIF(SerNovaDivida_LP!$AE$73:$AE$88,G$1,SerNovaDivida_LP!$AG$73:$AG$88)</f>
        <v>0</v>
      </c>
      <c r="H25" s="28">
        <f>SUMIF(SerNovaDivida_LP!$AE$73:$AE$88,H$1,SerNovaDivida_LP!$AG$73:$AG$88)</f>
        <v>0</v>
      </c>
      <c r="I25" s="28">
        <f>SUMIF(SerNovaDivida_LP!$AE$73:$AE$88,I$1,SerNovaDivida_LP!$AG$73:$AG$88)</f>
        <v>0</v>
      </c>
      <c r="J25" s="28">
        <f>SUMIF(SerNovaDivida_LP!$AE$73:$AE$88,J$1,SerNovaDivida_LP!$AG$73:$AG$88)</f>
        <v>0</v>
      </c>
      <c r="K25" s="28">
        <f>SUMIF(SerNovaDivida_LP!$AE$73:$AE$88,K$1,SerNovaDivida_LP!$AG$73:$AG$88)</f>
        <v>0</v>
      </c>
      <c r="L25" s="28">
        <f>SUMIF(SerNovaDivida_LP!$AE$73:$AE$88,L$1,SerNovaDivida_LP!$AG$73:$AG$88)</f>
        <v>0</v>
      </c>
      <c r="M25" s="28">
        <f>SUMIF(SerNovaDivida_LP!$AE$73:$AE$88,M$1,SerNovaDivida_LP!$AG$73:$AG$88)</f>
        <v>0</v>
      </c>
      <c r="N25" s="28">
        <f>SUMIF(SerNovaDivida_LP!$AE$73:$AE$88,N$1,SerNovaDivida_LP!$AG$73:$AG$88)</f>
        <v>0</v>
      </c>
      <c r="O25" s="28">
        <f>SUMIF(SerNovaDivida_LP!$AE$73:$AE$88,O$1,SerNovaDivida_LP!$AG$73:$AG$88)</f>
        <v>0</v>
      </c>
      <c r="P25" s="28">
        <f>SUMIF(SerNovaDivida_LP!$AE$73:$AE$88,P$1,SerNovaDivida_LP!$AG$73:$AG$88)</f>
        <v>0</v>
      </c>
      <c r="Q25" s="28">
        <f>SUMIF(SerNovaDivida_LP!$AE$73:$AE$88,Q$1,SerNovaDivida_LP!$AG$73:$AG$88)</f>
        <v>0</v>
      </c>
    </row>
    <row r="26" spans="1:17" x14ac:dyDescent="0.25">
      <c r="A26" s="1000">
        <f t="shared" si="3"/>
        <v>2024</v>
      </c>
      <c r="B26" s="28">
        <f>SUMIF(SerNovaDivida_LP!$AN$73:$AN$88,B$1,SerNovaDivida_LP!$AP$73:$AP$88)</f>
        <v>0</v>
      </c>
      <c r="C26" s="28">
        <f>SUMIF(SerNovaDivida_LP!$AN$73:$AN$88,C$1,SerNovaDivida_LP!$AP$73:$AP$88)</f>
        <v>0</v>
      </c>
      <c r="D26" s="28">
        <f>SUMIF(SerNovaDivida_LP!$AN$73:$AN$88,D$1,SerNovaDivida_LP!$AP$73:$AP$88)</f>
        <v>0</v>
      </c>
      <c r="E26" s="28">
        <f>SUMIF(SerNovaDivida_LP!$AN$73:$AN$88,E$1,SerNovaDivida_LP!$AP$73:$AP$88)</f>
        <v>0</v>
      </c>
      <c r="F26" s="28">
        <f>SUMIF(SerNovaDivida_LP!$AN$73:$AN$88,F$1,SerNovaDivida_LP!$AP$73:$AP$88)</f>
        <v>0</v>
      </c>
      <c r="G26" s="28">
        <f>SUMIF(SerNovaDivida_LP!$AN$73:$AN$88,G$1,SerNovaDivida_LP!$AP$73:$AP$88)</f>
        <v>0</v>
      </c>
      <c r="H26" s="28">
        <f>SUMIF(SerNovaDivida_LP!$AN$73:$AN$88,H$1,SerNovaDivida_LP!$AP$73:$AP$88)</f>
        <v>0</v>
      </c>
      <c r="I26" s="28">
        <f>SUMIF(SerNovaDivida_LP!$AN$73:$AN$88,I$1,SerNovaDivida_LP!$AP$73:$AP$88)</f>
        <v>0</v>
      </c>
      <c r="J26" s="28">
        <f>SUMIF(SerNovaDivida_LP!$AN$73:$AN$88,J$1,SerNovaDivida_LP!$AP$73:$AP$88)</f>
        <v>0</v>
      </c>
      <c r="K26" s="28">
        <f>SUMIF(SerNovaDivida_LP!$AN$73:$AN$88,K$1,SerNovaDivida_LP!$AP$73:$AP$88)</f>
        <v>0</v>
      </c>
      <c r="L26" s="28">
        <f>SUMIF(SerNovaDivida_LP!$AN$73:$AN$88,L$1,SerNovaDivida_LP!$AP$73:$AP$88)</f>
        <v>0</v>
      </c>
      <c r="M26" s="28">
        <f>SUMIF(SerNovaDivida_LP!$AN$73:$AN$88,M$1,SerNovaDivida_LP!$AP$73:$AP$88)</f>
        <v>0</v>
      </c>
      <c r="N26" s="28">
        <f>SUMIF(SerNovaDivida_LP!$AN$73:$AN$88,N$1,SerNovaDivida_LP!$AP$73:$AP$88)</f>
        <v>0</v>
      </c>
      <c r="O26" s="28">
        <f>SUMIF(SerNovaDivida_LP!$AN$73:$AN$88,O$1,SerNovaDivida_LP!$AP$73:$AP$88)</f>
        <v>0</v>
      </c>
      <c r="P26" s="28">
        <f>SUMIF(SerNovaDivida_LP!$AN$73:$AN$88,P$1,SerNovaDivida_LP!$AP$73:$AP$88)</f>
        <v>0</v>
      </c>
      <c r="Q26" s="28">
        <f>SUMIF(SerNovaDivida_LP!$AN$73:$AN$88,Q$1,SerNovaDivida_LP!$AP$73:$AP$88)</f>
        <v>0</v>
      </c>
    </row>
    <row r="27" spans="1:17" x14ac:dyDescent="0.25">
      <c r="A27" s="1000">
        <f t="shared" si="3"/>
        <v>2025</v>
      </c>
      <c r="B27" s="28">
        <f>SUMIF(SerNovaDivida_LP!$AW$73:$AW$88,B$1,SerNovaDivida_LP!$AY$73:$AY$88)</f>
        <v>0</v>
      </c>
      <c r="C27" s="28">
        <f>SUMIF(SerNovaDivida_LP!$AW$73:$AW$88,C$1,SerNovaDivida_LP!$AY$73:$AY$88)</f>
        <v>0</v>
      </c>
      <c r="D27" s="28">
        <f>SUMIF(SerNovaDivida_LP!$AW$73:$AW$88,D$1,SerNovaDivida_LP!$AY$73:$AY$88)</f>
        <v>0</v>
      </c>
      <c r="E27" s="28">
        <f>SUMIF(SerNovaDivida_LP!$AW$73:$AW$88,E$1,SerNovaDivida_LP!$AY$73:$AY$88)</f>
        <v>0</v>
      </c>
      <c r="F27" s="28">
        <f>SUMIF(SerNovaDivida_LP!$AW$73:$AW$88,F$1,SerNovaDivida_LP!$AY$73:$AY$88)</f>
        <v>0</v>
      </c>
      <c r="G27" s="28">
        <f>SUMIF(SerNovaDivida_LP!$AW$73:$AW$88,G$1,SerNovaDivida_LP!$AY$73:$AY$88)</f>
        <v>0</v>
      </c>
      <c r="H27" s="28">
        <f>SUMIF(SerNovaDivida_LP!$AW$73:$AW$88,H$1,SerNovaDivida_LP!$AY$73:$AY$88)</f>
        <v>0</v>
      </c>
      <c r="I27" s="28">
        <f>SUMIF(SerNovaDivida_LP!$AW$73:$AW$88,I$1,SerNovaDivida_LP!$AY$73:$AY$88)</f>
        <v>0</v>
      </c>
      <c r="J27" s="28">
        <f>SUMIF(SerNovaDivida_LP!$AW$73:$AW$88,J$1,SerNovaDivida_LP!$AY$73:$AY$88)</f>
        <v>0</v>
      </c>
      <c r="K27" s="28">
        <f>SUMIF(SerNovaDivida_LP!$AW$73:$AW$88,K$1,SerNovaDivida_LP!$AY$73:$AY$88)</f>
        <v>0</v>
      </c>
      <c r="L27" s="28">
        <f>SUMIF(SerNovaDivida_LP!$AW$73:$AW$88,L$1,SerNovaDivida_LP!$AY$73:$AY$88)</f>
        <v>0</v>
      </c>
      <c r="M27" s="28">
        <f>SUMIF(SerNovaDivida_LP!$AW$73:$AW$88,M$1,SerNovaDivida_LP!$AY$73:$AY$88)</f>
        <v>0</v>
      </c>
      <c r="N27" s="28">
        <f>SUMIF(SerNovaDivida_LP!$AW$73:$AW$88,N$1,SerNovaDivida_LP!$AY$73:$AY$88)</f>
        <v>0</v>
      </c>
      <c r="O27" s="28">
        <f>SUMIF(SerNovaDivida_LP!$AW$73:$AW$88,O$1,SerNovaDivida_LP!$AY$73:$AY$88)</f>
        <v>0</v>
      </c>
      <c r="P27" s="28">
        <f>SUMIF(SerNovaDivida_LP!$AW$73:$AW$88,P$1,SerNovaDivida_LP!$AY$73:$AY$88)</f>
        <v>0</v>
      </c>
      <c r="Q27" s="28">
        <f>SUMIF(SerNovaDivida_LP!$AW$73:$AW$88,Q$1,SerNovaDivida_LP!$AY$73:$AY$88)</f>
        <v>0</v>
      </c>
    </row>
    <row r="28" spans="1:17" x14ac:dyDescent="0.25">
      <c r="A28" s="1000">
        <f t="shared" si="3"/>
        <v>2026</v>
      </c>
      <c r="B28" s="28">
        <f>SUMIF(SerNovaDivida_LP!$BF$73:$BF$88,B$1,SerNovaDivida_LP!$BH$73:$BH$88)</f>
        <v>0</v>
      </c>
      <c r="C28" s="28">
        <f>SUMIF(SerNovaDivida_LP!$BF$73:$BF$88,C$1,SerNovaDivida_LP!$BH$73:$BH$88)</f>
        <v>0</v>
      </c>
      <c r="D28" s="28">
        <f>SUMIF(SerNovaDivida_LP!$BF$73:$BF$88,D$1,SerNovaDivida_LP!$BH$73:$BH$88)</f>
        <v>0</v>
      </c>
      <c r="E28" s="28">
        <f>SUMIF(SerNovaDivida_LP!$BF$73:$BF$88,E$1,SerNovaDivida_LP!$BH$73:$BH$88)</f>
        <v>0</v>
      </c>
      <c r="F28" s="28">
        <f>SUMIF(SerNovaDivida_LP!$BF$73:$BF$88,F$1,SerNovaDivida_LP!$BH$73:$BH$88)</f>
        <v>0</v>
      </c>
      <c r="G28" s="28">
        <f>SUMIF(SerNovaDivida_LP!$BF$73:$BF$88,G$1,SerNovaDivida_LP!$BH$73:$BH$88)</f>
        <v>0</v>
      </c>
      <c r="H28" s="28">
        <f>SUMIF(SerNovaDivida_LP!$BF$73:$BF$88,H$1,SerNovaDivida_LP!$BH$73:$BH$88)</f>
        <v>0</v>
      </c>
      <c r="I28" s="28">
        <f>SUMIF(SerNovaDivida_LP!$BF$73:$BF$88,I$1,SerNovaDivida_LP!$BH$73:$BH$88)</f>
        <v>0</v>
      </c>
      <c r="J28" s="28">
        <f>SUMIF(SerNovaDivida_LP!$BF$73:$BF$88,J$1,SerNovaDivida_LP!$BH$73:$BH$88)</f>
        <v>0</v>
      </c>
      <c r="K28" s="28">
        <f>SUMIF(SerNovaDivida_LP!$BF$73:$BF$88,K$1,SerNovaDivida_LP!$BH$73:$BH$88)</f>
        <v>0</v>
      </c>
      <c r="L28" s="28">
        <f>SUMIF(SerNovaDivida_LP!$BF$73:$BF$88,L$1,SerNovaDivida_LP!$BH$73:$BH$88)</f>
        <v>0</v>
      </c>
      <c r="M28" s="28">
        <f>SUMIF(SerNovaDivida_LP!$BF$73:$BF$88,M$1,SerNovaDivida_LP!$BH$73:$BH$88)</f>
        <v>0</v>
      </c>
      <c r="N28" s="28">
        <f>SUMIF(SerNovaDivida_LP!$BF$73:$BF$88,N$1,SerNovaDivida_LP!$BH$73:$BH$88)</f>
        <v>0</v>
      </c>
      <c r="O28" s="28">
        <f>SUMIF(SerNovaDivida_LP!$BF$73:$BF$88,O$1,SerNovaDivida_LP!$BH$73:$BH$88)</f>
        <v>0</v>
      </c>
      <c r="P28" s="28">
        <f>SUMIF(SerNovaDivida_LP!$BF$73:$BF$88,P$1,SerNovaDivida_LP!$BH$73:$BH$88)</f>
        <v>0</v>
      </c>
      <c r="Q28" s="28">
        <f>SUMIF(SerNovaDivida_LP!$BF$73:$BF$88,Q$1,SerNovaDivida_LP!$BH$73:$BH$88)</f>
        <v>0</v>
      </c>
    </row>
    <row r="29" spans="1:17" x14ac:dyDescent="0.25">
      <c r="A29" s="1000">
        <f t="shared" si="3"/>
        <v>2027</v>
      </c>
      <c r="B29" s="28">
        <f>SUMIF(SerNovaDivida_LP!$BO$73:$BO$88,B$1,SerNovaDivida_LP!$BQ$73:$BQ$88)</f>
        <v>0</v>
      </c>
      <c r="C29" s="28">
        <f>SUMIF(SerNovaDivida_LP!$BO$73:$BO$88,C$1,SerNovaDivida_LP!$BQ$73:$BQ$88)</f>
        <v>0</v>
      </c>
      <c r="D29" s="28">
        <f>SUMIF(SerNovaDivida_LP!$BO$73:$BO$88,D$1,SerNovaDivida_LP!$BQ$73:$BQ$88)</f>
        <v>0</v>
      </c>
      <c r="E29" s="28">
        <f>SUMIF(SerNovaDivida_LP!$BO$73:$BO$88,E$1,SerNovaDivida_LP!$BQ$73:$BQ$88)</f>
        <v>0</v>
      </c>
      <c r="F29" s="28">
        <f>SUMIF(SerNovaDivida_LP!$BO$73:$BO$88,F$1,SerNovaDivida_LP!$BQ$73:$BQ$88)</f>
        <v>0</v>
      </c>
      <c r="G29" s="28">
        <f>SUMIF(SerNovaDivida_LP!$BO$73:$BO$88,G$1,SerNovaDivida_LP!$BQ$73:$BQ$88)</f>
        <v>0</v>
      </c>
      <c r="H29" s="28">
        <f>SUMIF(SerNovaDivida_LP!$BO$73:$BO$88,H$1,SerNovaDivida_LP!$BQ$73:$BQ$88)</f>
        <v>0</v>
      </c>
      <c r="I29" s="28">
        <f>SUMIF(SerNovaDivida_LP!$BO$73:$BO$88,I$1,SerNovaDivida_LP!$BQ$73:$BQ$88)</f>
        <v>0</v>
      </c>
      <c r="J29" s="28">
        <f>SUMIF(SerNovaDivida_LP!$BO$73:$BO$88,J$1,SerNovaDivida_LP!$BQ$73:$BQ$88)</f>
        <v>0</v>
      </c>
      <c r="K29" s="28">
        <f>SUMIF(SerNovaDivida_LP!$BO$73:$BO$88,K$1,SerNovaDivida_LP!$BQ$73:$BQ$88)</f>
        <v>0</v>
      </c>
      <c r="L29" s="28">
        <f>SUMIF(SerNovaDivida_LP!$BO$73:$BO$88,L$1,SerNovaDivida_LP!$BQ$73:$BQ$88)</f>
        <v>0</v>
      </c>
      <c r="M29" s="28">
        <f>SUMIF(SerNovaDivida_LP!$BO$73:$BO$88,M$1,SerNovaDivida_LP!$BQ$73:$BQ$88)</f>
        <v>0</v>
      </c>
      <c r="N29" s="28">
        <f>SUMIF(SerNovaDivida_LP!$BO$73:$BO$88,N$1,SerNovaDivida_LP!$BQ$73:$BQ$88)</f>
        <v>0</v>
      </c>
      <c r="O29" s="28">
        <f>SUMIF(SerNovaDivida_LP!$BO$73:$BO$88,O$1,SerNovaDivida_LP!$BQ$73:$BQ$88)</f>
        <v>0</v>
      </c>
      <c r="P29" s="28">
        <f>SUMIF(SerNovaDivida_LP!$BO$73:$BO$88,P$1,SerNovaDivida_LP!$BQ$73:$BQ$88)</f>
        <v>0</v>
      </c>
      <c r="Q29" s="28">
        <f>SUMIF(SerNovaDivida_LP!$BO$73:$BO$88,Q$1,SerNovaDivida_LP!$BQ$73:$BQ$88)</f>
        <v>0</v>
      </c>
    </row>
    <row r="30" spans="1:17" x14ac:dyDescent="0.25">
      <c r="A30" s="1000">
        <f t="shared" si="3"/>
        <v>2028</v>
      </c>
      <c r="B30" s="28">
        <f>SUMIF(SerNovaDivida_LP!BX$73:$BX$88,B$1,SerNovaDivida_LP!$BZ$73:$BZ$88)</f>
        <v>0</v>
      </c>
      <c r="C30" s="28">
        <f ca="1">SUMIF(SerNovaDivida_LP!$BX$73:BY$88,C$1,SerNovaDivida_LP!$BZ$73:$BZ$88)</f>
        <v>0</v>
      </c>
      <c r="D30" s="28">
        <f ca="1">SUMIF(SerNovaDivida_LP!$BX$73:BZ$88,D$1,SerNovaDivida_LP!$BZ$73:$BZ$88)</f>
        <v>0</v>
      </c>
      <c r="E30" s="28">
        <f ca="1">SUMIF(SerNovaDivida_LP!$BX$73:CA$88,E$1,SerNovaDivida_LP!$BZ$73:$BZ$88)</f>
        <v>0</v>
      </c>
      <c r="F30" s="28">
        <f ca="1">SUMIF(SerNovaDivida_LP!$BX$73:CB$88,F$1,SerNovaDivida_LP!$BZ$73:$BZ$88)</f>
        <v>0</v>
      </c>
      <c r="G30" s="28">
        <f ca="1">SUMIF(SerNovaDivida_LP!$BX$73:CC$88,G$1,SerNovaDivida_LP!$BZ$73:$BZ$88)</f>
        <v>0</v>
      </c>
      <c r="H30" s="28">
        <f ca="1">SUMIF(SerNovaDivida_LP!$BX$73:CD$88,H$1,SerNovaDivida_LP!$BZ$73:$BZ$88)</f>
        <v>0</v>
      </c>
      <c r="I30" s="28">
        <f ca="1">SUMIF(SerNovaDivida_LP!$BX$73:CE$88,I$1,SerNovaDivida_LP!$BZ$73:$BZ$88)</f>
        <v>0</v>
      </c>
      <c r="J30" s="28">
        <f ca="1">SUMIF(SerNovaDivida_LP!$BX$73:CF$88,J$1,SerNovaDivida_LP!$BZ$73:$BZ$88)</f>
        <v>0</v>
      </c>
      <c r="K30" s="28">
        <f ca="1">SUMIF(SerNovaDivida_LP!$BX$73:CG$88,K$1,SerNovaDivida_LP!$BZ$73:$BZ$88)</f>
        <v>0</v>
      </c>
      <c r="L30" s="28">
        <f ca="1">SUMIF(SerNovaDivida_LP!$BX$73:CH$88,L$1,SerNovaDivida_LP!$BZ$73:$BZ$88)</f>
        <v>0</v>
      </c>
      <c r="M30" s="28">
        <f ca="1">SUMIF(SerNovaDivida_LP!$BX$73:CI$88,M$1,SerNovaDivida_LP!$BZ$73:$BZ$88)</f>
        <v>0</v>
      </c>
      <c r="N30" s="28">
        <f ca="1">SUMIF(SerNovaDivida_LP!$BX$73:CJ$88,N$1,SerNovaDivida_LP!$BZ$73:$BZ$88)</f>
        <v>0</v>
      </c>
      <c r="O30" s="28">
        <f ca="1">SUMIF(SerNovaDivida_LP!$BX$73:CK$88,O$1,SerNovaDivida_LP!$BZ$73:$BZ$88)</f>
        <v>0</v>
      </c>
      <c r="P30" s="28">
        <f ca="1">SUMIF(SerNovaDivida_LP!$BX$73:CL$88,P$1,SerNovaDivida_LP!$BZ$73:$BZ$88)</f>
        <v>0</v>
      </c>
      <c r="Q30" s="28">
        <f ca="1">SUMIF(SerNovaDivida_LP!$BX$73:CM$88,Q$1,SerNovaDivida_LP!$BZ$73:$BZ$88)</f>
        <v>0</v>
      </c>
    </row>
    <row r="31" spans="1:17" x14ac:dyDescent="0.25">
      <c r="A31" s="1000">
        <f t="shared" si="3"/>
        <v>2029</v>
      </c>
      <c r="B31" s="28">
        <f>SUMIF(SerNovaDivida_LP!$CG$73:$CG$88,B$1,SerNovaDivida_LP!$CI$73:$CI$88)</f>
        <v>0</v>
      </c>
      <c r="C31" s="28">
        <f>SUMIF(SerNovaDivida_LP!$CG$73:$CG$88,C$1,SerNovaDivida_LP!$CI$73:$CI$88)</f>
        <v>0</v>
      </c>
      <c r="D31" s="28">
        <f>SUMIF(SerNovaDivida_LP!$CG$73:$CG$88,D$1,SerNovaDivida_LP!$CI$73:$CI$88)</f>
        <v>0</v>
      </c>
      <c r="E31" s="28">
        <f>SUMIF(SerNovaDivida_LP!$CG$73:$CG$88,E$1,SerNovaDivida_LP!$CI$73:$CI$88)</f>
        <v>0</v>
      </c>
      <c r="F31" s="28">
        <f>SUMIF(SerNovaDivida_LP!$CG$73:$CG$88,F$1,SerNovaDivida_LP!$CI$73:$CI$88)</f>
        <v>0</v>
      </c>
      <c r="G31" s="28">
        <f>SUMIF(SerNovaDivida_LP!$CG$73:$CG$88,G$1,SerNovaDivida_LP!$CI$73:$CI$88)</f>
        <v>0</v>
      </c>
      <c r="H31" s="28">
        <f>SUMIF(SerNovaDivida_LP!$CG$73:$CG$88,H$1,SerNovaDivida_LP!$CI$73:$CI$88)</f>
        <v>0</v>
      </c>
      <c r="I31" s="28">
        <f>SUMIF(SerNovaDivida_LP!$CG$73:$CG$88,I$1,SerNovaDivida_LP!$CI$73:$CI$88)</f>
        <v>0</v>
      </c>
      <c r="J31" s="28">
        <f>SUMIF(SerNovaDivida_LP!$CG$73:$CG$88,J$1,SerNovaDivida_LP!$CI$73:$CI$88)</f>
        <v>0</v>
      </c>
      <c r="K31" s="28">
        <f>SUMIF(SerNovaDivida_LP!$CG$73:$CG$88,K$1,SerNovaDivida_LP!$CI$73:$CI$88)</f>
        <v>0</v>
      </c>
      <c r="L31" s="28">
        <f>SUMIF(SerNovaDivida_LP!$CG$73:$CG$88,L$1,SerNovaDivida_LP!$CI$73:$CI$88)</f>
        <v>0</v>
      </c>
      <c r="M31" s="28">
        <f>SUMIF(SerNovaDivida_LP!$CG$73:$CG$88,M$1,SerNovaDivida_LP!$CI$73:$CI$88)</f>
        <v>0</v>
      </c>
      <c r="N31" s="28">
        <f>SUMIF(SerNovaDivida_LP!$CG$73:$CG$88,N$1,SerNovaDivida_LP!$CI$73:$CI$88)</f>
        <v>0</v>
      </c>
      <c r="O31" s="28">
        <f>SUMIF(SerNovaDivida_LP!$CG$73:$CG$88,O$1,SerNovaDivida_LP!$CI$73:$CI$88)</f>
        <v>0</v>
      </c>
      <c r="P31" s="28">
        <f>SUMIF(SerNovaDivida_LP!$CG$73:$CG$88,P$1,SerNovaDivida_LP!$CI$73:$CI$88)</f>
        <v>0</v>
      </c>
      <c r="Q31" s="28">
        <f>SUMIF(SerNovaDivida_LP!$CG$73:$CG$88,Q$1,SerNovaDivida_LP!$CI$73:$CI$88)</f>
        <v>0</v>
      </c>
    </row>
    <row r="32" spans="1:17" x14ac:dyDescent="0.25">
      <c r="A32" s="998" t="s">
        <v>387</v>
      </c>
      <c r="B32" s="821">
        <f>SUM(B21:B31)</f>
        <v>0</v>
      </c>
      <c r="C32" s="821">
        <f t="shared" ref="C32:Q32" ca="1" si="4">SUM(C21:C31)</f>
        <v>0</v>
      </c>
      <c r="D32" s="821">
        <f t="shared" ca="1" si="4"/>
        <v>0</v>
      </c>
      <c r="E32" s="821">
        <f t="shared" ca="1" si="4"/>
        <v>0</v>
      </c>
      <c r="F32" s="821">
        <f t="shared" ca="1" si="4"/>
        <v>0</v>
      </c>
      <c r="G32" s="821">
        <f t="shared" ca="1" si="4"/>
        <v>0</v>
      </c>
      <c r="H32" s="821">
        <f t="shared" ca="1" si="4"/>
        <v>0</v>
      </c>
      <c r="I32" s="821">
        <f t="shared" ca="1" si="4"/>
        <v>0</v>
      </c>
      <c r="J32" s="821">
        <f t="shared" ca="1" si="4"/>
        <v>0</v>
      </c>
      <c r="K32" s="821">
        <f t="shared" ca="1" si="4"/>
        <v>0</v>
      </c>
      <c r="L32" s="821">
        <f t="shared" ca="1" si="4"/>
        <v>0</v>
      </c>
      <c r="M32" s="821">
        <f t="shared" ca="1" si="4"/>
        <v>0</v>
      </c>
      <c r="N32" s="821">
        <f t="shared" ca="1" si="4"/>
        <v>0</v>
      </c>
      <c r="O32" s="821">
        <f t="shared" ca="1" si="4"/>
        <v>0</v>
      </c>
      <c r="P32" s="821">
        <f t="shared" ca="1" si="4"/>
        <v>0</v>
      </c>
      <c r="Q32" s="821">
        <f t="shared" ca="1" si="4"/>
        <v>0</v>
      </c>
    </row>
    <row r="33" spans="1:26" x14ac:dyDescent="0.25">
      <c r="A33" s="995"/>
      <c r="B33" s="1001"/>
      <c r="C33" s="1001"/>
      <c r="D33" s="1001"/>
      <c r="E33" s="1001"/>
      <c r="F33" s="1001"/>
      <c r="G33" s="1001"/>
      <c r="H33" s="1001"/>
      <c r="I33" s="1001"/>
      <c r="J33" s="1001"/>
      <c r="K33" s="1001"/>
      <c r="L33" s="1001"/>
      <c r="M33" s="1001"/>
      <c r="N33" s="1001"/>
      <c r="O33" s="1001"/>
      <c r="P33" s="1001"/>
      <c r="Q33" s="1001"/>
    </row>
    <row r="34" spans="1:26" x14ac:dyDescent="0.25">
      <c r="A34" s="995"/>
      <c r="B34" s="1001"/>
      <c r="C34" s="1001"/>
      <c r="D34" s="1001"/>
      <c r="E34" s="1001"/>
      <c r="F34" s="1001"/>
      <c r="G34" s="1001"/>
      <c r="H34" s="1001"/>
      <c r="I34" s="1001"/>
      <c r="J34" s="1001"/>
      <c r="K34" s="1001"/>
      <c r="L34" s="1001"/>
      <c r="M34" s="1001"/>
      <c r="N34" s="1001"/>
      <c r="O34" s="1001"/>
      <c r="P34" s="1001"/>
      <c r="Q34" s="1001"/>
    </row>
    <row r="35" spans="1:26" x14ac:dyDescent="0.25">
      <c r="A35" s="2015" t="s">
        <v>388</v>
      </c>
      <c r="B35" s="1001"/>
      <c r="C35" s="1001"/>
      <c r="D35" s="1001"/>
      <c r="E35" s="1001"/>
      <c r="F35" s="1001"/>
      <c r="G35" s="1001"/>
      <c r="H35" s="1001"/>
      <c r="I35" s="1001"/>
      <c r="J35" s="1001"/>
      <c r="K35" s="1001"/>
      <c r="L35" s="1001"/>
      <c r="M35" s="1001"/>
      <c r="N35" s="1001"/>
      <c r="O35" s="1001"/>
      <c r="P35" s="1001"/>
      <c r="Q35" s="1001"/>
    </row>
    <row r="36" spans="1:26" x14ac:dyDescent="0.25">
      <c r="A36" s="2015"/>
      <c r="B36" s="1001"/>
      <c r="C36" s="1001"/>
      <c r="D36" s="1001"/>
      <c r="E36" s="1001"/>
      <c r="F36" s="1001"/>
      <c r="G36" s="1001"/>
      <c r="H36" s="1001"/>
      <c r="I36" s="1001"/>
      <c r="J36" s="1001"/>
      <c r="K36" s="1001"/>
      <c r="L36" s="1001"/>
      <c r="M36" s="1001"/>
      <c r="N36" s="1001"/>
      <c r="O36" s="1001"/>
      <c r="P36" s="1001"/>
      <c r="Q36" s="1001"/>
    </row>
    <row r="37" spans="1:26" x14ac:dyDescent="0.25">
      <c r="A37" s="24" t="s">
        <v>389</v>
      </c>
      <c r="B37" s="28">
        <f t="array" ref="B37:I37">TRANSPOSE(SerDividaAntiga!F31:F38)</f>
        <v>241453.05</v>
      </c>
      <c r="C37" s="28">
        <v>241453.05</v>
      </c>
      <c r="D37" s="28">
        <v>241453.05</v>
      </c>
      <c r="E37" s="28">
        <v>241453.05</v>
      </c>
      <c r="F37" s="28">
        <v>241453.05</v>
      </c>
      <c r="G37" s="28">
        <v>241453.05</v>
      </c>
      <c r="H37" s="28">
        <v>241453.05</v>
      </c>
      <c r="I37" s="28">
        <v>241453.05</v>
      </c>
      <c r="J37" s="1001"/>
      <c r="K37" s="1001"/>
      <c r="L37" s="1001"/>
      <c r="M37" s="1001"/>
      <c r="N37" s="1001"/>
      <c r="O37" s="1001"/>
      <c r="P37" s="1001"/>
      <c r="Q37" s="1001"/>
    </row>
    <row r="38" spans="1:26" x14ac:dyDescent="0.25">
      <c r="A38" s="24" t="s">
        <v>390</v>
      </c>
      <c r="B38" s="28">
        <f t="array" ref="B38:I38">TRANSPOSE(SerDividaAntiga!O31:O38)</f>
        <v>0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1001"/>
      <c r="K38" s="1001"/>
      <c r="L38" s="1001"/>
      <c r="M38" s="1001"/>
      <c r="N38" s="1001"/>
      <c r="O38" s="1001"/>
      <c r="P38" s="1001"/>
      <c r="Q38" s="1001"/>
    </row>
    <row r="39" spans="1:26" x14ac:dyDescent="0.25">
      <c r="A39" s="24" t="s">
        <v>391</v>
      </c>
      <c r="B39" s="28">
        <f t="array" ref="B39:I39">TRANSPOSE(SerDividaAntiga!X31:X38)</f>
        <v>0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1001"/>
      <c r="K39" s="1001"/>
      <c r="L39" s="1001"/>
      <c r="M39" s="1001"/>
      <c r="N39" s="1001"/>
      <c r="O39" s="1001"/>
      <c r="P39" s="1001"/>
      <c r="Q39" s="1001"/>
    </row>
    <row r="40" spans="1:26" x14ac:dyDescent="0.25">
      <c r="A40" s="994" t="s">
        <v>387</v>
      </c>
      <c r="B40" s="1002">
        <f t="shared" ref="B40:I40" si="5">SUM(B37:B39)</f>
        <v>241453.05</v>
      </c>
      <c r="C40" s="1002">
        <f t="shared" si="5"/>
        <v>241453.05</v>
      </c>
      <c r="D40" s="1002">
        <f t="shared" si="5"/>
        <v>241453.05</v>
      </c>
      <c r="E40" s="1002">
        <f t="shared" si="5"/>
        <v>241453.05</v>
      </c>
      <c r="F40" s="1002">
        <f t="shared" si="5"/>
        <v>241453.05</v>
      </c>
      <c r="G40" s="1002">
        <f t="shared" si="5"/>
        <v>241453.05</v>
      </c>
      <c r="H40" s="1002">
        <f t="shared" si="5"/>
        <v>241453.05</v>
      </c>
      <c r="I40" s="1002">
        <f t="shared" si="5"/>
        <v>241453.05</v>
      </c>
    </row>
    <row r="43" spans="1:26" x14ac:dyDescent="0.25">
      <c r="A43" s="1003" t="s">
        <v>392</v>
      </c>
    </row>
    <row r="45" spans="1:26" x14ac:dyDescent="0.25">
      <c r="A45" s="1004" t="s">
        <v>393</v>
      </c>
    </row>
    <row r="46" spans="1:26" x14ac:dyDescent="0.25">
      <c r="A46" s="998" t="s">
        <v>394</v>
      </c>
    </row>
    <row r="47" spans="1:26" hidden="1" outlineLevel="1" x14ac:dyDescent="0.25">
      <c r="A47" s="1005">
        <f t="shared" ref="A47:A57" si="6">A21</f>
        <v>2019</v>
      </c>
      <c r="B47" s="606">
        <f t="array" ref="B47:Q47">TRANSPOSE(SerDividaAntiga!AF54:AF69)</f>
        <v>0</v>
      </c>
      <c r="C47" s="606">
        <v>0</v>
      </c>
      <c r="D47" s="606">
        <v>0</v>
      </c>
      <c r="E47" s="606">
        <v>0</v>
      </c>
      <c r="F47" s="606">
        <v>0</v>
      </c>
      <c r="G47" s="606">
        <v>0</v>
      </c>
      <c r="H47" s="606">
        <v>0</v>
      </c>
      <c r="I47" s="606">
        <v>0</v>
      </c>
      <c r="J47" s="606">
        <v>0</v>
      </c>
      <c r="K47" s="606">
        <v>0</v>
      </c>
      <c r="L47" s="606">
        <v>0</v>
      </c>
      <c r="M47" s="606">
        <v>0</v>
      </c>
      <c r="N47" s="606">
        <v>0</v>
      </c>
      <c r="O47" s="606">
        <v>0</v>
      </c>
      <c r="P47" s="606">
        <v>0</v>
      </c>
      <c r="Q47" s="606">
        <v>0</v>
      </c>
      <c r="R47" s="606"/>
      <c r="S47" s="606"/>
      <c r="T47" s="606"/>
      <c r="U47" s="606"/>
      <c r="V47" s="606"/>
      <c r="W47" s="606"/>
      <c r="X47" s="606"/>
      <c r="Y47" s="606"/>
      <c r="Z47" s="606"/>
    </row>
    <row r="48" spans="1:26" hidden="1" outlineLevel="1" x14ac:dyDescent="0.25">
      <c r="A48" s="1006">
        <f t="shared" si="6"/>
        <v>2020</v>
      </c>
      <c r="B48" s="83">
        <f t="array" ref="B48:Q48">TRANSPOSE(SerNovaDivida_LP!E56:E71)</f>
        <v>0</v>
      </c>
      <c r="C48" s="83">
        <v>0</v>
      </c>
      <c r="D48" s="83">
        <v>0</v>
      </c>
      <c r="E48" s="83">
        <v>0</v>
      </c>
      <c r="F48" s="83">
        <v>0</v>
      </c>
      <c r="G48" s="83">
        <v>0</v>
      </c>
      <c r="H48" s="83">
        <v>0</v>
      </c>
      <c r="I48" s="83">
        <v>0</v>
      </c>
      <c r="J48" s="83">
        <v>0</v>
      </c>
      <c r="K48" s="83">
        <v>0</v>
      </c>
      <c r="L48" s="83">
        <v>0</v>
      </c>
      <c r="M48" s="83">
        <v>0</v>
      </c>
      <c r="N48" s="83">
        <v>0</v>
      </c>
      <c r="O48" s="83">
        <v>0</v>
      </c>
      <c r="P48" s="83">
        <v>0</v>
      </c>
      <c r="Q48" s="83">
        <v>0</v>
      </c>
      <c r="R48" s="83"/>
      <c r="S48" s="83"/>
      <c r="T48" s="83"/>
      <c r="U48" s="83"/>
      <c r="V48" s="83"/>
      <c r="W48" s="83"/>
      <c r="X48" s="83"/>
      <c r="Y48" s="83"/>
      <c r="Z48" s="83"/>
    </row>
    <row r="49" spans="1:26" hidden="1" outlineLevel="1" x14ac:dyDescent="0.25">
      <c r="A49" s="1006">
        <f t="shared" si="6"/>
        <v>2021</v>
      </c>
      <c r="B49" s="83"/>
      <c r="C49" s="83">
        <f t="array" ref="C49:R49">TRANSPOSE(SerNovaDivida_LP!N56:N71)</f>
        <v>0</v>
      </c>
      <c r="D49" s="83">
        <v>0</v>
      </c>
      <c r="E49" s="83">
        <v>0</v>
      </c>
      <c r="F49" s="83">
        <v>0</v>
      </c>
      <c r="G49" s="83">
        <v>0</v>
      </c>
      <c r="H49" s="83">
        <v>0</v>
      </c>
      <c r="I49" s="83">
        <v>0</v>
      </c>
      <c r="J49" s="83">
        <v>0</v>
      </c>
      <c r="K49" s="83">
        <v>0</v>
      </c>
      <c r="L49" s="83">
        <v>0</v>
      </c>
      <c r="M49" s="83">
        <v>0</v>
      </c>
      <c r="N49" s="83">
        <v>0</v>
      </c>
      <c r="O49" s="83">
        <v>0</v>
      </c>
      <c r="P49" s="83">
        <v>0</v>
      </c>
      <c r="Q49" s="83">
        <v>0</v>
      </c>
      <c r="R49" s="83">
        <v>0</v>
      </c>
      <c r="S49" s="83"/>
      <c r="T49" s="83"/>
      <c r="U49" s="83"/>
      <c r="V49" s="83"/>
      <c r="W49" s="83"/>
      <c r="X49" s="83"/>
      <c r="Y49" s="83"/>
      <c r="Z49" s="83"/>
    </row>
    <row r="50" spans="1:26" hidden="1" outlineLevel="1" x14ac:dyDescent="0.25">
      <c r="A50" s="1006">
        <f t="shared" si="6"/>
        <v>2022</v>
      </c>
      <c r="B50" s="83"/>
      <c r="C50" s="83"/>
      <c r="D50" s="83">
        <f t="array" ref="D50:S50">TRANSPOSE(SerNovaDivida_LP!W56:W71)</f>
        <v>0</v>
      </c>
      <c r="E50" s="83">
        <v>0</v>
      </c>
      <c r="F50" s="83">
        <v>0</v>
      </c>
      <c r="G50" s="83">
        <v>0</v>
      </c>
      <c r="H50" s="83">
        <v>0</v>
      </c>
      <c r="I50" s="83">
        <v>0</v>
      </c>
      <c r="J50" s="83">
        <v>0</v>
      </c>
      <c r="K50" s="83">
        <v>0</v>
      </c>
      <c r="L50" s="83">
        <v>0</v>
      </c>
      <c r="M50" s="83">
        <v>0</v>
      </c>
      <c r="N50" s="83">
        <v>0</v>
      </c>
      <c r="O50" s="83">
        <v>0</v>
      </c>
      <c r="P50" s="83">
        <v>0</v>
      </c>
      <c r="Q50" s="83">
        <v>0</v>
      </c>
      <c r="R50" s="83">
        <v>0</v>
      </c>
      <c r="S50" s="83">
        <v>0</v>
      </c>
      <c r="T50" s="83"/>
      <c r="U50" s="83"/>
      <c r="V50" s="83"/>
      <c r="W50" s="83"/>
      <c r="X50" s="83"/>
      <c r="Y50" s="83"/>
      <c r="Z50" s="83"/>
    </row>
    <row r="51" spans="1:26" hidden="1" outlineLevel="1" x14ac:dyDescent="0.25">
      <c r="A51" s="1006">
        <f t="shared" si="6"/>
        <v>2023</v>
      </c>
      <c r="B51" s="83"/>
      <c r="C51" s="83"/>
      <c r="D51" s="83"/>
      <c r="E51" s="83">
        <f t="array" ref="E51:T51">TRANSPOSE(SerNovaDivida_LP!AF56:AF71)</f>
        <v>0</v>
      </c>
      <c r="F51" s="83">
        <v>0</v>
      </c>
      <c r="G51" s="83">
        <v>0</v>
      </c>
      <c r="H51" s="83">
        <v>0</v>
      </c>
      <c r="I51" s="83">
        <v>0</v>
      </c>
      <c r="J51" s="83">
        <v>0</v>
      </c>
      <c r="K51" s="83">
        <v>0</v>
      </c>
      <c r="L51" s="83">
        <v>0</v>
      </c>
      <c r="M51" s="83">
        <v>0</v>
      </c>
      <c r="N51" s="83">
        <v>0</v>
      </c>
      <c r="O51" s="83">
        <v>0</v>
      </c>
      <c r="P51" s="83">
        <v>0</v>
      </c>
      <c r="Q51" s="83">
        <v>0</v>
      </c>
      <c r="R51" s="83">
        <v>0</v>
      </c>
      <c r="S51" s="83">
        <v>0</v>
      </c>
      <c r="T51" s="83">
        <v>0</v>
      </c>
      <c r="U51" s="83"/>
      <c r="V51" s="83"/>
      <c r="W51" s="83"/>
      <c r="X51" s="83"/>
      <c r="Y51" s="83"/>
      <c r="Z51" s="83"/>
    </row>
    <row r="52" spans="1:26" hidden="1" outlineLevel="1" x14ac:dyDescent="0.25">
      <c r="A52" s="1006">
        <f t="shared" si="6"/>
        <v>2024</v>
      </c>
      <c r="B52" s="83"/>
      <c r="C52" s="83"/>
      <c r="D52" s="83"/>
      <c r="E52" s="83"/>
      <c r="F52" s="83">
        <f t="array" ref="F52:U52">TRANSPOSE(SerNovaDivida_LP!AO56:AO71)</f>
        <v>0</v>
      </c>
      <c r="G52" s="83">
        <v>0</v>
      </c>
      <c r="H52" s="83">
        <v>0</v>
      </c>
      <c r="I52" s="83">
        <v>0</v>
      </c>
      <c r="J52" s="83">
        <v>0</v>
      </c>
      <c r="K52" s="83">
        <v>0</v>
      </c>
      <c r="L52" s="83">
        <v>0</v>
      </c>
      <c r="M52" s="83">
        <v>0</v>
      </c>
      <c r="N52" s="83">
        <v>0</v>
      </c>
      <c r="O52" s="83">
        <v>0</v>
      </c>
      <c r="P52" s="83">
        <v>0</v>
      </c>
      <c r="Q52" s="83">
        <v>0</v>
      </c>
      <c r="R52" s="83">
        <v>0</v>
      </c>
      <c r="S52" s="83">
        <v>0</v>
      </c>
      <c r="T52" s="83">
        <v>0</v>
      </c>
      <c r="U52" s="83">
        <v>0</v>
      </c>
      <c r="V52" s="83"/>
      <c r="W52" s="83"/>
      <c r="X52" s="83"/>
      <c r="Y52" s="83"/>
      <c r="Z52" s="83"/>
    </row>
    <row r="53" spans="1:26" hidden="1" outlineLevel="1" x14ac:dyDescent="0.25">
      <c r="A53" s="1006">
        <f t="shared" si="6"/>
        <v>2025</v>
      </c>
      <c r="B53" s="83"/>
      <c r="C53" s="83"/>
      <c r="D53" s="83"/>
      <c r="E53" s="83"/>
      <c r="F53" s="83"/>
      <c r="G53" s="83">
        <f t="array" ref="G53:V53">TRANSPOSE(SerNovaDivida_LP!AX56:AX71)</f>
        <v>0</v>
      </c>
      <c r="H53" s="83">
        <v>0</v>
      </c>
      <c r="I53" s="83">
        <v>0</v>
      </c>
      <c r="J53" s="83">
        <v>0</v>
      </c>
      <c r="K53" s="83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/>
      <c r="X53" s="83"/>
      <c r="Y53" s="83"/>
      <c r="Z53" s="83"/>
    </row>
    <row r="54" spans="1:26" hidden="1" outlineLevel="1" x14ac:dyDescent="0.25">
      <c r="A54" s="1006">
        <f t="shared" si="6"/>
        <v>2026</v>
      </c>
      <c r="B54" s="83"/>
      <c r="C54" s="83"/>
      <c r="D54" s="83"/>
      <c r="E54" s="83"/>
      <c r="F54" s="83"/>
      <c r="G54" s="83"/>
      <c r="H54" s="83">
        <f t="array" ref="H54:W54">TRANSPOSE(SerNovaDivida_LP!BG56:BG71)</f>
        <v>0</v>
      </c>
      <c r="I54" s="83">
        <v>0</v>
      </c>
      <c r="J54" s="83">
        <v>0</v>
      </c>
      <c r="K54" s="83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/>
      <c r="Y54" s="83"/>
      <c r="Z54" s="83"/>
    </row>
    <row r="55" spans="1:26" hidden="1" outlineLevel="1" x14ac:dyDescent="0.25">
      <c r="A55" s="1006">
        <f t="shared" si="6"/>
        <v>2027</v>
      </c>
      <c r="B55" s="83"/>
      <c r="C55" s="83"/>
      <c r="D55" s="83"/>
      <c r="E55" s="83"/>
      <c r="F55" s="83"/>
      <c r="G55" s="83"/>
      <c r="H55" s="83"/>
      <c r="I55" s="83">
        <f t="array" ref="I55:X55">TRANSPOSE(SerNovaDivida_LP!BP56:BP71)</f>
        <v>0</v>
      </c>
      <c r="J55" s="83">
        <v>0</v>
      </c>
      <c r="K55" s="83">
        <v>0</v>
      </c>
      <c r="L55" s="83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/>
      <c r="Z55" s="83"/>
    </row>
    <row r="56" spans="1:26" hidden="1" outlineLevel="1" x14ac:dyDescent="0.25">
      <c r="A56" s="1006">
        <f t="shared" si="6"/>
        <v>2028</v>
      </c>
      <c r="B56" s="83"/>
      <c r="C56" s="83"/>
      <c r="D56" s="83"/>
      <c r="E56" s="83"/>
      <c r="F56" s="83"/>
      <c r="G56" s="83"/>
      <c r="H56" s="83"/>
      <c r="I56" s="83"/>
      <c r="J56" s="83">
        <f t="array" ref="J56:Y56">TRANSPOSE(SerNovaDivida_LP!BY56:BY71)</f>
        <v>0</v>
      </c>
      <c r="K56" s="83">
        <v>0</v>
      </c>
      <c r="L56" s="83">
        <v>0</v>
      </c>
      <c r="M56" s="83">
        <v>0</v>
      </c>
      <c r="N56" s="83">
        <v>0</v>
      </c>
      <c r="O56" s="83">
        <v>0</v>
      </c>
      <c r="P56" s="83">
        <v>0</v>
      </c>
      <c r="Q56" s="83">
        <v>0</v>
      </c>
      <c r="R56" s="83">
        <v>0</v>
      </c>
      <c r="S56" s="83">
        <v>0</v>
      </c>
      <c r="T56" s="83">
        <v>0</v>
      </c>
      <c r="U56" s="83">
        <v>0</v>
      </c>
      <c r="V56" s="83">
        <v>0</v>
      </c>
      <c r="W56" s="83">
        <v>0</v>
      </c>
      <c r="X56" s="83">
        <v>0</v>
      </c>
      <c r="Y56" s="83">
        <v>0</v>
      </c>
      <c r="Z56" s="83"/>
    </row>
    <row r="57" spans="1:26" hidden="1" outlineLevel="1" x14ac:dyDescent="0.25">
      <c r="A57" s="1007">
        <f t="shared" si="6"/>
        <v>2029</v>
      </c>
      <c r="B57" s="620"/>
      <c r="C57" s="620"/>
      <c r="D57" s="620"/>
      <c r="E57" s="620"/>
      <c r="F57" s="620"/>
      <c r="G57" s="620"/>
      <c r="H57" s="620"/>
      <c r="I57" s="620"/>
      <c r="J57" s="620"/>
      <c r="K57" s="620">
        <f t="array" ref="K57:Z57">TRANSPOSE(SerNovaDivida_LP!CH56:CH71)</f>
        <v>0</v>
      </c>
      <c r="L57" s="620">
        <v>0</v>
      </c>
      <c r="M57" s="620">
        <v>0</v>
      </c>
      <c r="N57" s="620">
        <v>0</v>
      </c>
      <c r="O57" s="620">
        <v>0</v>
      </c>
      <c r="P57" s="620">
        <v>0</v>
      </c>
      <c r="Q57" s="620">
        <v>0</v>
      </c>
      <c r="R57" s="620">
        <v>0</v>
      </c>
      <c r="S57" s="620">
        <v>0</v>
      </c>
      <c r="T57" s="620">
        <v>0</v>
      </c>
      <c r="U57" s="620">
        <v>0</v>
      </c>
      <c r="V57" s="620">
        <v>0</v>
      </c>
      <c r="W57" s="620">
        <v>0</v>
      </c>
      <c r="X57" s="620">
        <v>0</v>
      </c>
      <c r="Y57" s="620">
        <v>0</v>
      </c>
      <c r="Z57" s="620">
        <v>0</v>
      </c>
    </row>
    <row r="58" spans="1:26" collapsed="1" x14ac:dyDescent="0.25">
      <c r="A58" s="998" t="s">
        <v>395</v>
      </c>
      <c r="B58" s="25">
        <f>SUM(B47:B57)</f>
        <v>0</v>
      </c>
      <c r="C58" s="25">
        <f t="shared" ref="C58:Z58" si="7">SUM(C47:C57)</f>
        <v>0</v>
      </c>
      <c r="D58" s="25">
        <f t="shared" si="7"/>
        <v>0</v>
      </c>
      <c r="E58" s="25">
        <f t="shared" si="7"/>
        <v>0</v>
      </c>
      <c r="F58" s="25">
        <f t="shared" si="7"/>
        <v>0</v>
      </c>
      <c r="G58" s="25">
        <f t="shared" si="7"/>
        <v>0</v>
      </c>
      <c r="H58" s="25">
        <f t="shared" si="7"/>
        <v>0</v>
      </c>
      <c r="I58" s="25">
        <f t="shared" si="7"/>
        <v>0</v>
      </c>
      <c r="J58" s="25">
        <f t="shared" si="7"/>
        <v>0</v>
      </c>
      <c r="K58" s="25">
        <f t="shared" si="7"/>
        <v>0</v>
      </c>
      <c r="L58" s="25">
        <f t="shared" si="7"/>
        <v>0</v>
      </c>
      <c r="M58" s="25">
        <f t="shared" si="7"/>
        <v>0</v>
      </c>
      <c r="N58" s="25">
        <f t="shared" si="7"/>
        <v>0</v>
      </c>
      <c r="O58" s="25">
        <f t="shared" si="7"/>
        <v>0</v>
      </c>
      <c r="P58" s="25">
        <f t="shared" si="7"/>
        <v>0</v>
      </c>
      <c r="Q58" s="25">
        <f t="shared" si="7"/>
        <v>0</v>
      </c>
      <c r="R58" s="25">
        <f t="shared" si="7"/>
        <v>0</v>
      </c>
      <c r="S58" s="25">
        <f t="shared" si="7"/>
        <v>0</v>
      </c>
      <c r="T58" s="25">
        <f t="shared" si="7"/>
        <v>0</v>
      </c>
      <c r="U58" s="25">
        <f t="shared" si="7"/>
        <v>0</v>
      </c>
      <c r="V58" s="25">
        <f t="shared" si="7"/>
        <v>0</v>
      </c>
      <c r="W58" s="25">
        <f t="shared" si="7"/>
        <v>0</v>
      </c>
      <c r="X58" s="25">
        <f t="shared" si="7"/>
        <v>0</v>
      </c>
      <c r="Y58" s="25">
        <f t="shared" si="7"/>
        <v>0</v>
      </c>
      <c r="Z58" s="25">
        <f t="shared" si="7"/>
        <v>0</v>
      </c>
    </row>
    <row r="59" spans="1:26" x14ac:dyDescent="0.25">
      <c r="A59" s="1008"/>
      <c r="B59" s="1009"/>
      <c r="C59" s="1009"/>
      <c r="D59" s="1009"/>
      <c r="E59" s="1009"/>
      <c r="F59" s="1009"/>
      <c r="G59" s="1009"/>
      <c r="H59" s="1009"/>
      <c r="I59" s="1009"/>
      <c r="J59" s="1009"/>
      <c r="K59" s="1009"/>
      <c r="L59" s="1009"/>
      <c r="M59" s="1009"/>
      <c r="N59" s="1009"/>
      <c r="O59" s="1009"/>
      <c r="P59" s="1009"/>
      <c r="Q59" s="1009"/>
      <c r="R59" s="1009"/>
      <c r="S59" s="1009"/>
      <c r="T59" s="1009"/>
      <c r="U59" s="1009"/>
      <c r="V59" s="1009"/>
      <c r="W59" s="1009"/>
      <c r="X59" s="1009"/>
      <c r="Y59" s="1009"/>
      <c r="Z59" s="1009"/>
    </row>
    <row r="60" spans="1:26" x14ac:dyDescent="0.25">
      <c r="A60" s="998" t="s">
        <v>255</v>
      </c>
      <c r="B60" s="1009"/>
      <c r="C60" s="1009"/>
      <c r="D60" s="1009"/>
      <c r="E60" s="1009"/>
      <c r="F60" s="1009"/>
      <c r="G60" s="1009"/>
      <c r="H60" s="1009"/>
      <c r="I60" s="1009"/>
      <c r="J60" s="1009"/>
      <c r="K60" s="1009"/>
      <c r="L60" s="1009"/>
      <c r="M60" s="1009"/>
      <c r="N60" s="1009"/>
      <c r="O60" s="1009"/>
      <c r="P60" s="1009"/>
      <c r="Q60" s="1009"/>
      <c r="R60" s="1009"/>
      <c r="S60" s="1009"/>
      <c r="T60" s="1009"/>
      <c r="U60" s="1009"/>
      <c r="V60" s="1009"/>
      <c r="W60" s="1009"/>
      <c r="X60" s="1009"/>
      <c r="Y60" s="1009"/>
      <c r="Z60" s="1009"/>
    </row>
    <row r="61" spans="1:26" ht="9.6" hidden="1" customHeight="1" outlineLevel="1" x14ac:dyDescent="0.25">
      <c r="A61" s="1005">
        <f t="shared" ref="A61:A71" si="8">A47</f>
        <v>2019</v>
      </c>
      <c r="B61" s="606">
        <f t="array" ref="B61:Q61">TRANSPOSE(SerDividaAntiga!AH54:AH69)</f>
        <v>0</v>
      </c>
      <c r="C61" s="606">
        <v>0</v>
      </c>
      <c r="D61" s="606">
        <v>0</v>
      </c>
      <c r="E61" s="606">
        <v>0</v>
      </c>
      <c r="F61" s="606">
        <v>0</v>
      </c>
      <c r="G61" s="606">
        <v>0</v>
      </c>
      <c r="H61" s="606">
        <v>0</v>
      </c>
      <c r="I61" s="606">
        <v>0</v>
      </c>
      <c r="J61" s="606">
        <v>0</v>
      </c>
      <c r="K61" s="606">
        <v>0</v>
      </c>
      <c r="L61" s="606">
        <v>0</v>
      </c>
      <c r="M61" s="606">
        <v>0</v>
      </c>
      <c r="N61" s="606">
        <v>0</v>
      </c>
      <c r="O61" s="606">
        <v>0</v>
      </c>
      <c r="P61" s="606">
        <v>0</v>
      </c>
      <c r="Q61" s="606">
        <v>0</v>
      </c>
      <c r="R61" s="606"/>
      <c r="S61" s="606"/>
      <c r="T61" s="606"/>
      <c r="U61" s="606"/>
      <c r="V61" s="606"/>
      <c r="W61" s="606"/>
      <c r="X61" s="606"/>
      <c r="Y61" s="606"/>
      <c r="Z61" s="606"/>
    </row>
    <row r="62" spans="1:26" s="1009" customFormat="1" hidden="1" outlineLevel="1" x14ac:dyDescent="0.25">
      <c r="A62" s="1006">
        <f t="shared" si="8"/>
        <v>2020</v>
      </c>
      <c r="B62" s="83">
        <f t="array" ref="B62:Q62">TRANSPOSE(SerNovaDivida_LP!G54:G69)</f>
        <v>0</v>
      </c>
      <c r="C62" s="83">
        <v>0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0</v>
      </c>
      <c r="N62" s="83">
        <v>0</v>
      </c>
      <c r="O62" s="83">
        <v>0</v>
      </c>
      <c r="P62" s="83">
        <v>0</v>
      </c>
      <c r="Q62" s="83">
        <v>0</v>
      </c>
      <c r="R62" s="83"/>
      <c r="S62" s="83"/>
      <c r="T62" s="83"/>
      <c r="U62" s="83"/>
      <c r="V62" s="83"/>
      <c r="W62" s="83"/>
      <c r="X62" s="83"/>
      <c r="Y62" s="83"/>
      <c r="Z62" s="83"/>
    </row>
    <row r="63" spans="1:26" s="1009" customFormat="1" hidden="1" outlineLevel="1" x14ac:dyDescent="0.25">
      <c r="A63" s="1006">
        <f t="shared" si="8"/>
        <v>2021</v>
      </c>
      <c r="B63" s="83"/>
      <c r="C63" s="83">
        <f t="array" ref="C63:R63">TRANSPOSE(SerNovaDivida_LP!P54:P69)</f>
        <v>0</v>
      </c>
      <c r="D63" s="83">
        <v>0</v>
      </c>
      <c r="E63" s="83">
        <v>0</v>
      </c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83">
        <v>0</v>
      </c>
      <c r="P63" s="83">
        <v>0</v>
      </c>
      <c r="Q63" s="83">
        <v>0</v>
      </c>
      <c r="R63" s="83">
        <v>0</v>
      </c>
      <c r="S63" s="83"/>
      <c r="T63" s="83"/>
      <c r="U63" s="83"/>
      <c r="V63" s="83"/>
      <c r="W63" s="83"/>
      <c r="X63" s="83"/>
      <c r="Y63" s="83"/>
      <c r="Z63" s="83"/>
    </row>
    <row r="64" spans="1:26" s="1009" customFormat="1" hidden="1" outlineLevel="1" x14ac:dyDescent="0.25">
      <c r="A64" s="1006">
        <f t="shared" si="8"/>
        <v>2022</v>
      </c>
      <c r="B64" s="83"/>
      <c r="C64" s="83"/>
      <c r="D64" s="83">
        <f t="array" ref="D64:S64">TRANSPOSE(SerNovaDivida_LP!Y54:Y69)</f>
        <v>0</v>
      </c>
      <c r="E64" s="83">
        <v>0</v>
      </c>
      <c r="F64" s="83">
        <v>0</v>
      </c>
      <c r="G64" s="83">
        <v>0</v>
      </c>
      <c r="H64" s="83">
        <v>0</v>
      </c>
      <c r="I64" s="83">
        <v>0</v>
      </c>
      <c r="J64" s="83">
        <v>0</v>
      </c>
      <c r="K64" s="83">
        <v>0</v>
      </c>
      <c r="L64" s="83">
        <v>0</v>
      </c>
      <c r="M64" s="83">
        <v>0</v>
      </c>
      <c r="N64" s="83">
        <v>0</v>
      </c>
      <c r="O64" s="83">
        <v>0</v>
      </c>
      <c r="P64" s="83">
        <v>0</v>
      </c>
      <c r="Q64" s="83">
        <v>0</v>
      </c>
      <c r="R64" s="83">
        <v>0</v>
      </c>
      <c r="S64" s="83">
        <v>0</v>
      </c>
      <c r="T64" s="83"/>
      <c r="U64" s="83"/>
      <c r="V64" s="83"/>
      <c r="W64" s="83"/>
      <c r="X64" s="83"/>
      <c r="Y64" s="83"/>
      <c r="Z64" s="83"/>
    </row>
    <row r="65" spans="1:26" s="1009" customFormat="1" hidden="1" outlineLevel="1" x14ac:dyDescent="0.25">
      <c r="A65" s="1006">
        <f t="shared" si="8"/>
        <v>2023</v>
      </c>
      <c r="B65" s="83"/>
      <c r="C65" s="83"/>
      <c r="D65" s="83"/>
      <c r="E65" s="83">
        <f t="array" ref="E65:T65">TRANSPOSE(SerNovaDivida_LP!AH54:AH69)</f>
        <v>0</v>
      </c>
      <c r="F65" s="83">
        <v>0</v>
      </c>
      <c r="G65" s="83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83">
        <v>0</v>
      </c>
      <c r="Q65" s="83">
        <v>0</v>
      </c>
      <c r="R65" s="83">
        <v>0</v>
      </c>
      <c r="S65" s="83">
        <v>0</v>
      </c>
      <c r="T65" s="83">
        <v>0</v>
      </c>
      <c r="U65" s="83"/>
      <c r="V65" s="83"/>
      <c r="W65" s="83"/>
      <c r="X65" s="83"/>
      <c r="Y65" s="83"/>
      <c r="Z65" s="83"/>
    </row>
    <row r="66" spans="1:26" s="1009" customFormat="1" hidden="1" outlineLevel="1" x14ac:dyDescent="0.25">
      <c r="A66" s="1006">
        <f t="shared" si="8"/>
        <v>2024</v>
      </c>
      <c r="B66" s="83"/>
      <c r="C66" s="83"/>
      <c r="D66" s="83"/>
      <c r="E66" s="83"/>
      <c r="F66" s="83">
        <f t="array" ref="F66:U66">TRANSPOSE(SerNovaDivida_LP!AQ54:AQ69)</f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  <c r="N66" s="83">
        <v>0</v>
      </c>
      <c r="O66" s="83">
        <v>0</v>
      </c>
      <c r="P66" s="83">
        <v>0</v>
      </c>
      <c r="Q66" s="83">
        <v>0</v>
      </c>
      <c r="R66" s="83">
        <v>0</v>
      </c>
      <c r="S66" s="83">
        <v>0</v>
      </c>
      <c r="T66" s="83">
        <v>0</v>
      </c>
      <c r="U66" s="83">
        <v>0</v>
      </c>
      <c r="V66" s="83"/>
      <c r="W66" s="83"/>
      <c r="X66" s="83"/>
      <c r="Y66" s="83"/>
      <c r="Z66" s="83"/>
    </row>
    <row r="67" spans="1:26" s="1009" customFormat="1" hidden="1" outlineLevel="1" x14ac:dyDescent="0.25">
      <c r="A67" s="1006">
        <f t="shared" si="8"/>
        <v>2025</v>
      </c>
      <c r="B67" s="83"/>
      <c r="C67" s="83"/>
      <c r="D67" s="83"/>
      <c r="E67" s="83"/>
      <c r="F67" s="83"/>
      <c r="G67" s="83">
        <f t="array" ref="G67:V67">TRANSPOSE(SerNovaDivida_LP!AZ54:AZ69)</f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0</v>
      </c>
      <c r="R67" s="83">
        <v>0</v>
      </c>
      <c r="S67" s="83">
        <v>0</v>
      </c>
      <c r="T67" s="83">
        <v>0</v>
      </c>
      <c r="U67" s="83">
        <v>0</v>
      </c>
      <c r="V67" s="83">
        <v>0</v>
      </c>
      <c r="W67" s="83"/>
      <c r="X67" s="83"/>
      <c r="Y67" s="83"/>
      <c r="Z67" s="83"/>
    </row>
    <row r="68" spans="1:26" s="1009" customFormat="1" hidden="1" outlineLevel="1" x14ac:dyDescent="0.25">
      <c r="A68" s="1006">
        <f t="shared" si="8"/>
        <v>2026</v>
      </c>
      <c r="B68" s="83"/>
      <c r="C68" s="83"/>
      <c r="D68" s="83"/>
      <c r="E68" s="83"/>
      <c r="F68" s="83"/>
      <c r="G68" s="83"/>
      <c r="H68" s="83">
        <f t="array" ref="H68:W68">TRANSPOSE(SerNovaDivida_LP!BI54:BI69)</f>
        <v>0</v>
      </c>
      <c r="I68" s="83">
        <v>0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83">
        <v>0</v>
      </c>
      <c r="R68" s="83">
        <v>0</v>
      </c>
      <c r="S68" s="83">
        <v>0</v>
      </c>
      <c r="T68" s="83">
        <v>0</v>
      </c>
      <c r="U68" s="83">
        <v>0</v>
      </c>
      <c r="V68" s="83">
        <v>0</v>
      </c>
      <c r="W68" s="83">
        <v>0</v>
      </c>
      <c r="X68" s="83"/>
      <c r="Y68" s="83"/>
      <c r="Z68" s="83"/>
    </row>
    <row r="69" spans="1:26" s="1009" customFormat="1" hidden="1" outlineLevel="1" x14ac:dyDescent="0.25">
      <c r="A69" s="1006">
        <f t="shared" si="8"/>
        <v>2027</v>
      </c>
      <c r="B69" s="83"/>
      <c r="C69" s="83"/>
      <c r="D69" s="83"/>
      <c r="E69" s="83"/>
      <c r="F69" s="83"/>
      <c r="G69" s="83"/>
      <c r="H69" s="83"/>
      <c r="I69" s="83">
        <f t="array" ref="I69:X69">TRANSPOSE(SerNovaDivida_LP!BR54:BR69)</f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83">
        <v>0</v>
      </c>
      <c r="Q69" s="83">
        <v>0</v>
      </c>
      <c r="R69" s="83">
        <v>0</v>
      </c>
      <c r="S69" s="83">
        <v>0</v>
      </c>
      <c r="T69" s="83">
        <v>0</v>
      </c>
      <c r="U69" s="83">
        <v>0</v>
      </c>
      <c r="V69" s="83">
        <v>0</v>
      </c>
      <c r="W69" s="83">
        <v>0</v>
      </c>
      <c r="X69" s="83">
        <v>0</v>
      </c>
      <c r="Y69" s="83"/>
      <c r="Z69" s="83"/>
    </row>
    <row r="70" spans="1:26" s="1009" customFormat="1" hidden="1" outlineLevel="1" x14ac:dyDescent="0.25">
      <c r="A70" s="1006">
        <f t="shared" si="8"/>
        <v>2028</v>
      </c>
      <c r="B70" s="83"/>
      <c r="C70" s="83"/>
      <c r="D70" s="83"/>
      <c r="E70" s="83"/>
      <c r="F70" s="83"/>
      <c r="G70" s="83"/>
      <c r="H70" s="83"/>
      <c r="I70" s="83"/>
      <c r="J70" s="83">
        <f t="array" ref="J70:Y70">TRANSPOSE(SerNovaDivida_LP!CA54:CA69)</f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83">
        <v>0</v>
      </c>
      <c r="Q70" s="83">
        <v>0</v>
      </c>
      <c r="R70" s="83">
        <v>0</v>
      </c>
      <c r="S70" s="83">
        <v>0</v>
      </c>
      <c r="T70" s="83">
        <v>0</v>
      </c>
      <c r="U70" s="83">
        <v>0</v>
      </c>
      <c r="V70" s="83">
        <v>0</v>
      </c>
      <c r="W70" s="83">
        <v>0</v>
      </c>
      <c r="X70" s="83">
        <v>0</v>
      </c>
      <c r="Y70" s="83">
        <v>0</v>
      </c>
      <c r="Z70" s="83"/>
    </row>
    <row r="71" spans="1:26" s="1009" customFormat="1" hidden="1" outlineLevel="1" x14ac:dyDescent="0.25">
      <c r="A71" s="1010">
        <f t="shared" si="8"/>
        <v>2029</v>
      </c>
      <c r="B71" s="1011"/>
      <c r="C71" s="1011"/>
      <c r="D71" s="1011"/>
      <c r="E71" s="1011"/>
      <c r="F71" s="1011"/>
      <c r="G71" s="1011"/>
      <c r="H71" s="1011"/>
      <c r="I71" s="1011"/>
      <c r="J71" s="1011"/>
      <c r="K71" s="1011">
        <f t="array" ref="K71:Z71">TRANSPOSE(SerNovaDivida_LP!CJ54:CJ69)</f>
        <v>0</v>
      </c>
      <c r="L71" s="1011">
        <v>0</v>
      </c>
      <c r="M71" s="1011">
        <v>0</v>
      </c>
      <c r="N71" s="1011">
        <v>0</v>
      </c>
      <c r="O71" s="1011">
        <v>0</v>
      </c>
      <c r="P71" s="1011">
        <v>0</v>
      </c>
      <c r="Q71" s="1011">
        <v>0</v>
      </c>
      <c r="R71" s="1011">
        <v>0</v>
      </c>
      <c r="S71" s="1011">
        <v>0</v>
      </c>
      <c r="T71" s="1011">
        <v>0</v>
      </c>
      <c r="U71" s="1011">
        <v>0</v>
      </c>
      <c r="V71" s="1011">
        <v>0</v>
      </c>
      <c r="W71" s="1011">
        <v>0</v>
      </c>
      <c r="X71" s="1011">
        <v>0</v>
      </c>
      <c r="Y71" s="1011">
        <v>0</v>
      </c>
      <c r="Z71" s="1011">
        <v>0</v>
      </c>
    </row>
    <row r="72" spans="1:26" collapsed="1" x14ac:dyDescent="0.25">
      <c r="A72" s="998" t="s">
        <v>396</v>
      </c>
      <c r="B72" s="25">
        <f>SUM(B61:B71)</f>
        <v>0</v>
      </c>
      <c r="C72" s="25">
        <f t="shared" ref="C72:Z72" si="9">SUM(C61:C71)</f>
        <v>0</v>
      </c>
      <c r="D72" s="25">
        <f t="shared" si="9"/>
        <v>0</v>
      </c>
      <c r="E72" s="25">
        <f t="shared" si="9"/>
        <v>0</v>
      </c>
      <c r="F72" s="25">
        <f t="shared" si="9"/>
        <v>0</v>
      </c>
      <c r="G72" s="25">
        <f t="shared" si="9"/>
        <v>0</v>
      </c>
      <c r="H72" s="25">
        <f t="shared" si="9"/>
        <v>0</v>
      </c>
      <c r="I72" s="25">
        <f t="shared" si="9"/>
        <v>0</v>
      </c>
      <c r="J72" s="25">
        <f t="shared" si="9"/>
        <v>0</v>
      </c>
      <c r="K72" s="25">
        <f t="shared" si="9"/>
        <v>0</v>
      </c>
      <c r="L72" s="25">
        <f t="shared" si="9"/>
        <v>0</v>
      </c>
      <c r="M72" s="25">
        <f t="shared" si="9"/>
        <v>0</v>
      </c>
      <c r="N72" s="25">
        <f t="shared" si="9"/>
        <v>0</v>
      </c>
      <c r="O72" s="25">
        <f t="shared" si="9"/>
        <v>0</v>
      </c>
      <c r="P72" s="25">
        <f t="shared" si="9"/>
        <v>0</v>
      </c>
      <c r="Q72" s="25">
        <f t="shared" si="9"/>
        <v>0</v>
      </c>
      <c r="R72" s="25">
        <f t="shared" si="9"/>
        <v>0</v>
      </c>
      <c r="S72" s="25">
        <f t="shared" si="9"/>
        <v>0</v>
      </c>
      <c r="T72" s="25">
        <f t="shared" si="9"/>
        <v>0</v>
      </c>
      <c r="U72" s="25">
        <f t="shared" si="9"/>
        <v>0</v>
      </c>
      <c r="V72" s="25">
        <f t="shared" si="9"/>
        <v>0</v>
      </c>
      <c r="W72" s="25">
        <f t="shared" si="9"/>
        <v>0</v>
      </c>
      <c r="X72" s="25">
        <f t="shared" si="9"/>
        <v>0</v>
      </c>
      <c r="Y72" s="25">
        <f t="shared" si="9"/>
        <v>0</v>
      </c>
      <c r="Z72" s="25">
        <f t="shared" si="9"/>
        <v>0</v>
      </c>
    </row>
    <row r="73" spans="1:26" x14ac:dyDescent="0.25">
      <c r="A73" s="1008"/>
      <c r="B73" s="1009"/>
      <c r="C73" s="1009"/>
      <c r="D73" s="1009"/>
      <c r="E73" s="1009"/>
      <c r="F73" s="1009"/>
      <c r="G73" s="1009"/>
      <c r="H73" s="1009"/>
      <c r="I73" s="1009"/>
      <c r="J73" s="1009"/>
      <c r="K73" s="1009"/>
      <c r="L73" s="1009"/>
      <c r="M73" s="1009"/>
      <c r="N73" s="1009"/>
      <c r="O73" s="1009"/>
      <c r="P73" s="1009"/>
      <c r="Q73" s="1009"/>
      <c r="R73" s="1009"/>
      <c r="S73" s="1009"/>
      <c r="T73" s="1009"/>
      <c r="U73" s="1009"/>
      <c r="V73" s="1009"/>
      <c r="W73" s="1009"/>
      <c r="X73" s="1009"/>
      <c r="Y73" s="1009"/>
      <c r="Z73" s="1009"/>
    </row>
    <row r="74" spans="1:26" x14ac:dyDescent="0.25">
      <c r="A74" s="998" t="s">
        <v>397</v>
      </c>
      <c r="B74" s="1009"/>
      <c r="C74" s="1009"/>
      <c r="D74" s="1009"/>
      <c r="E74" s="1009"/>
      <c r="F74" s="1009"/>
      <c r="G74" s="1009"/>
      <c r="H74" s="1009"/>
      <c r="I74" s="1009"/>
      <c r="J74" s="1009"/>
      <c r="K74" s="1009"/>
      <c r="L74" s="1009"/>
      <c r="M74" s="1009"/>
      <c r="N74" s="1009"/>
      <c r="O74" s="1009"/>
      <c r="P74" s="1009"/>
      <c r="Q74" s="1009"/>
      <c r="R74" s="1009"/>
      <c r="S74" s="1009"/>
      <c r="T74" s="1009"/>
      <c r="U74" s="1009"/>
      <c r="V74" s="1009"/>
      <c r="W74" s="1009"/>
      <c r="X74" s="1009"/>
      <c r="Y74" s="1009"/>
      <c r="Z74" s="1009"/>
    </row>
    <row r="75" spans="1:26" hidden="1" outlineLevel="1" x14ac:dyDescent="0.25">
      <c r="A75" s="1005">
        <f t="shared" ref="A75:A85" si="10">A61</f>
        <v>2019</v>
      </c>
      <c r="B75" s="606">
        <f t="array" ref="B75:Q75">TRANSPOSE(SerDividaAntiga!AI54:AI69)</f>
        <v>0</v>
      </c>
      <c r="C75" s="606">
        <v>0</v>
      </c>
      <c r="D75" s="606">
        <v>0</v>
      </c>
      <c r="E75" s="606">
        <v>0</v>
      </c>
      <c r="F75" s="606">
        <v>0</v>
      </c>
      <c r="G75" s="606">
        <v>0</v>
      </c>
      <c r="H75" s="606">
        <v>0</v>
      </c>
      <c r="I75" s="606">
        <v>0</v>
      </c>
      <c r="J75" s="606">
        <v>0</v>
      </c>
      <c r="K75" s="606">
        <v>0</v>
      </c>
      <c r="L75" s="606">
        <v>0</v>
      </c>
      <c r="M75" s="606">
        <v>0</v>
      </c>
      <c r="N75" s="606">
        <v>0</v>
      </c>
      <c r="O75" s="606">
        <v>0</v>
      </c>
      <c r="P75" s="606">
        <v>0</v>
      </c>
      <c r="Q75" s="606">
        <v>0</v>
      </c>
      <c r="R75" s="606"/>
      <c r="S75" s="606"/>
      <c r="T75" s="606"/>
      <c r="U75" s="606"/>
      <c r="V75" s="606"/>
      <c r="W75" s="606"/>
      <c r="X75" s="606"/>
      <c r="Y75" s="606"/>
      <c r="Z75" s="606"/>
    </row>
    <row r="76" spans="1:26" s="1009" customFormat="1" hidden="1" outlineLevel="1" x14ac:dyDescent="0.25">
      <c r="A76" s="1006">
        <f t="shared" si="10"/>
        <v>2020</v>
      </c>
      <c r="B76" s="83">
        <f t="array" ref="B76:Q76">TRANSPOSE(SerNovaDivida_LP!H54:H69)</f>
        <v>0</v>
      </c>
      <c r="C76" s="83">
        <v>0</v>
      </c>
      <c r="D76" s="83">
        <v>0</v>
      </c>
      <c r="E76" s="83">
        <v>0</v>
      </c>
      <c r="F76" s="83">
        <v>0</v>
      </c>
      <c r="G76" s="83">
        <v>0</v>
      </c>
      <c r="H76" s="83">
        <v>0</v>
      </c>
      <c r="I76" s="83">
        <v>0</v>
      </c>
      <c r="J76" s="83">
        <v>0</v>
      </c>
      <c r="K76" s="83">
        <v>0</v>
      </c>
      <c r="L76" s="83">
        <v>0</v>
      </c>
      <c r="M76" s="83">
        <v>0</v>
      </c>
      <c r="N76" s="83">
        <v>0</v>
      </c>
      <c r="O76" s="83">
        <v>0</v>
      </c>
      <c r="P76" s="83">
        <v>0</v>
      </c>
      <c r="Q76" s="83">
        <v>0</v>
      </c>
      <c r="R76" s="83"/>
      <c r="S76" s="83"/>
      <c r="T76" s="83"/>
      <c r="U76" s="83"/>
      <c r="V76" s="83"/>
      <c r="W76" s="83"/>
      <c r="X76" s="83"/>
      <c r="Y76" s="83"/>
      <c r="Z76" s="83"/>
    </row>
    <row r="77" spans="1:26" s="1009" customFormat="1" hidden="1" outlineLevel="1" x14ac:dyDescent="0.25">
      <c r="A77" s="1006">
        <f t="shared" si="10"/>
        <v>2021</v>
      </c>
      <c r="B77" s="83"/>
      <c r="C77" s="83">
        <f t="array" ref="C77:R77">TRANSPOSE(SerNovaDivida_LP!Q54:Q69)</f>
        <v>0</v>
      </c>
      <c r="D77" s="83">
        <v>0</v>
      </c>
      <c r="E77" s="83">
        <v>0</v>
      </c>
      <c r="F77" s="83">
        <v>0</v>
      </c>
      <c r="G77" s="83">
        <v>0</v>
      </c>
      <c r="H77" s="83">
        <v>0</v>
      </c>
      <c r="I77" s="83">
        <v>0</v>
      </c>
      <c r="J77" s="83">
        <v>0</v>
      </c>
      <c r="K77" s="83">
        <v>0</v>
      </c>
      <c r="L77" s="83">
        <v>0</v>
      </c>
      <c r="M77" s="83">
        <v>0</v>
      </c>
      <c r="N77" s="83">
        <v>0</v>
      </c>
      <c r="O77" s="83">
        <v>0</v>
      </c>
      <c r="P77" s="83">
        <v>0</v>
      </c>
      <c r="Q77" s="83">
        <v>0</v>
      </c>
      <c r="R77" s="83">
        <v>0</v>
      </c>
      <c r="S77" s="83"/>
      <c r="T77" s="83"/>
      <c r="U77" s="83"/>
      <c r="V77" s="83"/>
      <c r="W77" s="83"/>
      <c r="X77" s="83"/>
      <c r="Y77" s="83"/>
      <c r="Z77" s="83"/>
    </row>
    <row r="78" spans="1:26" s="1009" customFormat="1" hidden="1" outlineLevel="1" x14ac:dyDescent="0.25">
      <c r="A78" s="1006">
        <f t="shared" si="10"/>
        <v>2022</v>
      </c>
      <c r="B78" s="83"/>
      <c r="C78" s="83"/>
      <c r="D78" s="83">
        <f t="array" ref="D78:S78">TRANSPOSE(SerNovaDivida_LP!Z54:Z69)</f>
        <v>0</v>
      </c>
      <c r="E78" s="83">
        <v>0</v>
      </c>
      <c r="F78" s="83">
        <v>0</v>
      </c>
      <c r="G78" s="83">
        <v>0</v>
      </c>
      <c r="H78" s="83">
        <v>0</v>
      </c>
      <c r="I78" s="83">
        <v>0</v>
      </c>
      <c r="J78" s="83">
        <v>0</v>
      </c>
      <c r="K78" s="83">
        <v>0</v>
      </c>
      <c r="L78" s="83">
        <v>0</v>
      </c>
      <c r="M78" s="83">
        <v>0</v>
      </c>
      <c r="N78" s="83">
        <v>0</v>
      </c>
      <c r="O78" s="83">
        <v>0</v>
      </c>
      <c r="P78" s="83">
        <v>0</v>
      </c>
      <c r="Q78" s="83">
        <v>0</v>
      </c>
      <c r="R78" s="83">
        <v>0</v>
      </c>
      <c r="S78" s="83">
        <v>0</v>
      </c>
      <c r="T78" s="83"/>
      <c r="U78" s="83"/>
      <c r="V78" s="83"/>
      <c r="W78" s="83"/>
      <c r="X78" s="83"/>
      <c r="Y78" s="83"/>
      <c r="Z78" s="83"/>
    </row>
    <row r="79" spans="1:26" s="1009" customFormat="1" hidden="1" outlineLevel="1" x14ac:dyDescent="0.25">
      <c r="A79" s="1006">
        <f t="shared" si="10"/>
        <v>2023</v>
      </c>
      <c r="B79" s="83"/>
      <c r="C79" s="83"/>
      <c r="D79" s="83"/>
      <c r="E79" s="83">
        <f t="array" ref="E79:T79">TRANSPOSE(SerNovaDivida_LP!AI54:AI69)</f>
        <v>0</v>
      </c>
      <c r="F79" s="83">
        <v>0</v>
      </c>
      <c r="G79" s="83">
        <v>0</v>
      </c>
      <c r="H79" s="83">
        <v>0</v>
      </c>
      <c r="I79" s="83">
        <v>0</v>
      </c>
      <c r="J79" s="83">
        <v>0</v>
      </c>
      <c r="K79" s="83">
        <v>0</v>
      </c>
      <c r="L79" s="83">
        <v>0</v>
      </c>
      <c r="M79" s="83">
        <v>0</v>
      </c>
      <c r="N79" s="83">
        <v>0</v>
      </c>
      <c r="O79" s="83">
        <v>0</v>
      </c>
      <c r="P79" s="83">
        <v>0</v>
      </c>
      <c r="Q79" s="83">
        <v>0</v>
      </c>
      <c r="R79" s="83">
        <v>0</v>
      </c>
      <c r="S79" s="83">
        <v>0</v>
      </c>
      <c r="T79" s="83">
        <v>0</v>
      </c>
      <c r="U79" s="83"/>
      <c r="V79" s="83"/>
      <c r="W79" s="83"/>
      <c r="X79" s="83"/>
      <c r="Y79" s="83"/>
      <c r="Z79" s="83"/>
    </row>
    <row r="80" spans="1:26" s="1009" customFormat="1" hidden="1" outlineLevel="1" x14ac:dyDescent="0.25">
      <c r="A80" s="1006">
        <f t="shared" si="10"/>
        <v>2024</v>
      </c>
      <c r="B80" s="83"/>
      <c r="C80" s="83"/>
      <c r="D80" s="83"/>
      <c r="E80" s="83"/>
      <c r="F80" s="83">
        <f t="array" ref="F80:U80">TRANSPOSE(SerNovaDivida_LP!AR54:AR69)</f>
        <v>0</v>
      </c>
      <c r="G80" s="83">
        <v>0</v>
      </c>
      <c r="H80" s="83">
        <v>0</v>
      </c>
      <c r="I80" s="83">
        <v>0</v>
      </c>
      <c r="J80" s="83">
        <v>0</v>
      </c>
      <c r="K80" s="83">
        <v>0</v>
      </c>
      <c r="L80" s="83">
        <v>0</v>
      </c>
      <c r="M80" s="83">
        <v>0</v>
      </c>
      <c r="N80" s="83">
        <v>0</v>
      </c>
      <c r="O80" s="83">
        <v>0</v>
      </c>
      <c r="P80" s="83">
        <v>0</v>
      </c>
      <c r="Q80" s="83">
        <v>0</v>
      </c>
      <c r="R80" s="83">
        <v>0</v>
      </c>
      <c r="S80" s="83">
        <v>0</v>
      </c>
      <c r="T80" s="83">
        <v>0</v>
      </c>
      <c r="U80" s="83">
        <v>0</v>
      </c>
      <c r="V80" s="83"/>
      <c r="W80" s="83"/>
      <c r="X80" s="83"/>
      <c r="Y80" s="83"/>
      <c r="Z80" s="83"/>
    </row>
    <row r="81" spans="1:26" s="1009" customFormat="1" hidden="1" outlineLevel="1" x14ac:dyDescent="0.25">
      <c r="A81" s="1006">
        <f t="shared" si="10"/>
        <v>2025</v>
      </c>
      <c r="B81" s="83"/>
      <c r="C81" s="83"/>
      <c r="D81" s="83"/>
      <c r="E81" s="83"/>
      <c r="F81" s="83"/>
      <c r="G81" s="83">
        <f t="array" ref="G81:V81">TRANSPOSE(SerNovaDivida_LP!BA54:BA69)</f>
        <v>0</v>
      </c>
      <c r="H81" s="83">
        <v>0</v>
      </c>
      <c r="I81" s="83">
        <v>0</v>
      </c>
      <c r="J81" s="83">
        <v>0</v>
      </c>
      <c r="K81" s="83">
        <v>0</v>
      </c>
      <c r="L81" s="83">
        <v>0</v>
      </c>
      <c r="M81" s="83">
        <v>0</v>
      </c>
      <c r="N81" s="83">
        <v>0</v>
      </c>
      <c r="O81" s="83">
        <v>0</v>
      </c>
      <c r="P81" s="83">
        <v>0</v>
      </c>
      <c r="Q81" s="83">
        <v>0</v>
      </c>
      <c r="R81" s="83">
        <v>0</v>
      </c>
      <c r="S81" s="83">
        <v>0</v>
      </c>
      <c r="T81" s="83">
        <v>0</v>
      </c>
      <c r="U81" s="83">
        <v>0</v>
      </c>
      <c r="V81" s="83">
        <v>0</v>
      </c>
      <c r="W81" s="83"/>
      <c r="X81" s="83"/>
      <c r="Y81" s="83"/>
      <c r="Z81" s="83"/>
    </row>
    <row r="82" spans="1:26" s="1009" customFormat="1" hidden="1" outlineLevel="1" x14ac:dyDescent="0.25">
      <c r="A82" s="1006">
        <f t="shared" si="10"/>
        <v>2026</v>
      </c>
      <c r="B82" s="83"/>
      <c r="C82" s="83"/>
      <c r="D82" s="83"/>
      <c r="E82" s="83"/>
      <c r="F82" s="83"/>
      <c r="G82" s="83"/>
      <c r="H82" s="83">
        <f t="array" ref="H82:W82">TRANSPOSE(SerNovaDivida_LP!BJ54:BJ69)</f>
        <v>0</v>
      </c>
      <c r="I82" s="83">
        <v>0</v>
      </c>
      <c r="J82" s="83">
        <v>0</v>
      </c>
      <c r="K82" s="83">
        <v>0</v>
      </c>
      <c r="L82" s="83">
        <v>0</v>
      </c>
      <c r="M82" s="83">
        <v>0</v>
      </c>
      <c r="N82" s="83">
        <v>0</v>
      </c>
      <c r="O82" s="83">
        <v>0</v>
      </c>
      <c r="P82" s="83">
        <v>0</v>
      </c>
      <c r="Q82" s="83">
        <v>0</v>
      </c>
      <c r="R82" s="83">
        <v>0</v>
      </c>
      <c r="S82" s="83">
        <v>0</v>
      </c>
      <c r="T82" s="83">
        <v>0</v>
      </c>
      <c r="U82" s="83">
        <v>0</v>
      </c>
      <c r="V82" s="83">
        <v>0</v>
      </c>
      <c r="W82" s="83">
        <v>0</v>
      </c>
      <c r="X82" s="83"/>
      <c r="Y82" s="83"/>
      <c r="Z82" s="83"/>
    </row>
    <row r="83" spans="1:26" s="1009" customFormat="1" hidden="1" outlineLevel="1" x14ac:dyDescent="0.25">
      <c r="A83" s="1006">
        <f t="shared" si="10"/>
        <v>2027</v>
      </c>
      <c r="B83" s="83"/>
      <c r="C83" s="83"/>
      <c r="D83" s="83"/>
      <c r="E83" s="83"/>
      <c r="F83" s="83"/>
      <c r="G83" s="83"/>
      <c r="H83" s="83"/>
      <c r="I83" s="83">
        <f t="array" ref="I83:X83">TRANSPOSE(SerNovaDivida_LP!BS54:BS69)</f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/>
      <c r="Z83" s="83"/>
    </row>
    <row r="84" spans="1:26" s="1009" customFormat="1" hidden="1" outlineLevel="1" x14ac:dyDescent="0.25">
      <c r="A84" s="1006">
        <f t="shared" si="10"/>
        <v>2028</v>
      </c>
      <c r="B84" s="83"/>
      <c r="C84" s="83"/>
      <c r="D84" s="83"/>
      <c r="E84" s="83"/>
      <c r="F84" s="83"/>
      <c r="G84" s="83"/>
      <c r="H84" s="83"/>
      <c r="I84" s="83"/>
      <c r="J84" s="83">
        <f t="array" ref="J84:Y84">TRANSPOSE(SerNovaDivida_LP!CB54:CB69)</f>
        <v>0</v>
      </c>
      <c r="K84" s="83">
        <v>0</v>
      </c>
      <c r="L84" s="83">
        <v>0</v>
      </c>
      <c r="M84" s="83">
        <v>0</v>
      </c>
      <c r="N84" s="83">
        <v>0</v>
      </c>
      <c r="O84" s="83">
        <v>0</v>
      </c>
      <c r="P84" s="83">
        <v>0</v>
      </c>
      <c r="Q84" s="83">
        <v>0</v>
      </c>
      <c r="R84" s="83">
        <v>0</v>
      </c>
      <c r="S84" s="83">
        <v>0</v>
      </c>
      <c r="T84" s="83">
        <v>0</v>
      </c>
      <c r="U84" s="83">
        <v>0</v>
      </c>
      <c r="V84" s="83">
        <v>0</v>
      </c>
      <c r="W84" s="83">
        <v>0</v>
      </c>
      <c r="X84" s="83">
        <v>0</v>
      </c>
      <c r="Y84" s="83">
        <v>0</v>
      </c>
      <c r="Z84" s="83"/>
    </row>
    <row r="85" spans="1:26" s="1009" customFormat="1" hidden="1" outlineLevel="1" x14ac:dyDescent="0.25">
      <c r="A85" s="1010">
        <f t="shared" si="10"/>
        <v>2029</v>
      </c>
      <c r="B85" s="1011"/>
      <c r="C85" s="1011"/>
      <c r="D85" s="1011"/>
      <c r="E85" s="1011"/>
      <c r="F85" s="1011"/>
      <c r="G85" s="1011"/>
      <c r="H85" s="1011"/>
      <c r="I85" s="1011"/>
      <c r="J85" s="1011"/>
      <c r="K85" s="1011">
        <f t="array" ref="K85:Z85">TRANSPOSE(SerNovaDivida_LP!CK54:CK69)</f>
        <v>0</v>
      </c>
      <c r="L85" s="1011">
        <v>0</v>
      </c>
      <c r="M85" s="1011">
        <v>0</v>
      </c>
      <c r="N85" s="1011">
        <v>0</v>
      </c>
      <c r="O85" s="1011">
        <v>0</v>
      </c>
      <c r="P85" s="1011">
        <v>0</v>
      </c>
      <c r="Q85" s="1011">
        <v>0</v>
      </c>
      <c r="R85" s="1011">
        <v>0</v>
      </c>
      <c r="S85" s="1011">
        <v>0</v>
      </c>
      <c r="T85" s="1011">
        <v>0</v>
      </c>
      <c r="U85" s="1011">
        <v>0</v>
      </c>
      <c r="V85" s="1011">
        <v>0</v>
      </c>
      <c r="W85" s="1011">
        <v>0</v>
      </c>
      <c r="X85" s="1011">
        <v>0</v>
      </c>
      <c r="Y85" s="1011">
        <v>0</v>
      </c>
      <c r="Z85" s="1011">
        <v>0</v>
      </c>
    </row>
    <row r="86" spans="1:26" collapsed="1" x14ac:dyDescent="0.25">
      <c r="A86" s="998" t="s">
        <v>398</v>
      </c>
      <c r="B86" s="25">
        <f>SUM(B75:B85)</f>
        <v>0</v>
      </c>
      <c r="C86" s="25">
        <f t="shared" ref="C86:Z86" si="11">SUM(C75:C85)</f>
        <v>0</v>
      </c>
      <c r="D86" s="25">
        <f t="shared" si="11"/>
        <v>0</v>
      </c>
      <c r="E86" s="25">
        <f t="shared" si="11"/>
        <v>0</v>
      </c>
      <c r="F86" s="25">
        <f t="shared" si="11"/>
        <v>0</v>
      </c>
      <c r="G86" s="25">
        <f t="shared" si="11"/>
        <v>0</v>
      </c>
      <c r="H86" s="25">
        <f t="shared" si="11"/>
        <v>0</v>
      </c>
      <c r="I86" s="25">
        <f t="shared" si="11"/>
        <v>0</v>
      </c>
      <c r="J86" s="25">
        <f t="shared" si="11"/>
        <v>0</v>
      </c>
      <c r="K86" s="25">
        <f t="shared" si="11"/>
        <v>0</v>
      </c>
      <c r="L86" s="25">
        <f t="shared" si="11"/>
        <v>0</v>
      </c>
      <c r="M86" s="25">
        <f t="shared" si="11"/>
        <v>0</v>
      </c>
      <c r="N86" s="25">
        <f t="shared" si="11"/>
        <v>0</v>
      </c>
      <c r="O86" s="25">
        <f t="shared" si="11"/>
        <v>0</v>
      </c>
      <c r="P86" s="25">
        <f t="shared" si="11"/>
        <v>0</v>
      </c>
      <c r="Q86" s="25">
        <f t="shared" si="11"/>
        <v>0</v>
      </c>
      <c r="R86" s="25">
        <f t="shared" si="11"/>
        <v>0</v>
      </c>
      <c r="S86" s="25">
        <f t="shared" si="11"/>
        <v>0</v>
      </c>
      <c r="T86" s="25">
        <f t="shared" si="11"/>
        <v>0</v>
      </c>
      <c r="U86" s="25">
        <f t="shared" si="11"/>
        <v>0</v>
      </c>
      <c r="V86" s="25">
        <f t="shared" si="11"/>
        <v>0</v>
      </c>
      <c r="W86" s="25">
        <f t="shared" si="11"/>
        <v>0</v>
      </c>
      <c r="X86" s="25">
        <f t="shared" si="11"/>
        <v>0</v>
      </c>
      <c r="Y86" s="25">
        <f t="shared" si="11"/>
        <v>0</v>
      </c>
      <c r="Z86" s="25">
        <f t="shared" si="11"/>
        <v>0</v>
      </c>
    </row>
    <row r="89" spans="1:26" x14ac:dyDescent="0.25">
      <c r="A89" s="1012" t="s">
        <v>399</v>
      </c>
    </row>
    <row r="90" spans="1:26" x14ac:dyDescent="0.25">
      <c r="A90" s="838" t="s">
        <v>394</v>
      </c>
    </row>
    <row r="91" spans="1:26" outlineLevel="1" x14ac:dyDescent="0.25">
      <c r="A91" s="1013" t="s">
        <v>389</v>
      </c>
      <c r="B91" s="606">
        <f t="array" ref="B91:I91">TRANSPOSE(SerDividaAntiga!E31:E38)</f>
        <v>0</v>
      </c>
      <c r="C91" s="606">
        <v>0</v>
      </c>
      <c r="D91" s="606">
        <v>0</v>
      </c>
      <c r="E91" s="606">
        <v>0</v>
      </c>
      <c r="F91" s="606">
        <v>0</v>
      </c>
      <c r="G91" s="606">
        <v>0</v>
      </c>
      <c r="H91" s="606">
        <v>0</v>
      </c>
      <c r="I91" s="606">
        <v>0</v>
      </c>
      <c r="J91" s="606">
        <v>0</v>
      </c>
      <c r="K91" s="606">
        <v>0</v>
      </c>
    </row>
    <row r="92" spans="1:26" outlineLevel="1" x14ac:dyDescent="0.25">
      <c r="A92" s="1800" t="s">
        <v>390</v>
      </c>
      <c r="B92" s="1801">
        <f>SerDividaAntiga!N31</f>
        <v>0</v>
      </c>
      <c r="C92" s="1801">
        <f>SerDividaAntiga!N32</f>
        <v>0</v>
      </c>
      <c r="D92" s="1801">
        <f>SerDividaAntiga!N33</f>
        <v>0</v>
      </c>
      <c r="E92" s="1801">
        <f>SerDividaAntiga!N34</f>
        <v>0</v>
      </c>
      <c r="F92" s="1801">
        <f>SerDividaAntiga!N35</f>
        <v>0</v>
      </c>
      <c r="G92" s="1801">
        <f>SerDividaAntiga!N36</f>
        <v>0</v>
      </c>
      <c r="H92" s="1801">
        <f>SerDividaAntiga!N37</f>
        <v>0</v>
      </c>
      <c r="I92" s="1801">
        <f>SerDividaAntiga!N38</f>
        <v>0</v>
      </c>
      <c r="J92" s="1801"/>
      <c r="K92" s="1801"/>
    </row>
    <row r="93" spans="1:26" outlineLevel="1" x14ac:dyDescent="0.25">
      <c r="A93" s="1014" t="s">
        <v>391</v>
      </c>
      <c r="B93" s="1011">
        <f t="array" ref="B93:I93">TRANSPOSE(SerDividaAntiga!W31:W38)</f>
        <v>0</v>
      </c>
      <c r="C93" s="1011">
        <v>0</v>
      </c>
      <c r="D93" s="1011">
        <v>0</v>
      </c>
      <c r="E93" s="1011">
        <v>0</v>
      </c>
      <c r="F93" s="1011">
        <v>0</v>
      </c>
      <c r="G93" s="1011">
        <v>0</v>
      </c>
      <c r="H93" s="1011">
        <v>0</v>
      </c>
      <c r="I93" s="1011">
        <v>0</v>
      </c>
      <c r="J93" s="1011">
        <v>0</v>
      </c>
      <c r="K93" s="1011">
        <v>0</v>
      </c>
    </row>
    <row r="94" spans="1:26" x14ac:dyDescent="0.25">
      <c r="A94" s="998" t="str">
        <f>A58</f>
        <v>Total Amortizações</v>
      </c>
      <c r="B94" s="25">
        <f>SUM(B91:B93)</f>
        <v>0</v>
      </c>
      <c r="C94" s="25">
        <f t="shared" ref="C94:K94" si="12">SUM(C91:C93)</f>
        <v>0</v>
      </c>
      <c r="D94" s="25">
        <f t="shared" si="12"/>
        <v>0</v>
      </c>
      <c r="E94" s="25">
        <f t="shared" si="12"/>
        <v>0</v>
      </c>
      <c r="F94" s="25">
        <f t="shared" si="12"/>
        <v>0</v>
      </c>
      <c r="G94" s="25">
        <f t="shared" si="12"/>
        <v>0</v>
      </c>
      <c r="H94" s="25">
        <f t="shared" si="12"/>
        <v>0</v>
      </c>
      <c r="I94" s="25">
        <f t="shared" si="12"/>
        <v>0</v>
      </c>
      <c r="J94" s="25">
        <f t="shared" si="12"/>
        <v>0</v>
      </c>
      <c r="K94" s="25">
        <f t="shared" si="12"/>
        <v>0</v>
      </c>
    </row>
    <row r="95" spans="1:26" x14ac:dyDescent="0.25">
      <c r="A95" s="1008"/>
      <c r="B95" s="1009"/>
      <c r="C95" s="1009"/>
      <c r="D95" s="1009"/>
      <c r="E95" s="1009"/>
      <c r="F95" s="1009"/>
      <c r="G95" s="1009"/>
      <c r="H95" s="1009"/>
      <c r="I95" s="1009"/>
    </row>
    <row r="96" spans="1:26" x14ac:dyDescent="0.25">
      <c r="A96" s="1015" t="s">
        <v>255</v>
      </c>
      <c r="B96" s="1009"/>
      <c r="C96" s="1009"/>
      <c r="D96" s="1009"/>
      <c r="E96" s="1009"/>
      <c r="F96" s="1009"/>
      <c r="G96" s="1009"/>
      <c r="H96" s="1009"/>
      <c r="I96" s="1009"/>
    </row>
    <row r="97" spans="1:11" hidden="1" outlineLevel="1" x14ac:dyDescent="0.25">
      <c r="A97" s="1013" t="str">
        <f>A91</f>
        <v>Outras Dív. CP</v>
      </c>
      <c r="B97" s="606">
        <f t="array" ref="B97:I97">TRANSPOSE(SerDividaAntiga!G31:G38)</f>
        <v>11371.352934826898</v>
      </c>
      <c r="C97" s="606">
        <v>11371.352934826898</v>
      </c>
      <c r="D97" s="606">
        <v>11371.352934826898</v>
      </c>
      <c r="E97" s="606">
        <v>11371.352934826898</v>
      </c>
      <c r="F97" s="606">
        <v>11371.352934826898</v>
      </c>
      <c r="G97" s="606">
        <v>11371.352934826898</v>
      </c>
      <c r="H97" s="606">
        <v>11371.352934826898</v>
      </c>
      <c r="I97" s="606">
        <v>11371.352934826898</v>
      </c>
      <c r="J97" s="606">
        <v>0</v>
      </c>
      <c r="K97" s="606">
        <v>0</v>
      </c>
    </row>
    <row r="98" spans="1:11" hidden="1" outlineLevel="1" x14ac:dyDescent="0.25">
      <c r="A98" s="1014" t="str">
        <f>A93</f>
        <v>Dív. Banc. CP</v>
      </c>
      <c r="B98" s="1011">
        <f t="array" ref="B98:I98">TRANSPOSE(SerDividaAntiga!Y31:Y38)</f>
        <v>0</v>
      </c>
      <c r="C98" s="1011">
        <v>0</v>
      </c>
      <c r="D98" s="1011">
        <v>0</v>
      </c>
      <c r="E98" s="1011">
        <v>0</v>
      </c>
      <c r="F98" s="1011">
        <v>0</v>
      </c>
      <c r="G98" s="1011">
        <v>0</v>
      </c>
      <c r="H98" s="1011">
        <v>0</v>
      </c>
      <c r="I98" s="1011">
        <v>0</v>
      </c>
      <c r="J98" s="1011">
        <v>0</v>
      </c>
      <c r="K98" s="1011">
        <v>0</v>
      </c>
    </row>
    <row r="99" spans="1:11" collapsed="1" x14ac:dyDescent="0.25">
      <c r="A99" s="998" t="str">
        <f>A72</f>
        <v>Total Juros</v>
      </c>
      <c r="B99" s="25">
        <f t="shared" ref="B99:K99" si="13">SUM(B97:B98)</f>
        <v>11371.352934826898</v>
      </c>
      <c r="C99" s="25">
        <f t="shared" si="13"/>
        <v>11371.352934826898</v>
      </c>
      <c r="D99" s="25">
        <f t="shared" si="13"/>
        <v>11371.352934826898</v>
      </c>
      <c r="E99" s="25">
        <f t="shared" si="13"/>
        <v>11371.352934826898</v>
      </c>
      <c r="F99" s="25">
        <f t="shared" si="13"/>
        <v>11371.352934826898</v>
      </c>
      <c r="G99" s="25">
        <f t="shared" si="13"/>
        <v>11371.352934826898</v>
      </c>
      <c r="H99" s="25">
        <f t="shared" si="13"/>
        <v>11371.352934826898</v>
      </c>
      <c r="I99" s="25">
        <f t="shared" si="13"/>
        <v>11371.352934826898</v>
      </c>
      <c r="J99" s="25">
        <f t="shared" si="13"/>
        <v>0</v>
      </c>
      <c r="K99" s="25">
        <f t="shared" si="13"/>
        <v>0</v>
      </c>
    </row>
    <row r="100" spans="1:11" x14ac:dyDescent="0.25">
      <c r="A100" s="995"/>
      <c r="B100" s="1016"/>
      <c r="C100" s="1016"/>
      <c r="D100" s="1016"/>
      <c r="E100" s="1016"/>
      <c r="F100" s="1016"/>
      <c r="G100" s="1016"/>
      <c r="H100" s="1016"/>
      <c r="I100" s="1016"/>
    </row>
    <row r="101" spans="1:11" x14ac:dyDescent="0.25">
      <c r="A101" s="1015" t="s">
        <v>397</v>
      </c>
      <c r="B101" s="1016"/>
      <c r="C101" s="1016"/>
      <c r="D101" s="1016"/>
      <c r="E101" s="1016"/>
      <c r="F101" s="1016"/>
      <c r="G101" s="1016"/>
      <c r="H101" s="1016"/>
      <c r="I101" s="1016"/>
    </row>
    <row r="102" spans="1:11" hidden="1" outlineLevel="1" x14ac:dyDescent="0.25">
      <c r="A102" s="1013" t="str">
        <f>A97</f>
        <v>Outras Dív. CP</v>
      </c>
      <c r="B102" s="606">
        <f t="array" ref="B102:I102">TRANSPOSE(SerDividaAntiga!H31:H38)</f>
        <v>56.856764674134496</v>
      </c>
      <c r="C102" s="606">
        <v>56.856764674134496</v>
      </c>
      <c r="D102" s="606">
        <v>56.856764674134496</v>
      </c>
      <c r="E102" s="606">
        <v>56.856764674134496</v>
      </c>
      <c r="F102" s="606">
        <v>56.856764674134496</v>
      </c>
      <c r="G102" s="606">
        <v>56.856764674134496</v>
      </c>
      <c r="H102" s="606">
        <v>56.856764674134496</v>
      </c>
      <c r="I102" s="606">
        <v>56.856764674134496</v>
      </c>
      <c r="J102" s="606">
        <v>0</v>
      </c>
      <c r="K102" s="606">
        <v>0</v>
      </c>
    </row>
    <row r="103" spans="1:11" hidden="1" outlineLevel="1" x14ac:dyDescent="0.25">
      <c r="A103" s="1014" t="str">
        <f>A98</f>
        <v>Dív. Banc. CP</v>
      </c>
      <c r="B103" s="1011">
        <f t="array" ref="B103:I103">TRANSPOSE(SerDividaAntiga!Z31:Z38)</f>
        <v>0</v>
      </c>
      <c r="C103" s="1011">
        <v>0</v>
      </c>
      <c r="D103" s="1011">
        <v>0</v>
      </c>
      <c r="E103" s="1011">
        <v>0</v>
      </c>
      <c r="F103" s="1011">
        <v>0</v>
      </c>
      <c r="G103" s="1011">
        <v>0</v>
      </c>
      <c r="H103" s="1011">
        <v>0</v>
      </c>
      <c r="I103" s="1011">
        <v>0</v>
      </c>
      <c r="J103" s="1011">
        <v>0</v>
      </c>
      <c r="K103" s="1011">
        <v>0</v>
      </c>
    </row>
    <row r="104" spans="1:11" collapsed="1" x14ac:dyDescent="0.25">
      <c r="A104" s="998" t="str">
        <f>A86</f>
        <v>Total Imposto</v>
      </c>
      <c r="B104" s="25">
        <f t="shared" ref="B104:K104" si="14">SUM(B102:B103)</f>
        <v>56.856764674134496</v>
      </c>
      <c r="C104" s="25">
        <f t="shared" si="14"/>
        <v>56.856764674134496</v>
      </c>
      <c r="D104" s="25">
        <f t="shared" si="14"/>
        <v>56.856764674134496</v>
      </c>
      <c r="E104" s="25">
        <f t="shared" si="14"/>
        <v>56.856764674134496</v>
      </c>
      <c r="F104" s="25">
        <f t="shared" si="14"/>
        <v>56.856764674134496</v>
      </c>
      <c r="G104" s="25">
        <f t="shared" si="14"/>
        <v>56.856764674134496</v>
      </c>
      <c r="H104" s="25">
        <f t="shared" si="14"/>
        <v>56.856764674134496</v>
      </c>
      <c r="I104" s="25">
        <f t="shared" si="14"/>
        <v>56.856764674134496</v>
      </c>
      <c r="J104" s="25">
        <f t="shared" si="14"/>
        <v>0</v>
      </c>
      <c r="K104" s="25">
        <f t="shared" si="14"/>
        <v>0</v>
      </c>
    </row>
    <row r="107" spans="1:11" x14ac:dyDescent="0.25">
      <c r="A107" s="1017" t="s">
        <v>394</v>
      </c>
      <c r="B107" s="1018">
        <f>B58+B94</f>
        <v>0</v>
      </c>
      <c r="C107" s="1018">
        <f t="shared" ref="C107:K107" si="15">C58+C94</f>
        <v>0</v>
      </c>
      <c r="D107" s="1018">
        <f t="shared" si="15"/>
        <v>0</v>
      </c>
      <c r="E107" s="1018">
        <f t="shared" si="15"/>
        <v>0</v>
      </c>
      <c r="F107" s="1018">
        <f t="shared" si="15"/>
        <v>0</v>
      </c>
      <c r="G107" s="1018">
        <f t="shared" si="15"/>
        <v>0</v>
      </c>
      <c r="H107" s="1018">
        <f t="shared" si="15"/>
        <v>0</v>
      </c>
      <c r="I107" s="1018">
        <f t="shared" si="15"/>
        <v>0</v>
      </c>
      <c r="J107" s="1018">
        <f t="shared" si="15"/>
        <v>0</v>
      </c>
      <c r="K107" s="1018">
        <f t="shared" si="15"/>
        <v>0</v>
      </c>
    </row>
    <row r="108" spans="1:11" x14ac:dyDescent="0.25">
      <c r="A108" s="1019" t="s">
        <v>255</v>
      </c>
      <c r="B108" s="1020">
        <f>B72+B99</f>
        <v>11371.352934826898</v>
      </c>
      <c r="C108" s="1020">
        <f t="shared" ref="C108:K108" si="16">C72+C99</f>
        <v>11371.352934826898</v>
      </c>
      <c r="D108" s="1020">
        <f t="shared" si="16"/>
        <v>11371.352934826898</v>
      </c>
      <c r="E108" s="1020">
        <f t="shared" si="16"/>
        <v>11371.352934826898</v>
      </c>
      <c r="F108" s="1020">
        <f t="shared" si="16"/>
        <v>11371.352934826898</v>
      </c>
      <c r="G108" s="1020">
        <f t="shared" si="16"/>
        <v>11371.352934826898</v>
      </c>
      <c r="H108" s="1020">
        <f t="shared" si="16"/>
        <v>11371.352934826898</v>
      </c>
      <c r="I108" s="1020">
        <f t="shared" si="16"/>
        <v>11371.352934826898</v>
      </c>
      <c r="J108" s="1020">
        <f t="shared" si="16"/>
        <v>0</v>
      </c>
      <c r="K108" s="1020">
        <f t="shared" si="16"/>
        <v>0</v>
      </c>
    </row>
    <row r="109" spans="1:11" x14ac:dyDescent="0.25">
      <c r="A109" s="1021" t="s">
        <v>397</v>
      </c>
      <c r="B109" s="1022">
        <f>B86+B104</f>
        <v>56.856764674134496</v>
      </c>
      <c r="C109" s="1022">
        <f t="shared" ref="C109:K109" si="17">C86+C104</f>
        <v>56.856764674134496</v>
      </c>
      <c r="D109" s="1022">
        <f t="shared" si="17"/>
        <v>56.856764674134496</v>
      </c>
      <c r="E109" s="1022">
        <f t="shared" si="17"/>
        <v>56.856764674134496</v>
      </c>
      <c r="F109" s="1022">
        <f t="shared" si="17"/>
        <v>56.856764674134496</v>
      </c>
      <c r="G109" s="1022">
        <f t="shared" si="17"/>
        <v>56.856764674134496</v>
      </c>
      <c r="H109" s="1022">
        <f t="shared" si="17"/>
        <v>56.856764674134496</v>
      </c>
      <c r="I109" s="1022">
        <f t="shared" si="17"/>
        <v>56.856764674134496</v>
      </c>
      <c r="J109" s="1022">
        <f t="shared" si="17"/>
        <v>0</v>
      </c>
      <c r="K109" s="1022">
        <f t="shared" si="17"/>
        <v>0</v>
      </c>
    </row>
  </sheetData>
  <mergeCells count="2">
    <mergeCell ref="A2:A3"/>
    <mergeCell ref="A35:A3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0"/>
  <dimension ref="A2:R31"/>
  <sheetViews>
    <sheetView workbookViewId="0">
      <pane xSplit="1" ySplit="31" topLeftCell="B32" activePane="bottomRight" state="frozen"/>
      <selection pane="topRight" activeCell="B1" sqref="B1"/>
      <selection pane="bottomLeft" activeCell="A32" sqref="A32"/>
      <selection pane="bottomRight" activeCell="C5" sqref="C5"/>
    </sheetView>
  </sheetViews>
  <sheetFormatPr defaultColWidth="9.140625" defaultRowHeight="11.25" x14ac:dyDescent="0.25"/>
  <cols>
    <col min="1" max="1" width="2.140625" style="77" customWidth="1"/>
    <col min="2" max="2" width="44.140625" style="77" bestFit="1" customWidth="1"/>
    <col min="3" max="8" width="11.42578125" style="77" bestFit="1" customWidth="1"/>
    <col min="9" max="9" width="11.140625" style="77" customWidth="1"/>
    <col min="10" max="10" width="11.85546875" style="77" customWidth="1"/>
    <col min="11" max="11" width="11.5703125" style="77" customWidth="1"/>
    <col min="12" max="12" width="11.85546875" style="77" customWidth="1"/>
    <col min="13" max="18" width="9.140625" style="77"/>
    <col min="19" max="16384" width="9.140625" style="13"/>
  </cols>
  <sheetData>
    <row r="2" spans="2:12" x14ac:dyDescent="0.25">
      <c r="B2" s="2016" t="s">
        <v>314</v>
      </c>
      <c r="C2" s="2017"/>
      <c r="D2" s="2017"/>
      <c r="E2" s="2017"/>
      <c r="F2" s="2017"/>
      <c r="G2" s="2017"/>
      <c r="H2" s="2017"/>
      <c r="I2" s="2017"/>
      <c r="J2" s="2017"/>
      <c r="K2" s="2017"/>
      <c r="L2" s="2017"/>
    </row>
    <row r="3" spans="2:12" x14ac:dyDescent="0.25">
      <c r="B3" s="753"/>
      <c r="C3" s="754">
        <f>Pressupostos!C11</f>
        <v>2020</v>
      </c>
      <c r="D3" s="755">
        <f t="shared" ref="D3:I3" si="0">C3+1</f>
        <v>2021</v>
      </c>
      <c r="E3" s="755">
        <f t="shared" si="0"/>
        <v>2022</v>
      </c>
      <c r="F3" s="755">
        <f t="shared" si="0"/>
        <v>2023</v>
      </c>
      <c r="G3" s="755">
        <f t="shared" si="0"/>
        <v>2024</v>
      </c>
      <c r="H3" s="755">
        <f t="shared" si="0"/>
        <v>2025</v>
      </c>
      <c r="I3" s="755">
        <f t="shared" si="0"/>
        <v>2026</v>
      </c>
      <c r="J3" s="755">
        <f>I3+1</f>
        <v>2027</v>
      </c>
      <c r="K3" s="755">
        <f>J3+1</f>
        <v>2028</v>
      </c>
      <c r="L3" s="755">
        <f>K3+1</f>
        <v>2029</v>
      </c>
    </row>
    <row r="4" spans="2:12" x14ac:dyDescent="0.25">
      <c r="B4" s="768" t="s">
        <v>315</v>
      </c>
      <c r="C4" s="782">
        <f>C5+C6</f>
        <v>848710.0819281002</v>
      </c>
      <c r="D4" s="782">
        <f t="shared" ref="D4:L4" si="1">D5+D6</f>
        <v>900057.04188475024</v>
      </c>
      <c r="E4" s="782">
        <f t="shared" si="1"/>
        <v>954510.49291877763</v>
      </c>
      <c r="F4" s="782">
        <f t="shared" si="1"/>
        <v>1012258.3777403636</v>
      </c>
      <c r="G4" s="782">
        <f t="shared" si="1"/>
        <v>1032604.7711329449</v>
      </c>
      <c r="H4" s="782">
        <f t="shared" si="1"/>
        <v>1053360.127032717</v>
      </c>
      <c r="I4" s="782">
        <f t="shared" si="1"/>
        <v>1074532.6655860746</v>
      </c>
      <c r="J4" s="782">
        <f t="shared" si="1"/>
        <v>1096130.7721643546</v>
      </c>
      <c r="K4" s="782">
        <f t="shared" si="1"/>
        <v>1118163.0006848581</v>
      </c>
      <c r="L4" s="783">
        <f t="shared" si="1"/>
        <v>1140638.0769986238</v>
      </c>
    </row>
    <row r="5" spans="2:12" x14ac:dyDescent="0.25">
      <c r="B5" s="769" t="s">
        <v>316</v>
      </c>
      <c r="C5" s="784">
        <f>('Vendas+PrestServ'!D30)*Pressupostos!C27</f>
        <v>848710.0819281002</v>
      </c>
      <c r="D5" s="784">
        <f>('Vendas+PrestServ'!E30)*Pressupostos!D27</f>
        <v>900057.04188475024</v>
      </c>
      <c r="E5" s="784">
        <f>('Vendas+PrestServ'!F30)*Pressupostos!E27</f>
        <v>954510.49291877763</v>
      </c>
      <c r="F5" s="784">
        <f>('Vendas+PrestServ'!G30)*Pressupostos!F27</f>
        <v>1012258.3777403636</v>
      </c>
      <c r="G5" s="784">
        <f>('Vendas+PrestServ'!H30)*Pressupostos!G27</f>
        <v>1032604.7711329449</v>
      </c>
      <c r="H5" s="784">
        <f>('Vendas+PrestServ'!I30)*Pressupostos!H27</f>
        <v>1053360.127032717</v>
      </c>
      <c r="I5" s="784">
        <f>('Vendas+PrestServ'!J30)*Pressupostos!I27</f>
        <v>1074532.6655860746</v>
      </c>
      <c r="J5" s="784">
        <f>('Vendas+PrestServ'!K30)*Pressupostos!J27</f>
        <v>1096130.7721643546</v>
      </c>
      <c r="K5" s="784">
        <f>('Vendas+PrestServ'!L30)*Pressupostos!K27</f>
        <v>1118163.0006848581</v>
      </c>
      <c r="L5" s="784">
        <f>('Vendas+PrestServ'!M30)*Pressupostos!L27</f>
        <v>1140638.0769986238</v>
      </c>
    </row>
    <row r="6" spans="2:12" x14ac:dyDescent="0.25">
      <c r="B6" s="770" t="s">
        <v>317</v>
      </c>
      <c r="C6" s="785"/>
      <c r="D6" s="785"/>
      <c r="E6" s="785"/>
      <c r="F6" s="785"/>
      <c r="G6" s="785"/>
      <c r="H6" s="785"/>
      <c r="I6" s="785"/>
      <c r="J6" s="785"/>
      <c r="K6" s="785"/>
      <c r="L6" s="785"/>
    </row>
    <row r="7" spans="2:12" x14ac:dyDescent="0.25">
      <c r="B7" s="771" t="s">
        <v>318</v>
      </c>
      <c r="C7" s="786">
        <f>C8+C9+C10</f>
        <v>765191.57611768856</v>
      </c>
      <c r="D7" s="786">
        <f t="shared" ref="D7:L7" si="2">D8+D9+D10</f>
        <v>844829.62549780123</v>
      </c>
      <c r="E7" s="786">
        <f t="shared" si="2"/>
        <v>879945.55157044146</v>
      </c>
      <c r="F7" s="786">
        <f t="shared" si="2"/>
        <v>929970.02814583597</v>
      </c>
      <c r="G7" s="786">
        <f t="shared" si="2"/>
        <v>946155.88115716225</v>
      </c>
      <c r="H7" s="786">
        <f t="shared" si="2"/>
        <v>965173.61436842137</v>
      </c>
      <c r="I7" s="786">
        <f t="shared" si="2"/>
        <v>984573.60401722649</v>
      </c>
      <c r="J7" s="786">
        <f t="shared" si="2"/>
        <v>1004363.5334579726</v>
      </c>
      <c r="K7" s="786">
        <f t="shared" si="2"/>
        <v>1024551.2404804779</v>
      </c>
      <c r="L7" s="786">
        <f t="shared" si="2"/>
        <v>1045144.7204141356</v>
      </c>
    </row>
    <row r="8" spans="2:12" x14ac:dyDescent="0.25">
      <c r="B8" s="769" t="s">
        <v>319</v>
      </c>
      <c r="C8" s="784">
        <f>FM!H43*Pressupostos!C27</f>
        <v>642722.11023968854</v>
      </c>
      <c r="D8" s="784">
        <f>FM!I43*Pressupostos!D27</f>
        <v>709903.7248433599</v>
      </c>
      <c r="E8" s="784">
        <f>FM!J43*Pressupostos!E27</f>
        <v>747682.6350264065</v>
      </c>
      <c r="F8" s="784">
        <f>FM!K43*Pressupostos!F27</f>
        <v>793315.14715088683</v>
      </c>
      <c r="G8" s="784">
        <f>FM!L43*Pressupostos!G27</f>
        <v>806754.2370542147</v>
      </c>
      <c r="H8" s="784">
        <f>FM!M43*Pressupostos!H27</f>
        <v>822969.99721900455</v>
      </c>
      <c r="I8" s="784">
        <f>FM!N43*Pressupostos!I27</f>
        <v>839511.69416310638</v>
      </c>
      <c r="J8" s="784">
        <f>FM!O43*Pressupostos!J27</f>
        <v>856385.87921578472</v>
      </c>
      <c r="K8" s="784">
        <f>FM!P43*Pressupostos!K27</f>
        <v>873599.23538802203</v>
      </c>
      <c r="L8" s="784">
        <f>FM!Q43*Pressupostos!L27</f>
        <v>891158.58001932141</v>
      </c>
    </row>
    <row r="9" spans="2:12" x14ac:dyDescent="0.25">
      <c r="B9" s="770" t="s">
        <v>320</v>
      </c>
      <c r="C9" s="784">
        <f>FSE!D6*Pressupostos!C27</f>
        <v>122469.465878</v>
      </c>
      <c r="D9" s="784">
        <f>FSE!E6*Pressupostos!D27</f>
        <v>125725.9006544413</v>
      </c>
      <c r="E9" s="784">
        <f>FSE!F6*Pressupostos!E27</f>
        <v>132262.91654403499</v>
      </c>
      <c r="F9" s="784">
        <f>FSE!G6*Pressupostos!F27</f>
        <v>136654.88099494908</v>
      </c>
      <c r="G9" s="784">
        <f>FSE!H6*Pressupostos!G27</f>
        <v>139401.64410294755</v>
      </c>
      <c r="H9" s="784">
        <f>FSE!I6*Pressupostos!H27</f>
        <v>142203.61714941682</v>
      </c>
      <c r="I9" s="784">
        <f>FSE!J6*Pressupostos!I27</f>
        <v>145061.90985412008</v>
      </c>
      <c r="J9" s="784">
        <f>FSE!K6*Pressupostos!J27</f>
        <v>147977.65424218788</v>
      </c>
      <c r="K9" s="784">
        <f>FSE!L6*Pressupostos!K27</f>
        <v>150952.00509245586</v>
      </c>
      <c r="L9" s="784">
        <f>FSE!M6*Pressupostos!L27</f>
        <v>153986.14039481423</v>
      </c>
    </row>
    <row r="10" spans="2:12" x14ac:dyDescent="0.25">
      <c r="B10" s="769" t="s">
        <v>321</v>
      </c>
      <c r="C10" s="781">
        <f>PlanoInvest!C93</f>
        <v>0</v>
      </c>
      <c r="D10" s="781">
        <f>PlanoInvest!D93</f>
        <v>9200</v>
      </c>
      <c r="E10" s="781">
        <f>PlanoInvest!E93</f>
        <v>0</v>
      </c>
      <c r="F10" s="781">
        <f>PlanoInvest!F93</f>
        <v>0</v>
      </c>
      <c r="G10" s="781">
        <f>PlanoInvest!G93</f>
        <v>0</v>
      </c>
      <c r="H10" s="781">
        <f>PlanoInvest!H93</f>
        <v>0</v>
      </c>
      <c r="I10" s="781">
        <f>PlanoInvest!I93</f>
        <v>0</v>
      </c>
      <c r="J10" s="781">
        <f>PlanoInvest!J93</f>
        <v>0</v>
      </c>
      <c r="K10" s="781">
        <f>PlanoInvest!K93</f>
        <v>0</v>
      </c>
      <c r="L10" s="781">
        <f>PlanoInvest!L93</f>
        <v>0</v>
      </c>
    </row>
    <row r="11" spans="2:12" x14ac:dyDescent="0.25">
      <c r="B11" s="772" t="s">
        <v>322</v>
      </c>
      <c r="C11" s="786">
        <f>C4-C7</f>
        <v>83518.505810411647</v>
      </c>
      <c r="D11" s="786">
        <f t="shared" ref="D11:L11" si="3">D4-D7</f>
        <v>55227.416386949015</v>
      </c>
      <c r="E11" s="786">
        <f t="shared" si="3"/>
        <v>74564.941348336171</v>
      </c>
      <c r="F11" s="786">
        <f t="shared" si="3"/>
        <v>82288.349594527623</v>
      </c>
      <c r="G11" s="786">
        <f t="shared" si="3"/>
        <v>86448.8899757826</v>
      </c>
      <c r="H11" s="786">
        <f t="shared" si="3"/>
        <v>88186.512664295617</v>
      </c>
      <c r="I11" s="786">
        <f t="shared" si="3"/>
        <v>89959.06156884809</v>
      </c>
      <c r="J11" s="786">
        <f t="shared" si="3"/>
        <v>91767.238706381992</v>
      </c>
      <c r="K11" s="786">
        <f t="shared" si="3"/>
        <v>93611.760204380145</v>
      </c>
      <c r="L11" s="787">
        <f t="shared" si="3"/>
        <v>95493.356584488181</v>
      </c>
    </row>
    <row r="12" spans="2:12" x14ac:dyDescent="0.25">
      <c r="B12" s="772" t="s">
        <v>323</v>
      </c>
      <c r="C12" s="781">
        <f>C11*Pressupostos!C28/12</f>
        <v>6959.8754842009703</v>
      </c>
      <c r="D12" s="781">
        <f>D11*Pressupostos!D28/12</f>
        <v>4602.2846989124182</v>
      </c>
      <c r="E12" s="781">
        <f>E11*Pressupostos!E28/12</f>
        <v>6213.7451123613473</v>
      </c>
      <c r="F12" s="781">
        <f>F11*Pressupostos!F28/12</f>
        <v>6857.3624662106349</v>
      </c>
      <c r="G12" s="781">
        <f>G11*Pressupostos!G28/12</f>
        <v>7204.0741646485503</v>
      </c>
      <c r="H12" s="781">
        <f>H11*Pressupostos!H28/12</f>
        <v>7348.8760553579677</v>
      </c>
      <c r="I12" s="781">
        <f>I11*Pressupostos!I28/12</f>
        <v>7496.5884640706745</v>
      </c>
      <c r="J12" s="781">
        <f>J11*Pressupostos!J28/12</f>
        <v>7647.2698921984993</v>
      </c>
      <c r="K12" s="781">
        <f>K11*Pressupostos!K28/12</f>
        <v>7800.9800170316785</v>
      </c>
      <c r="L12" s="781">
        <f>L11*Pressupostos!L28/12</f>
        <v>7957.7797153740148</v>
      </c>
    </row>
    <row r="13" spans="2:12" x14ac:dyDescent="0.25">
      <c r="B13" s="773" t="s">
        <v>324</v>
      </c>
      <c r="C13" s="780">
        <f>C11-C12</f>
        <v>76558.630326210681</v>
      </c>
      <c r="D13" s="780">
        <f t="shared" ref="D13:L13" si="4">D11-D12</f>
        <v>50625.131688036599</v>
      </c>
      <c r="E13" s="780">
        <f t="shared" si="4"/>
        <v>68351.196235974829</v>
      </c>
      <c r="F13" s="780">
        <f t="shared" si="4"/>
        <v>75430.987128316992</v>
      </c>
      <c r="G13" s="780">
        <f t="shared" si="4"/>
        <v>79244.815811134045</v>
      </c>
      <c r="H13" s="780">
        <f t="shared" si="4"/>
        <v>80837.636608937653</v>
      </c>
      <c r="I13" s="780">
        <f t="shared" si="4"/>
        <v>82462.473104777411</v>
      </c>
      <c r="J13" s="780">
        <f t="shared" si="4"/>
        <v>84119.968814183492</v>
      </c>
      <c r="K13" s="780">
        <f t="shared" si="4"/>
        <v>85810.780187348471</v>
      </c>
      <c r="L13" s="788">
        <f t="shared" si="4"/>
        <v>87535.576869114171</v>
      </c>
    </row>
    <row r="14" spans="2:12" x14ac:dyDescent="0.25">
      <c r="B14" s="756"/>
      <c r="C14" s="757"/>
      <c r="D14" s="757"/>
      <c r="E14" s="757"/>
      <c r="F14" s="757"/>
      <c r="G14" s="757"/>
      <c r="H14" s="757"/>
      <c r="I14" s="757"/>
      <c r="J14" s="757"/>
      <c r="K14" s="757"/>
      <c r="L14" s="758"/>
    </row>
    <row r="15" spans="2:12" x14ac:dyDescent="0.25">
      <c r="B15" s="759" t="s">
        <v>325</v>
      </c>
      <c r="C15" s="760"/>
      <c r="D15" s="760"/>
      <c r="E15" s="760"/>
      <c r="F15" s="760"/>
      <c r="G15" s="760"/>
      <c r="H15" s="760"/>
      <c r="I15" s="760"/>
      <c r="J15" s="760"/>
      <c r="K15" s="760"/>
      <c r="L15" s="761"/>
    </row>
    <row r="16" spans="2:12" x14ac:dyDescent="0.25">
      <c r="B16" s="762" t="s">
        <v>326</v>
      </c>
      <c r="C16" s="763"/>
      <c r="D16" s="763"/>
      <c r="E16" s="763"/>
      <c r="F16" s="763"/>
      <c r="G16" s="763"/>
      <c r="H16" s="763"/>
      <c r="I16" s="763"/>
      <c r="J16" s="763"/>
      <c r="K16" s="763"/>
      <c r="L16" s="764"/>
    </row>
    <row r="17" spans="2:12" x14ac:dyDescent="0.25">
      <c r="B17" s="774" t="s">
        <v>327</v>
      </c>
      <c r="C17" s="779">
        <f>IF(C12&lt;0,-C12,0)</f>
        <v>0</v>
      </c>
      <c r="D17" s="779">
        <f t="shared" ref="D17:L17" si="5">IF(D12&lt;0,-D12,0)</f>
        <v>0</v>
      </c>
      <c r="E17" s="779">
        <f t="shared" si="5"/>
        <v>0</v>
      </c>
      <c r="F17" s="779">
        <f t="shared" si="5"/>
        <v>0</v>
      </c>
      <c r="G17" s="779">
        <f t="shared" si="5"/>
        <v>0</v>
      </c>
      <c r="H17" s="779">
        <f t="shared" si="5"/>
        <v>0</v>
      </c>
      <c r="I17" s="779">
        <f t="shared" si="5"/>
        <v>0</v>
      </c>
      <c r="J17" s="779">
        <f t="shared" si="5"/>
        <v>0</v>
      </c>
      <c r="K17" s="779">
        <f t="shared" si="5"/>
        <v>0</v>
      </c>
      <c r="L17" s="779">
        <f t="shared" si="5"/>
        <v>0</v>
      </c>
    </row>
    <row r="18" spans="2:12" x14ac:dyDescent="0.25">
      <c r="B18" s="775" t="s">
        <v>328</v>
      </c>
      <c r="C18" s="780">
        <f>C17</f>
        <v>0</v>
      </c>
      <c r="D18" s="780">
        <f t="shared" ref="D18:L18" si="6">D17</f>
        <v>0</v>
      </c>
      <c r="E18" s="780">
        <f t="shared" si="6"/>
        <v>0</v>
      </c>
      <c r="F18" s="780">
        <f t="shared" si="6"/>
        <v>0</v>
      </c>
      <c r="G18" s="780">
        <f t="shared" si="6"/>
        <v>0</v>
      </c>
      <c r="H18" s="780">
        <f t="shared" si="6"/>
        <v>0</v>
      </c>
      <c r="I18" s="780">
        <f t="shared" si="6"/>
        <v>0</v>
      </c>
      <c r="J18" s="780">
        <f t="shared" si="6"/>
        <v>0</v>
      </c>
      <c r="K18" s="780">
        <f t="shared" si="6"/>
        <v>0</v>
      </c>
      <c r="L18" s="780">
        <f t="shared" si="6"/>
        <v>0</v>
      </c>
    </row>
    <row r="19" spans="2:12" x14ac:dyDescent="0.25">
      <c r="B19" s="762" t="s">
        <v>329</v>
      </c>
      <c r="C19" s="763"/>
      <c r="D19" s="763"/>
      <c r="E19" s="763"/>
      <c r="F19" s="763"/>
      <c r="G19" s="763"/>
      <c r="H19" s="763"/>
      <c r="I19" s="763"/>
      <c r="J19" s="763"/>
      <c r="K19" s="763"/>
      <c r="L19" s="764"/>
    </row>
    <row r="20" spans="2:12" x14ac:dyDescent="0.25">
      <c r="B20" s="776" t="s">
        <v>327</v>
      </c>
      <c r="C20" s="779">
        <f>IF(C12&gt;0,C12,0)</f>
        <v>6959.8754842009703</v>
      </c>
      <c r="D20" s="779">
        <f t="shared" ref="D20:L20" si="7">IF(D12&gt;0,D12,0)</f>
        <v>4602.2846989124182</v>
      </c>
      <c r="E20" s="779">
        <f t="shared" si="7"/>
        <v>6213.7451123613473</v>
      </c>
      <c r="F20" s="779">
        <f t="shared" si="7"/>
        <v>6857.3624662106349</v>
      </c>
      <c r="G20" s="779">
        <f t="shared" si="7"/>
        <v>7204.0741646485503</v>
      </c>
      <c r="H20" s="779">
        <f t="shared" si="7"/>
        <v>7348.8760553579677</v>
      </c>
      <c r="I20" s="779">
        <f t="shared" si="7"/>
        <v>7496.5884640706745</v>
      </c>
      <c r="J20" s="779">
        <f t="shared" si="7"/>
        <v>7647.2698921984993</v>
      </c>
      <c r="K20" s="779">
        <f t="shared" si="7"/>
        <v>7800.9800170316785</v>
      </c>
      <c r="L20" s="779">
        <f t="shared" si="7"/>
        <v>7957.7797153740148</v>
      </c>
    </row>
    <row r="21" spans="2:12" x14ac:dyDescent="0.25">
      <c r="B21" s="777" t="s">
        <v>330</v>
      </c>
      <c r="C21" s="781">
        <f>'DR Empresa'!C28</f>
        <v>7184.8061343136133</v>
      </c>
      <c r="D21" s="781">
        <f>'DR Empresa'!D28</f>
        <v>14350.048617369564</v>
      </c>
      <c r="E21" s="781">
        <f>'DR Empresa'!E28</f>
        <v>12871.620058756949</v>
      </c>
      <c r="F21" s="781">
        <f>'DR Empresa'!F28</f>
        <v>16199.133200407119</v>
      </c>
      <c r="G21" s="781">
        <f>'DR Empresa'!G28</f>
        <v>16665.568544248094</v>
      </c>
      <c r="H21" s="781">
        <f>'DR Empresa'!H28</f>
        <v>18653.732719723503</v>
      </c>
      <c r="I21" s="781">
        <f>'DR Empresa'!I28</f>
        <v>19125.074594213354</v>
      </c>
      <c r="J21" s="781">
        <f>'DR Empresa'!J28</f>
        <v>19606.019360453822</v>
      </c>
      <c r="K21" s="781">
        <f>'DR Empresa'!K28</f>
        <v>22668.109797358193</v>
      </c>
      <c r="L21" s="781">
        <f>'DR Empresa'!L28</f>
        <v>23168.851119734969</v>
      </c>
    </row>
    <row r="22" spans="2:12" x14ac:dyDescent="0.25">
      <c r="B22" s="778" t="s">
        <v>328</v>
      </c>
      <c r="C22" s="780">
        <f>C20+C21</f>
        <v>14144.681618514584</v>
      </c>
      <c r="D22" s="780">
        <f t="shared" ref="D22:L22" si="8">D20+D21</f>
        <v>18952.333316281984</v>
      </c>
      <c r="E22" s="780">
        <f t="shared" si="8"/>
        <v>19085.365171118297</v>
      </c>
      <c r="F22" s="780">
        <f t="shared" si="8"/>
        <v>23056.495666617753</v>
      </c>
      <c r="G22" s="780">
        <f t="shared" si="8"/>
        <v>23869.642708896645</v>
      </c>
      <c r="H22" s="780">
        <f t="shared" si="8"/>
        <v>26002.60877508147</v>
      </c>
      <c r="I22" s="780">
        <f t="shared" si="8"/>
        <v>26621.66305828403</v>
      </c>
      <c r="J22" s="780">
        <f t="shared" si="8"/>
        <v>27253.289252652321</v>
      </c>
      <c r="K22" s="780">
        <f t="shared" si="8"/>
        <v>30469.08981438987</v>
      </c>
      <c r="L22" s="780">
        <f t="shared" si="8"/>
        <v>31126.630835108983</v>
      </c>
    </row>
    <row r="23" spans="2:12" x14ac:dyDescent="0.25">
      <c r="B23" s="765"/>
      <c r="C23" s="766"/>
      <c r="D23" s="766"/>
      <c r="E23" s="766"/>
      <c r="F23" s="766"/>
      <c r="G23" s="766"/>
      <c r="H23" s="766"/>
      <c r="I23" s="766"/>
    </row>
    <row r="24" spans="2:12" x14ac:dyDescent="0.25">
      <c r="B24" s="765"/>
      <c r="C24" s="766"/>
      <c r="D24" s="766"/>
      <c r="E24" s="766"/>
      <c r="F24" s="766"/>
      <c r="G24" s="766"/>
      <c r="H24" s="766"/>
      <c r="I24" s="766"/>
    </row>
    <row r="25" spans="2:12" x14ac:dyDescent="0.25">
      <c r="B25" s="765"/>
      <c r="C25" s="766"/>
      <c r="D25" s="766"/>
      <c r="E25" s="766"/>
      <c r="F25" s="766"/>
      <c r="G25" s="766"/>
      <c r="H25" s="766"/>
      <c r="I25" s="766"/>
    </row>
    <row r="26" spans="2:12" x14ac:dyDescent="0.25">
      <c r="B26" s="2016" t="s">
        <v>331</v>
      </c>
      <c r="C26" s="2018"/>
      <c r="D26" s="2018"/>
      <c r="E26" s="2018"/>
      <c r="F26" s="2018"/>
      <c r="G26" s="2018"/>
      <c r="H26" s="2018"/>
      <c r="I26" s="2018"/>
      <c r="J26" s="2018"/>
      <c r="K26" s="2018"/>
      <c r="L26" s="2018"/>
    </row>
    <row r="27" spans="2:12" x14ac:dyDescent="0.25">
      <c r="B27" s="765"/>
      <c r="C27" s="765"/>
      <c r="D27" s="765"/>
      <c r="E27" s="765"/>
      <c r="F27" s="765"/>
      <c r="G27" s="765"/>
      <c r="H27" s="765"/>
      <c r="I27" s="765"/>
      <c r="J27" s="765"/>
      <c r="K27" s="765"/>
      <c r="L27" s="765"/>
    </row>
    <row r="28" spans="2:12" x14ac:dyDescent="0.25">
      <c r="B28" s="789" t="s">
        <v>332</v>
      </c>
      <c r="C28" s="790">
        <f>RH!D5</f>
        <v>45347.023574999999</v>
      </c>
      <c r="D28" s="790">
        <f>RH!E5</f>
        <v>52868.964046499997</v>
      </c>
      <c r="E28" s="790">
        <f>RH!F5</f>
        <v>56131.343327429997</v>
      </c>
      <c r="F28" s="790">
        <f>RH!G5</f>
        <v>57253.970193978595</v>
      </c>
      <c r="G28" s="790">
        <f>RH!H5</f>
        <v>58399.049597858168</v>
      </c>
      <c r="H28" s="790">
        <f>RH!I5</f>
        <v>59567.030589815331</v>
      </c>
      <c r="I28" s="790">
        <f>RH!J5</f>
        <v>60758.371201611641</v>
      </c>
      <c r="J28" s="790">
        <f>RH!K5</f>
        <v>61973.538625643872</v>
      </c>
      <c r="K28" s="790">
        <f>RH!L5</f>
        <v>63213.009398156755</v>
      </c>
      <c r="L28" s="790">
        <f>RH!M5</f>
        <v>64477.269586119888</v>
      </c>
    </row>
    <row r="29" spans="2:12" x14ac:dyDescent="0.25">
      <c r="B29" s="791" t="s">
        <v>333</v>
      </c>
      <c r="C29" s="792">
        <f>C28*Pressupostos!C26/12</f>
        <v>7557.8372625000002</v>
      </c>
      <c r="D29" s="792">
        <f>D28*Pressupostos!D26/12</f>
        <v>8811.4940077499996</v>
      </c>
      <c r="E29" s="792">
        <f>E28*Pressupostos!E26/12</f>
        <v>9355.2238879050001</v>
      </c>
      <c r="F29" s="792">
        <f>F28*Pressupostos!F26/12</f>
        <v>9542.3283656630992</v>
      </c>
      <c r="G29" s="792">
        <f>G28*Pressupostos!G26/12</f>
        <v>9733.1749329763607</v>
      </c>
      <c r="H29" s="792">
        <f>H28*Pressupostos!H26/12</f>
        <v>9927.8384316358879</v>
      </c>
      <c r="I29" s="792">
        <f>I28*Pressupostos!I26/12</f>
        <v>10126.395200268607</v>
      </c>
      <c r="J29" s="792">
        <f>J28*Pressupostos!J26/12</f>
        <v>10328.923104273979</v>
      </c>
      <c r="K29" s="792">
        <f>K28*Pressupostos!K26/12</f>
        <v>10535.501566359459</v>
      </c>
      <c r="L29" s="792">
        <f>L28*Pressupostos!L26/12</f>
        <v>10746.211597686648</v>
      </c>
    </row>
    <row r="30" spans="2:12" x14ac:dyDescent="0.25">
      <c r="B30" s="767"/>
      <c r="C30" s="793"/>
      <c r="D30" s="793"/>
      <c r="E30" s="793"/>
      <c r="F30" s="793"/>
      <c r="G30" s="793"/>
      <c r="H30" s="793"/>
      <c r="I30" s="793"/>
      <c r="J30" s="793"/>
      <c r="K30" s="793"/>
      <c r="L30" s="793"/>
    </row>
    <row r="31" spans="2:12" x14ac:dyDescent="0.25">
      <c r="B31" s="794" t="s">
        <v>334</v>
      </c>
      <c r="C31" s="795">
        <f t="shared" ref="C31" si="9">C28-C29</f>
        <v>37789.186312500002</v>
      </c>
      <c r="D31" s="795">
        <f>D28-(D29-C29)</f>
        <v>51615.307301249995</v>
      </c>
      <c r="E31" s="795">
        <f t="shared" ref="E31:L31" si="10">E28-(E29-D29)</f>
        <v>55587.613447274998</v>
      </c>
      <c r="F31" s="795">
        <f t="shared" si="10"/>
        <v>57066.865716220498</v>
      </c>
      <c r="G31" s="795">
        <f t="shared" si="10"/>
        <v>58208.203030544908</v>
      </c>
      <c r="H31" s="795">
        <f t="shared" si="10"/>
        <v>59372.3670911558</v>
      </c>
      <c r="I31" s="795">
        <f t="shared" si="10"/>
        <v>60559.814432978921</v>
      </c>
      <c r="J31" s="795">
        <f t="shared" si="10"/>
        <v>61771.0107216385</v>
      </c>
      <c r="K31" s="795">
        <f t="shared" si="10"/>
        <v>63006.43093607128</v>
      </c>
      <c r="L31" s="795">
        <f t="shared" si="10"/>
        <v>64266.559554792701</v>
      </c>
    </row>
  </sheetData>
  <mergeCells count="2">
    <mergeCell ref="B2:L2"/>
    <mergeCell ref="B26:L2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1"/>
  <dimension ref="A1:BH4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H8" sqref="H8"/>
    </sheetView>
  </sheetViews>
  <sheetFormatPr defaultColWidth="9.140625" defaultRowHeight="11.25" x14ac:dyDescent="0.25"/>
  <cols>
    <col min="1" max="1" width="2" style="77" customWidth="1"/>
    <col min="2" max="5" width="9.140625" style="77"/>
    <col min="6" max="6" width="7.85546875" style="77" customWidth="1"/>
    <col min="7" max="7" width="10.85546875" style="77" customWidth="1"/>
    <col min="8" max="8" width="11.140625" style="77" bestFit="1" customWidth="1"/>
    <col min="9" max="16" width="11" style="77" bestFit="1" customWidth="1"/>
    <col min="17" max="17" width="12.140625" style="77" bestFit="1" customWidth="1"/>
    <col min="18" max="35" width="9.140625" style="77"/>
    <col min="36" max="60" width="9.140625" style="12"/>
    <col min="61" max="16384" width="9.140625" style="13"/>
  </cols>
  <sheetData>
    <row r="1" spans="1:60" s="797" customFormat="1" x14ac:dyDescent="0.25">
      <c r="A1" s="75"/>
      <c r="B1" s="75"/>
      <c r="C1" s="334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</row>
    <row r="2" spans="1:60" s="797" customFormat="1" x14ac:dyDescent="0.25">
      <c r="A2" s="75"/>
      <c r="B2" s="2034" t="s">
        <v>335</v>
      </c>
      <c r="C2" s="2035"/>
      <c r="D2" s="2035"/>
      <c r="E2" s="2035"/>
      <c r="F2" s="2035"/>
      <c r="G2" s="2035"/>
      <c r="H2" s="502"/>
      <c r="I2" s="501"/>
      <c r="J2" s="502"/>
      <c r="K2" s="502"/>
      <c r="L2" s="502"/>
      <c r="M2" s="502"/>
      <c r="N2" s="502"/>
      <c r="O2" s="502"/>
      <c r="P2" s="502"/>
      <c r="Q2" s="503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spans="1:60" s="797" customFormat="1" x14ac:dyDescent="0.25">
      <c r="A3" s="75"/>
      <c r="B3" s="237"/>
      <c r="C3" s="334"/>
      <c r="D3" s="334"/>
      <c r="E3" s="334"/>
      <c r="F3" s="334"/>
      <c r="G3" s="334"/>
      <c r="H3" s="489"/>
      <c r="I3" s="334"/>
      <c r="J3" s="334"/>
      <c r="K3" s="334"/>
      <c r="L3" s="798"/>
      <c r="M3" s="799"/>
      <c r="N3" s="800"/>
      <c r="O3" s="800"/>
      <c r="P3" s="800"/>
      <c r="Q3" s="801" t="s">
        <v>70</v>
      </c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spans="1:60" s="797" customFormat="1" ht="11.25" customHeight="1" x14ac:dyDescent="0.25">
      <c r="A4" s="75"/>
      <c r="B4" s="237"/>
      <c r="C4" s="334"/>
      <c r="D4" s="334"/>
      <c r="E4" s="334"/>
      <c r="F4" s="334"/>
      <c r="G4" s="802">
        <f>H4-1</f>
        <v>2019</v>
      </c>
      <c r="H4" s="802">
        <f>Pressupostos!C11</f>
        <v>2020</v>
      </c>
      <c r="I4" s="802">
        <f t="shared" ref="I4:N4" si="0">H4+1</f>
        <v>2021</v>
      </c>
      <c r="J4" s="802">
        <f t="shared" si="0"/>
        <v>2022</v>
      </c>
      <c r="K4" s="802">
        <f t="shared" si="0"/>
        <v>2023</v>
      </c>
      <c r="L4" s="802">
        <f t="shared" si="0"/>
        <v>2024</v>
      </c>
      <c r="M4" s="803">
        <f t="shared" si="0"/>
        <v>2025</v>
      </c>
      <c r="N4" s="802">
        <f t="shared" si="0"/>
        <v>2026</v>
      </c>
      <c r="O4" s="802">
        <f>N4+1</f>
        <v>2027</v>
      </c>
      <c r="P4" s="802">
        <f>O4+1</f>
        <v>2028</v>
      </c>
      <c r="Q4" s="802">
        <f>P4+1</f>
        <v>2029</v>
      </c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</row>
    <row r="5" spans="1:60" s="808" customFormat="1" x14ac:dyDescent="0.25">
      <c r="A5" s="75"/>
      <c r="B5" s="2034" t="s">
        <v>336</v>
      </c>
      <c r="C5" s="2035"/>
      <c r="D5" s="2035"/>
      <c r="E5" s="2035"/>
      <c r="F5" s="2035"/>
      <c r="G5" s="804"/>
      <c r="H5" s="804"/>
      <c r="I5" s="804"/>
      <c r="J5" s="804"/>
      <c r="K5" s="804"/>
      <c r="L5" s="804"/>
      <c r="M5" s="804"/>
      <c r="N5" s="804"/>
      <c r="O5" s="804"/>
      <c r="P5" s="804"/>
      <c r="Q5" s="805"/>
      <c r="R5" s="806"/>
      <c r="S5" s="806"/>
      <c r="T5" s="806"/>
      <c r="U5" s="806"/>
      <c r="V5" s="806"/>
      <c r="W5" s="806"/>
      <c r="X5" s="806"/>
      <c r="Y5" s="807"/>
      <c r="Z5" s="807"/>
      <c r="AA5" s="807"/>
      <c r="AB5" s="807"/>
      <c r="AC5" s="807"/>
      <c r="AD5" s="807"/>
      <c r="AE5" s="807"/>
      <c r="AF5" s="807"/>
      <c r="AG5" s="807"/>
      <c r="AH5" s="807"/>
      <c r="AI5" s="807"/>
      <c r="AJ5" s="806"/>
      <c r="AK5" s="806"/>
      <c r="AL5" s="806"/>
      <c r="AM5" s="806"/>
      <c r="AN5" s="806"/>
      <c r="AO5" s="806"/>
      <c r="AP5" s="806"/>
      <c r="AQ5" s="806"/>
      <c r="AR5" s="806"/>
      <c r="AS5" s="806"/>
      <c r="AT5" s="806"/>
      <c r="AU5" s="806"/>
      <c r="AV5" s="806"/>
      <c r="AW5" s="806"/>
      <c r="AX5" s="806"/>
      <c r="AY5" s="806"/>
      <c r="AZ5" s="806"/>
      <c r="BA5" s="806"/>
      <c r="BB5" s="806"/>
      <c r="BC5" s="806"/>
      <c r="BD5" s="806"/>
      <c r="BE5" s="806"/>
      <c r="BF5" s="806"/>
      <c r="BG5" s="806"/>
      <c r="BH5" s="806"/>
    </row>
    <row r="6" spans="1:60" s="808" customFormat="1" x14ac:dyDescent="0.25">
      <c r="A6" s="75"/>
      <c r="B6" s="2036" t="s">
        <v>337</v>
      </c>
      <c r="C6" s="2036"/>
      <c r="D6" s="2036"/>
      <c r="E6" s="2036"/>
      <c r="F6" s="2036"/>
      <c r="G6" s="818">
        <f>Balanço!E20</f>
        <v>343630.82</v>
      </c>
      <c r="H6" s="818">
        <f>(H41*Pressupostos!$C$44/Pressupostos!$C$14)</f>
        <v>241390.36750491254</v>
      </c>
      <c r="I6" s="818">
        <f>(I41*Pressupostos!$C$44/Pressupostos!$C$14)</f>
        <v>255994.48473895979</v>
      </c>
      <c r="J6" s="818">
        <f>(J41*Pressupostos!$C$44/Pressupostos!$C$14)</f>
        <v>269752.96539008938</v>
      </c>
      <c r="K6" s="818">
        <f>(K41*Pressupostos!$C$44/Pressupostos!$C$14)</f>
        <v>286073.01979618974</v>
      </c>
      <c r="L6" s="818">
        <f>(L41*Pressupostos!$C$44/Pressupostos!$C$14)</f>
        <v>291823.08749409311</v>
      </c>
      <c r="M6" s="818">
        <f>(M41*Pressupostos!$C$44/Pressupostos!$C$14)</f>
        <v>297688.73155272438</v>
      </c>
      <c r="N6" s="818">
        <f>(N41*Pressupostos!$C$44/Pressupostos!$C$14)</f>
        <v>303672.2750569341</v>
      </c>
      <c r="O6" s="818">
        <f>(O41*Pressupostos!$C$44/Pressupostos!$C$14)</f>
        <v>309776.08778557845</v>
      </c>
      <c r="P6" s="818">
        <f>(P41*Pressupostos!$C$44/Pressupostos!$C$14)</f>
        <v>316002.5871500686</v>
      </c>
      <c r="Q6" s="819">
        <f>(Q41*Pressupostos!$C$44/Pressupostos!$C$14)</f>
        <v>322354.23915178498</v>
      </c>
      <c r="R6" s="806"/>
      <c r="S6" s="806"/>
      <c r="T6" s="806"/>
      <c r="U6" s="806"/>
      <c r="V6" s="806"/>
      <c r="W6" s="806"/>
      <c r="X6" s="806"/>
      <c r="Y6" s="807"/>
      <c r="Z6" s="807"/>
      <c r="AA6" s="807"/>
      <c r="AB6" s="807"/>
      <c r="AC6" s="807"/>
      <c r="AD6" s="807"/>
      <c r="AE6" s="807"/>
      <c r="AF6" s="807"/>
      <c r="AG6" s="807"/>
      <c r="AH6" s="807"/>
      <c r="AI6" s="807"/>
      <c r="AJ6" s="806"/>
      <c r="AK6" s="806"/>
      <c r="AL6" s="806"/>
      <c r="AM6" s="806"/>
      <c r="AN6" s="806"/>
      <c r="AO6" s="806"/>
      <c r="AP6" s="806"/>
      <c r="AQ6" s="806"/>
      <c r="AR6" s="806"/>
      <c r="AS6" s="806"/>
      <c r="AT6" s="806"/>
      <c r="AU6" s="806"/>
      <c r="AV6" s="806"/>
      <c r="AW6" s="806"/>
      <c r="AX6" s="806"/>
      <c r="AY6" s="806"/>
      <c r="AZ6" s="806"/>
      <c r="BA6" s="806"/>
      <c r="BB6" s="806"/>
      <c r="BC6" s="806"/>
      <c r="BD6" s="806"/>
      <c r="BE6" s="806"/>
      <c r="BF6" s="806"/>
      <c r="BG6" s="806"/>
      <c r="BH6" s="806"/>
    </row>
    <row r="7" spans="1:60" s="808" customFormat="1" x14ac:dyDescent="0.25">
      <c r="A7" s="75"/>
      <c r="B7" s="2037" t="s">
        <v>338</v>
      </c>
      <c r="C7" s="2037"/>
      <c r="D7" s="2037"/>
      <c r="E7" s="2037"/>
      <c r="F7" s="2037"/>
      <c r="G7" s="278">
        <f>Balanço!E22</f>
        <v>758084.77</v>
      </c>
      <c r="H7" s="1756">
        <f>H25*Pressupostos!$C$42/Pressupostos!$C$14</f>
        <v>1134688.4790995251</v>
      </c>
      <c r="I7" s="278">
        <f>I25*Pressupostos!$C$42/Pressupostos!$C$14</f>
        <v>1203337.1320850465</v>
      </c>
      <c r="J7" s="278">
        <f>J25*Pressupostos!$C$42/Pressupostos!$C$14</f>
        <v>1276139.0285761917</v>
      </c>
      <c r="K7" s="278">
        <f>K25*Pressupostos!$C$42/Pressupostos!$C$14</f>
        <v>1353345.4398050513</v>
      </c>
      <c r="L7" s="278">
        <f>L25*Pressupostos!$C$42/Pressupostos!$C$14</f>
        <v>1380547.6831451328</v>
      </c>
      <c r="M7" s="278">
        <f>M25*Pressupostos!$C$42/Pressupostos!$C$14</f>
        <v>1408296.6915763498</v>
      </c>
      <c r="N7" s="278">
        <f>N25*Pressupostos!$C$42/Pressupostos!$C$14</f>
        <v>1436603.4550770344</v>
      </c>
      <c r="O7" s="278">
        <f>O25*Pressupostos!$C$42/Pressupostos!$C$14</f>
        <v>1465479.1845240826</v>
      </c>
      <c r="P7" s="278">
        <f>P25*Pressupostos!$C$42/Pressupostos!$C$14</f>
        <v>1494935.3161330167</v>
      </c>
      <c r="Q7" s="820">
        <f>Q25*Pressupostos!$C$42/Pressupostos!$C$14</f>
        <v>1524983.5159872905</v>
      </c>
      <c r="R7" s="806"/>
      <c r="S7" s="806"/>
      <c r="T7" s="806"/>
      <c r="U7" s="806"/>
      <c r="V7" s="806"/>
      <c r="W7" s="806"/>
      <c r="X7" s="806"/>
      <c r="Y7" s="807"/>
      <c r="Z7" s="807"/>
      <c r="AA7" s="807"/>
      <c r="AB7" s="807"/>
      <c r="AC7" s="807"/>
      <c r="AD7" s="807"/>
      <c r="AE7" s="807"/>
      <c r="AF7" s="807"/>
      <c r="AG7" s="807"/>
      <c r="AH7" s="807"/>
      <c r="AI7" s="807"/>
      <c r="AJ7" s="806"/>
      <c r="AK7" s="806"/>
      <c r="AL7" s="806"/>
      <c r="AM7" s="806"/>
      <c r="AN7" s="806"/>
      <c r="AO7" s="806"/>
      <c r="AP7" s="806"/>
      <c r="AQ7" s="806"/>
      <c r="AR7" s="806"/>
      <c r="AS7" s="806"/>
      <c r="AT7" s="806"/>
      <c r="AU7" s="806"/>
      <c r="AV7" s="806"/>
      <c r="AW7" s="806"/>
      <c r="AX7" s="806"/>
      <c r="AY7" s="806"/>
      <c r="AZ7" s="806"/>
      <c r="BA7" s="806"/>
      <c r="BB7" s="806"/>
      <c r="BC7" s="806"/>
      <c r="BD7" s="806"/>
      <c r="BE7" s="806"/>
      <c r="BF7" s="806"/>
      <c r="BG7" s="806"/>
      <c r="BH7" s="806"/>
    </row>
    <row r="8" spans="1:60" s="808" customFormat="1" x14ac:dyDescent="0.25">
      <c r="A8" s="75"/>
      <c r="B8" s="2037" t="s">
        <v>339</v>
      </c>
      <c r="C8" s="2037"/>
      <c r="D8" s="2037"/>
      <c r="E8" s="2037"/>
      <c r="F8" s="2037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806"/>
      <c r="S8" s="806"/>
      <c r="T8" s="806"/>
      <c r="U8" s="806"/>
      <c r="V8" s="806"/>
      <c r="W8" s="806"/>
      <c r="X8" s="806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6"/>
      <c r="AK8" s="806"/>
      <c r="AL8" s="806"/>
      <c r="AM8" s="806"/>
      <c r="AN8" s="806"/>
      <c r="AO8" s="806"/>
      <c r="AP8" s="806"/>
      <c r="AQ8" s="806"/>
      <c r="AR8" s="806"/>
      <c r="AS8" s="806"/>
      <c r="AT8" s="806"/>
      <c r="AU8" s="806"/>
      <c r="AV8" s="806"/>
      <c r="AW8" s="806"/>
      <c r="AX8" s="806"/>
      <c r="AY8" s="806"/>
      <c r="AZ8" s="806"/>
      <c r="BA8" s="806"/>
      <c r="BB8" s="806"/>
      <c r="BC8" s="806"/>
      <c r="BD8" s="806"/>
      <c r="BE8" s="806"/>
      <c r="BF8" s="806"/>
      <c r="BG8" s="806"/>
      <c r="BH8" s="806"/>
    </row>
    <row r="9" spans="1:60" s="808" customFormat="1" x14ac:dyDescent="0.25">
      <c r="A9" s="75"/>
      <c r="B9" s="2038" t="s">
        <v>340</v>
      </c>
      <c r="C9" s="2038"/>
      <c r="D9" s="2038"/>
      <c r="E9" s="2038"/>
      <c r="F9" s="2038"/>
      <c r="G9" s="388"/>
      <c r="H9" s="388"/>
      <c r="I9" s="388"/>
      <c r="J9" s="388"/>
      <c r="K9" s="388"/>
      <c r="L9" s="388"/>
      <c r="M9" s="388"/>
      <c r="N9" s="388"/>
      <c r="O9" s="388"/>
      <c r="P9" s="388"/>
      <c r="Q9" s="388"/>
      <c r="R9" s="806"/>
      <c r="S9" s="806"/>
      <c r="T9" s="806"/>
      <c r="U9" s="806"/>
      <c r="V9" s="806"/>
      <c r="W9" s="806"/>
      <c r="X9" s="806"/>
      <c r="Y9" s="807"/>
      <c r="Z9" s="807"/>
      <c r="AA9" s="807"/>
      <c r="AB9" s="807"/>
      <c r="AC9" s="807"/>
      <c r="AD9" s="807"/>
      <c r="AE9" s="807"/>
      <c r="AF9" s="807"/>
      <c r="AG9" s="807"/>
      <c r="AH9" s="807"/>
      <c r="AI9" s="807"/>
      <c r="AJ9" s="806"/>
      <c r="AK9" s="806"/>
      <c r="AL9" s="806"/>
      <c r="AM9" s="806"/>
      <c r="AN9" s="806"/>
      <c r="AO9" s="806"/>
      <c r="AP9" s="806"/>
      <c r="AQ9" s="806"/>
      <c r="AR9" s="806"/>
      <c r="AS9" s="806"/>
      <c r="AT9" s="806"/>
      <c r="AU9" s="806"/>
      <c r="AV9" s="806"/>
      <c r="AW9" s="806"/>
      <c r="AX9" s="806"/>
      <c r="AY9" s="806"/>
      <c r="AZ9" s="806"/>
      <c r="BA9" s="806"/>
      <c r="BB9" s="806"/>
      <c r="BC9" s="806"/>
      <c r="BD9" s="806"/>
      <c r="BE9" s="806"/>
      <c r="BF9" s="806"/>
      <c r="BG9" s="806"/>
      <c r="BH9" s="806"/>
    </row>
    <row r="10" spans="1:60" s="808" customFormat="1" x14ac:dyDescent="0.25">
      <c r="A10" s="75"/>
      <c r="B10" s="2027" t="s">
        <v>341</v>
      </c>
      <c r="C10" s="2028"/>
      <c r="D10" s="2028"/>
      <c r="E10" s="2028"/>
      <c r="F10" s="2029"/>
      <c r="G10" s="515">
        <f>SUM(G6:G9)</f>
        <v>1101715.5900000001</v>
      </c>
      <c r="H10" s="515">
        <f t="shared" ref="H10:Q10" si="1">SUM(H6:H9)</f>
        <v>1376078.8466044376</v>
      </c>
      <c r="I10" s="515">
        <f t="shared" si="1"/>
        <v>1459331.6168240062</v>
      </c>
      <c r="J10" s="515">
        <f t="shared" si="1"/>
        <v>1545891.9939662812</v>
      </c>
      <c r="K10" s="515">
        <f t="shared" si="1"/>
        <v>1639418.4596012412</v>
      </c>
      <c r="L10" s="515">
        <f t="shared" si="1"/>
        <v>1672370.7706392258</v>
      </c>
      <c r="M10" s="515">
        <f t="shared" si="1"/>
        <v>1705985.4231290743</v>
      </c>
      <c r="N10" s="515">
        <f t="shared" si="1"/>
        <v>1740275.7301339684</v>
      </c>
      <c r="O10" s="515">
        <f t="shared" si="1"/>
        <v>1775255.2723096609</v>
      </c>
      <c r="P10" s="515">
        <f t="shared" si="1"/>
        <v>1810937.9032830852</v>
      </c>
      <c r="Q10" s="515">
        <f t="shared" si="1"/>
        <v>1847337.7551390755</v>
      </c>
      <c r="R10" s="806"/>
      <c r="S10" s="806"/>
      <c r="T10" s="806"/>
      <c r="U10" s="806"/>
      <c r="V10" s="806"/>
      <c r="W10" s="806"/>
      <c r="X10" s="806"/>
      <c r="Y10" s="807"/>
      <c r="Z10" s="807"/>
      <c r="AA10" s="807"/>
      <c r="AB10" s="807"/>
      <c r="AC10" s="807"/>
      <c r="AD10" s="807"/>
      <c r="AE10" s="807"/>
      <c r="AF10" s="807"/>
      <c r="AG10" s="807"/>
      <c r="AH10" s="807"/>
      <c r="AI10" s="807"/>
      <c r="AJ10" s="806"/>
      <c r="AK10" s="806"/>
      <c r="AL10" s="806"/>
      <c r="AM10" s="806"/>
      <c r="AN10" s="806"/>
      <c r="AO10" s="806"/>
      <c r="AP10" s="806"/>
      <c r="AQ10" s="806"/>
      <c r="AR10" s="806"/>
      <c r="AS10" s="806"/>
      <c r="AT10" s="806"/>
      <c r="AU10" s="806"/>
      <c r="AV10" s="806"/>
      <c r="AW10" s="806"/>
      <c r="AX10" s="806"/>
      <c r="AY10" s="806"/>
      <c r="AZ10" s="806"/>
      <c r="BA10" s="806"/>
      <c r="BB10" s="806"/>
      <c r="BC10" s="806"/>
      <c r="BD10" s="806"/>
      <c r="BE10" s="806"/>
      <c r="BF10" s="806"/>
      <c r="BG10" s="806"/>
      <c r="BH10" s="806"/>
    </row>
    <row r="11" spans="1:60" s="808" customFormat="1" x14ac:dyDescent="0.25">
      <c r="A11" s="75"/>
      <c r="B11" s="2034" t="s">
        <v>342</v>
      </c>
      <c r="C11" s="2035"/>
      <c r="D11" s="2035"/>
      <c r="E11" s="2035"/>
      <c r="F11" s="2035"/>
      <c r="G11" s="804"/>
      <c r="H11" s="804"/>
      <c r="I11" s="804"/>
      <c r="J11" s="804"/>
      <c r="K11" s="804"/>
      <c r="L11" s="804"/>
      <c r="M11" s="804"/>
      <c r="N11" s="804"/>
      <c r="O11" s="804"/>
      <c r="P11" s="804"/>
      <c r="Q11" s="805"/>
      <c r="R11" s="806"/>
      <c r="S11" s="806"/>
      <c r="T11" s="806"/>
      <c r="U11" s="806"/>
      <c r="V11" s="806"/>
      <c r="W11" s="806"/>
      <c r="X11" s="806"/>
      <c r="Y11" s="807"/>
      <c r="Z11" s="807"/>
      <c r="AA11" s="807"/>
      <c r="AB11" s="807"/>
      <c r="AC11" s="807"/>
      <c r="AD11" s="807"/>
      <c r="AE11" s="807"/>
      <c r="AF11" s="807"/>
      <c r="AG11" s="807"/>
      <c r="AH11" s="807"/>
      <c r="AI11" s="807"/>
      <c r="AJ11" s="806"/>
      <c r="AK11" s="806"/>
      <c r="AL11" s="806"/>
      <c r="AM11" s="806"/>
      <c r="AN11" s="806"/>
      <c r="AO11" s="806"/>
      <c r="AP11" s="806"/>
      <c r="AQ11" s="806"/>
      <c r="AR11" s="806"/>
      <c r="AS11" s="806"/>
      <c r="AT11" s="806"/>
      <c r="AU11" s="806"/>
      <c r="AV11" s="806"/>
      <c r="AW11" s="806"/>
      <c r="AX11" s="806"/>
      <c r="AY11" s="806"/>
      <c r="AZ11" s="806"/>
      <c r="BA11" s="806"/>
      <c r="BB11" s="806"/>
      <c r="BC11" s="806"/>
      <c r="BD11" s="806"/>
      <c r="BE11" s="806"/>
      <c r="BF11" s="806"/>
      <c r="BG11" s="806"/>
      <c r="BH11" s="806"/>
    </row>
    <row r="12" spans="1:60" s="808" customFormat="1" x14ac:dyDescent="0.25">
      <c r="A12" s="75"/>
      <c r="B12" s="2039" t="s">
        <v>343</v>
      </c>
      <c r="C12" s="2040"/>
      <c r="D12" s="2040"/>
      <c r="E12" s="2040"/>
      <c r="F12" s="2041"/>
      <c r="G12" s="512">
        <f>Balanço!E60</f>
        <v>760538.01</v>
      </c>
      <c r="H12" s="512">
        <f>H25*Pressupostos!$C$43/Pressupostos!$C$14</f>
        <v>756458.98606635001</v>
      </c>
      <c r="I12" s="512">
        <f>I25*Pressupostos!$C$43/Pressupostos!$C$14</f>
        <v>802224.75472336425</v>
      </c>
      <c r="J12" s="512">
        <f>J25*Pressupostos!$C$43/Pressupostos!$C$14</f>
        <v>850759.35238412779</v>
      </c>
      <c r="K12" s="512">
        <f>K25*Pressupostos!$C$43/Pressupostos!$C$14</f>
        <v>902230.2932033675</v>
      </c>
      <c r="L12" s="512">
        <f>L25*Pressupostos!$C$43/Pressupostos!$C$14</f>
        <v>920365.12209675531</v>
      </c>
      <c r="M12" s="512">
        <f>M25*Pressupostos!$C$43/Pressupostos!$C$14</f>
        <v>938864.46105089982</v>
      </c>
      <c r="N12" s="512">
        <f>N25*Pressupostos!$C$43/Pressupostos!$C$14</f>
        <v>957735.63671802299</v>
      </c>
      <c r="O12" s="512">
        <f>O25*Pressupostos!$C$43/Pressupostos!$C$14</f>
        <v>976986.12301605509</v>
      </c>
      <c r="P12" s="512">
        <f>P25*Pressupostos!$C$43/Pressupostos!$C$14</f>
        <v>996623.54408867785</v>
      </c>
      <c r="Q12" s="512">
        <f>Q25*Pressupostos!$C$43/Pressupostos!$C$14</f>
        <v>1016655.6773248602</v>
      </c>
      <c r="R12" s="806"/>
      <c r="S12" s="806"/>
      <c r="T12" s="806"/>
      <c r="U12" s="806"/>
      <c r="V12" s="806"/>
      <c r="W12" s="806"/>
      <c r="X12" s="806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6"/>
      <c r="AK12" s="806"/>
      <c r="AL12" s="806"/>
      <c r="AM12" s="806"/>
      <c r="AN12" s="806"/>
      <c r="AO12" s="806"/>
      <c r="AP12" s="806"/>
      <c r="AQ12" s="806"/>
      <c r="AR12" s="806"/>
      <c r="AS12" s="806"/>
      <c r="AT12" s="806"/>
      <c r="AU12" s="806"/>
      <c r="AV12" s="806"/>
      <c r="AW12" s="806"/>
      <c r="AX12" s="806"/>
      <c r="AY12" s="806"/>
      <c r="AZ12" s="806"/>
      <c r="BA12" s="806"/>
      <c r="BB12" s="806"/>
      <c r="BC12" s="806"/>
      <c r="BD12" s="806"/>
      <c r="BE12" s="806"/>
      <c r="BF12" s="806"/>
      <c r="BG12" s="806"/>
      <c r="BH12" s="806"/>
    </row>
    <row r="13" spans="1:60" s="808" customFormat="1" x14ac:dyDescent="0.25">
      <c r="A13" s="75"/>
      <c r="B13" s="2042" t="s">
        <v>344</v>
      </c>
      <c r="C13" s="2043"/>
      <c r="D13" s="2043"/>
      <c r="E13" s="2043"/>
      <c r="F13" s="2044"/>
      <c r="G13" s="274">
        <f>Balanço!E62-Balanço!E24</f>
        <v>-16829.93</v>
      </c>
      <c r="H13" s="274">
        <f>IVA!C22-IVA!C18</f>
        <v>14144.681618514584</v>
      </c>
      <c r="I13" s="274">
        <f>IVA!D22-IVA!D18</f>
        <v>18952.333316281984</v>
      </c>
      <c r="J13" s="274">
        <f>IVA!E22-IVA!E18</f>
        <v>19085.365171118297</v>
      </c>
      <c r="K13" s="274">
        <f>IVA!F22-IVA!F18</f>
        <v>23056.495666617753</v>
      </c>
      <c r="L13" s="274">
        <f>IVA!G22-IVA!G18</f>
        <v>23869.642708896645</v>
      </c>
      <c r="M13" s="274">
        <f>IVA!H22-IVA!H18</f>
        <v>26002.60877508147</v>
      </c>
      <c r="N13" s="274">
        <f>IVA!I22-IVA!I18</f>
        <v>26621.66305828403</v>
      </c>
      <c r="O13" s="274">
        <f>IVA!J22-IVA!J18</f>
        <v>27253.289252652321</v>
      </c>
      <c r="P13" s="274">
        <f>IVA!K22-IVA!K18</f>
        <v>30469.08981438987</v>
      </c>
      <c r="Q13" s="274">
        <f>IVA!L22-IVA!L18</f>
        <v>31126.630835108983</v>
      </c>
      <c r="R13" s="807"/>
      <c r="S13" s="807"/>
      <c r="T13" s="807"/>
      <c r="U13" s="807"/>
      <c r="V13" s="807"/>
      <c r="W13" s="807"/>
      <c r="X13" s="807"/>
      <c r="Y13" s="807"/>
      <c r="Z13" s="807"/>
      <c r="AA13" s="807"/>
      <c r="AB13" s="807"/>
      <c r="AC13" s="807"/>
      <c r="AD13" s="807"/>
      <c r="AE13" s="807"/>
      <c r="AF13" s="807"/>
      <c r="AG13" s="807"/>
      <c r="AH13" s="807"/>
      <c r="AI13" s="807"/>
      <c r="AJ13" s="806"/>
      <c r="AK13" s="806"/>
      <c r="AL13" s="806"/>
      <c r="AM13" s="806"/>
      <c r="AN13" s="806"/>
      <c r="AO13" s="806"/>
      <c r="AP13" s="806"/>
      <c r="AQ13" s="806"/>
      <c r="AR13" s="806"/>
      <c r="AS13" s="806"/>
      <c r="AT13" s="806"/>
      <c r="AU13" s="806"/>
      <c r="AV13" s="806"/>
      <c r="AW13" s="806"/>
      <c r="AX13" s="806"/>
      <c r="AY13" s="806"/>
      <c r="AZ13" s="806"/>
      <c r="BA13" s="806"/>
      <c r="BB13" s="806"/>
      <c r="BC13" s="806"/>
      <c r="BD13" s="806"/>
      <c r="BE13" s="806"/>
      <c r="BF13" s="806"/>
      <c r="BG13" s="806"/>
      <c r="BH13" s="806"/>
    </row>
    <row r="14" spans="1:60" s="808" customFormat="1" x14ac:dyDescent="0.25">
      <c r="A14" s="75"/>
      <c r="B14" s="2045" t="s">
        <v>345</v>
      </c>
      <c r="C14" s="2046"/>
      <c r="D14" s="2046"/>
      <c r="E14" s="2046"/>
      <c r="F14" s="2047"/>
      <c r="G14" s="403"/>
      <c r="H14" s="403"/>
      <c r="I14" s="403"/>
      <c r="J14" s="403"/>
      <c r="K14" s="403"/>
      <c r="L14" s="403"/>
      <c r="M14" s="403"/>
      <c r="N14" s="403"/>
      <c r="O14" s="403"/>
      <c r="P14" s="403"/>
      <c r="Q14" s="403"/>
      <c r="R14" s="807"/>
      <c r="S14" s="807"/>
      <c r="T14" s="807"/>
      <c r="U14" s="807"/>
      <c r="V14" s="807"/>
      <c r="W14" s="807"/>
      <c r="X14" s="807"/>
      <c r="Y14" s="807"/>
      <c r="Z14" s="807"/>
      <c r="AA14" s="807"/>
      <c r="AB14" s="807"/>
      <c r="AC14" s="807"/>
      <c r="AD14" s="807"/>
      <c r="AE14" s="807"/>
      <c r="AF14" s="807"/>
      <c r="AG14" s="807"/>
      <c r="AH14" s="807"/>
      <c r="AI14" s="807"/>
      <c r="AJ14" s="806"/>
      <c r="AK14" s="806"/>
      <c r="AL14" s="806"/>
      <c r="AM14" s="806"/>
      <c r="AN14" s="806"/>
      <c r="AO14" s="806"/>
      <c r="AP14" s="806"/>
      <c r="AQ14" s="806"/>
      <c r="AR14" s="806"/>
      <c r="AS14" s="806"/>
      <c r="AT14" s="806"/>
      <c r="AU14" s="806"/>
      <c r="AV14" s="806"/>
      <c r="AW14" s="806"/>
      <c r="AX14" s="806"/>
      <c r="AY14" s="806"/>
      <c r="AZ14" s="806"/>
      <c r="BA14" s="806"/>
      <c r="BB14" s="806"/>
      <c r="BC14" s="806"/>
      <c r="BD14" s="806"/>
      <c r="BE14" s="806"/>
      <c r="BF14" s="806"/>
      <c r="BG14" s="806"/>
      <c r="BH14" s="806"/>
    </row>
    <row r="15" spans="1:60" s="808" customFormat="1" x14ac:dyDescent="0.25">
      <c r="A15" s="75"/>
      <c r="B15" s="2027" t="s">
        <v>346</v>
      </c>
      <c r="C15" s="2028"/>
      <c r="D15" s="2028"/>
      <c r="E15" s="2028"/>
      <c r="F15" s="2029"/>
      <c r="G15" s="515">
        <f t="shared" ref="G15:Q15" si="2">SUM(G12:G14)</f>
        <v>743708.08</v>
      </c>
      <c r="H15" s="515">
        <f t="shared" si="2"/>
        <v>770603.6676848646</v>
      </c>
      <c r="I15" s="515">
        <f t="shared" si="2"/>
        <v>821177.08803964627</v>
      </c>
      <c r="J15" s="515">
        <f t="shared" si="2"/>
        <v>869844.71755524608</v>
      </c>
      <c r="K15" s="515">
        <f t="shared" si="2"/>
        <v>925286.78886998526</v>
      </c>
      <c r="L15" s="515">
        <f t="shared" si="2"/>
        <v>944234.76480565197</v>
      </c>
      <c r="M15" s="515">
        <f t="shared" si="2"/>
        <v>964867.06982598128</v>
      </c>
      <c r="N15" s="515">
        <f t="shared" si="2"/>
        <v>984357.29977630707</v>
      </c>
      <c r="O15" s="515">
        <f t="shared" si="2"/>
        <v>1004239.4122687074</v>
      </c>
      <c r="P15" s="515">
        <f t="shared" si="2"/>
        <v>1027092.6339030677</v>
      </c>
      <c r="Q15" s="515">
        <f t="shared" si="2"/>
        <v>1047782.3081599693</v>
      </c>
      <c r="R15" s="807"/>
      <c r="S15" s="807"/>
      <c r="T15" s="807"/>
      <c r="U15" s="807"/>
      <c r="V15" s="807"/>
      <c r="W15" s="807"/>
      <c r="X15" s="807"/>
      <c r="Y15" s="807"/>
      <c r="Z15" s="807"/>
      <c r="AA15" s="807"/>
      <c r="AB15" s="807"/>
      <c r="AC15" s="807"/>
      <c r="AD15" s="807"/>
      <c r="AE15" s="807"/>
      <c r="AF15" s="807"/>
      <c r="AG15" s="807"/>
      <c r="AH15" s="807"/>
      <c r="AI15" s="807"/>
      <c r="AJ15" s="806"/>
      <c r="AK15" s="806"/>
      <c r="AL15" s="806"/>
      <c r="AM15" s="806"/>
      <c r="AN15" s="806"/>
      <c r="AO15" s="806"/>
      <c r="AP15" s="806"/>
      <c r="AQ15" s="806"/>
      <c r="AR15" s="806"/>
      <c r="AS15" s="806"/>
      <c r="AT15" s="806"/>
      <c r="AU15" s="806"/>
      <c r="AV15" s="806"/>
      <c r="AW15" s="806"/>
      <c r="AX15" s="806"/>
      <c r="AY15" s="806"/>
      <c r="AZ15" s="806"/>
      <c r="BA15" s="806"/>
      <c r="BB15" s="806"/>
      <c r="BC15" s="806"/>
      <c r="BD15" s="806"/>
      <c r="BE15" s="806"/>
      <c r="BF15" s="806"/>
      <c r="BG15" s="806"/>
      <c r="BH15" s="806"/>
    </row>
    <row r="16" spans="1:60" s="808" customFormat="1" x14ac:dyDescent="0.25">
      <c r="A16" s="75"/>
      <c r="B16" s="2027" t="s">
        <v>347</v>
      </c>
      <c r="C16" s="2028"/>
      <c r="D16" s="2028"/>
      <c r="E16" s="2028"/>
      <c r="F16" s="2029"/>
      <c r="G16" s="515">
        <f t="shared" ref="G16:Q16" si="3">G10-G15</f>
        <v>358007.51000000013</v>
      </c>
      <c r="H16" s="515">
        <f t="shared" si="3"/>
        <v>605475.17891957297</v>
      </c>
      <c r="I16" s="515">
        <f t="shared" si="3"/>
        <v>638154.52878435992</v>
      </c>
      <c r="J16" s="515">
        <f t="shared" si="3"/>
        <v>676047.2764110351</v>
      </c>
      <c r="K16" s="515">
        <f t="shared" si="3"/>
        <v>714131.6707312559</v>
      </c>
      <c r="L16" s="515">
        <f t="shared" si="3"/>
        <v>728136.00583357387</v>
      </c>
      <c r="M16" s="515">
        <f t="shared" si="3"/>
        <v>741118.353303093</v>
      </c>
      <c r="N16" s="515">
        <f t="shared" si="3"/>
        <v>755918.43035766133</v>
      </c>
      <c r="O16" s="515">
        <f t="shared" si="3"/>
        <v>771015.8600409535</v>
      </c>
      <c r="P16" s="515">
        <f t="shared" si="3"/>
        <v>783845.26938001753</v>
      </c>
      <c r="Q16" s="515">
        <f t="shared" si="3"/>
        <v>799555.44697910617</v>
      </c>
      <c r="R16" s="807"/>
      <c r="S16" s="807"/>
      <c r="T16" s="807"/>
      <c r="U16" s="807"/>
      <c r="V16" s="807"/>
      <c r="W16" s="807"/>
      <c r="X16" s="807"/>
      <c r="Y16" s="807"/>
      <c r="Z16" s="807"/>
      <c r="AA16" s="807"/>
      <c r="AB16" s="807"/>
      <c r="AC16" s="807"/>
      <c r="AD16" s="807"/>
      <c r="AE16" s="807"/>
      <c r="AF16" s="807"/>
      <c r="AG16" s="807"/>
      <c r="AH16" s="807"/>
      <c r="AI16" s="807"/>
      <c r="AJ16" s="806"/>
      <c r="AK16" s="806"/>
      <c r="AL16" s="806"/>
      <c r="AM16" s="806"/>
      <c r="AN16" s="806"/>
      <c r="AO16" s="806"/>
      <c r="AP16" s="806"/>
      <c r="AQ16" s="806"/>
      <c r="AR16" s="806"/>
      <c r="AS16" s="806"/>
      <c r="AT16" s="806"/>
      <c r="AU16" s="806"/>
      <c r="AV16" s="806"/>
      <c r="AW16" s="806"/>
      <c r="AX16" s="806"/>
      <c r="AY16" s="806"/>
      <c r="AZ16" s="806"/>
      <c r="BA16" s="806"/>
      <c r="BB16" s="806"/>
      <c r="BC16" s="806"/>
      <c r="BD16" s="806"/>
      <c r="BE16" s="806"/>
      <c r="BF16" s="806"/>
      <c r="BG16" s="806"/>
      <c r="BH16" s="806"/>
    </row>
    <row r="17" spans="1:60" s="808" customFormat="1" x14ac:dyDescent="0.25">
      <c r="A17" s="75"/>
      <c r="B17" s="809"/>
      <c r="C17" s="810"/>
      <c r="D17" s="810"/>
      <c r="E17" s="810"/>
      <c r="F17" s="810"/>
      <c r="G17" s="811"/>
      <c r="H17" s="812"/>
      <c r="I17" s="812"/>
      <c r="J17" s="812"/>
      <c r="K17" s="812"/>
      <c r="L17" s="812"/>
      <c r="M17" s="812"/>
      <c r="N17" s="812"/>
      <c r="O17" s="812"/>
      <c r="P17" s="812"/>
      <c r="Q17" s="813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6"/>
      <c r="AK17" s="806"/>
      <c r="AL17" s="806"/>
      <c r="AM17" s="806"/>
      <c r="AN17" s="806"/>
      <c r="AO17" s="806"/>
      <c r="AP17" s="806"/>
      <c r="AQ17" s="806"/>
      <c r="AR17" s="806"/>
      <c r="AS17" s="806"/>
      <c r="AT17" s="806"/>
      <c r="AU17" s="806"/>
      <c r="AV17" s="806"/>
      <c r="AW17" s="806"/>
      <c r="AX17" s="806"/>
      <c r="AY17" s="806"/>
      <c r="AZ17" s="806"/>
      <c r="BA17" s="806"/>
      <c r="BB17" s="806"/>
      <c r="BC17" s="806"/>
      <c r="BD17" s="806"/>
      <c r="BE17" s="806"/>
      <c r="BF17" s="806"/>
      <c r="BG17" s="806"/>
      <c r="BH17" s="806"/>
    </row>
    <row r="18" spans="1:60" s="808" customFormat="1" x14ac:dyDescent="0.25">
      <c r="A18" s="75"/>
      <c r="B18" s="2030" t="s">
        <v>348</v>
      </c>
      <c r="C18" s="2031"/>
      <c r="D18" s="2031"/>
      <c r="E18" s="2031"/>
      <c r="F18" s="2031"/>
      <c r="G18" s="814"/>
      <c r="H18" s="515">
        <f>H16-G16</f>
        <v>247467.66891957284</v>
      </c>
      <c r="I18" s="515">
        <f t="shared" ref="I18:Q18" si="4">I16-H16</f>
        <v>32679.349864786956</v>
      </c>
      <c r="J18" s="515">
        <f t="shared" si="4"/>
        <v>37892.747626675176</v>
      </c>
      <c r="K18" s="515">
        <f t="shared" si="4"/>
        <v>38084.394320220803</v>
      </c>
      <c r="L18" s="515">
        <f t="shared" si="4"/>
        <v>14004.335102317971</v>
      </c>
      <c r="M18" s="515">
        <f t="shared" si="4"/>
        <v>12982.347469519125</v>
      </c>
      <c r="N18" s="515">
        <f t="shared" si="4"/>
        <v>14800.077054568334</v>
      </c>
      <c r="O18" s="515">
        <f t="shared" si="4"/>
        <v>15097.429683292168</v>
      </c>
      <c r="P18" s="515">
        <f t="shared" si="4"/>
        <v>12829.409339064034</v>
      </c>
      <c r="Q18" s="515">
        <f t="shared" si="4"/>
        <v>15710.177599088638</v>
      </c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6"/>
      <c r="AK18" s="806"/>
      <c r="AL18" s="806"/>
      <c r="AM18" s="806"/>
      <c r="AN18" s="806"/>
      <c r="AO18" s="806"/>
      <c r="AP18" s="806"/>
      <c r="AQ18" s="806"/>
      <c r="AR18" s="806"/>
      <c r="AS18" s="806"/>
      <c r="AT18" s="806"/>
      <c r="AU18" s="806"/>
      <c r="AV18" s="806"/>
      <c r="AW18" s="806"/>
      <c r="AX18" s="806"/>
      <c r="AY18" s="806"/>
      <c r="AZ18" s="806"/>
      <c r="BA18" s="806"/>
      <c r="BB18" s="806"/>
      <c r="BC18" s="806"/>
      <c r="BD18" s="806"/>
      <c r="BE18" s="806"/>
      <c r="BF18" s="806"/>
      <c r="BG18" s="806"/>
      <c r="BH18" s="806"/>
    </row>
    <row r="21" spans="1:60" ht="12" thickBot="1" x14ac:dyDescent="0.3">
      <c r="B21" s="2022" t="s">
        <v>349</v>
      </c>
      <c r="C21" s="2023"/>
      <c r="D21" s="2023"/>
      <c r="E21" s="2023"/>
      <c r="F21" s="2023"/>
      <c r="G21" s="2023"/>
      <c r="H21" s="2023"/>
      <c r="I21" s="2023"/>
      <c r="J21" s="2023"/>
      <c r="K21" s="2023"/>
      <c r="L21" s="2023"/>
      <c r="M21" s="2023"/>
      <c r="N21" s="2023"/>
      <c r="O21" s="2023"/>
      <c r="P21" s="2023"/>
      <c r="Q21" s="2024"/>
    </row>
    <row r="22" spans="1:60" x14ac:dyDescent="0.25">
      <c r="B22" s="815"/>
      <c r="C22" s="1"/>
      <c r="D22" s="1"/>
      <c r="E22" s="1"/>
      <c r="F22" s="1"/>
      <c r="G22" s="816">
        <f>H22-1</f>
        <v>2019</v>
      </c>
      <c r="H22" s="816">
        <f t="shared" ref="H22:Q22" si="5">H4</f>
        <v>2020</v>
      </c>
      <c r="I22" s="822">
        <f t="shared" si="5"/>
        <v>2021</v>
      </c>
      <c r="J22" s="822">
        <f t="shared" si="5"/>
        <v>2022</v>
      </c>
      <c r="K22" s="822">
        <f t="shared" si="5"/>
        <v>2023</v>
      </c>
      <c r="L22" s="822">
        <f t="shared" si="5"/>
        <v>2024</v>
      </c>
      <c r="M22" s="822">
        <f t="shared" si="5"/>
        <v>2025</v>
      </c>
      <c r="N22" s="822">
        <f t="shared" si="5"/>
        <v>2026</v>
      </c>
      <c r="O22" s="822">
        <f t="shared" si="5"/>
        <v>2027</v>
      </c>
      <c r="P22" s="822">
        <f t="shared" si="5"/>
        <v>2028</v>
      </c>
      <c r="Q22" s="822">
        <f t="shared" si="5"/>
        <v>2029</v>
      </c>
    </row>
    <row r="23" spans="1:60" x14ac:dyDescent="0.25">
      <c r="B23" s="2025" t="s">
        <v>350</v>
      </c>
      <c r="C23" s="2025"/>
      <c r="D23" s="2025"/>
      <c r="E23" s="2025"/>
      <c r="F23" s="2025"/>
      <c r="G23" s="606">
        <f>DR!F15</f>
        <v>40.26</v>
      </c>
      <c r="H23" s="606">
        <f>'DR Empresa'!C14</f>
        <v>0</v>
      </c>
      <c r="I23" s="606">
        <f>'DR Empresa'!D14</f>
        <v>0</v>
      </c>
      <c r="J23" s="606">
        <f>'DR Empresa'!E14</f>
        <v>0</v>
      </c>
      <c r="K23" s="606">
        <f>'DR Empresa'!F14</f>
        <v>0</v>
      </c>
      <c r="L23" s="606">
        <f>'DR Empresa'!G14</f>
        <v>0</v>
      </c>
      <c r="M23" s="606">
        <f>'DR Empresa'!H14</f>
        <v>0</v>
      </c>
      <c r="N23" s="606">
        <f>'DR Empresa'!I14</f>
        <v>0</v>
      </c>
      <c r="O23" s="606">
        <f>'DR Empresa'!J14</f>
        <v>0</v>
      </c>
      <c r="P23" s="606">
        <f>'DR Empresa'!K14</f>
        <v>0</v>
      </c>
      <c r="Q23" s="606">
        <f>'DR Empresa'!L14</f>
        <v>0</v>
      </c>
    </row>
    <row r="24" spans="1:60" x14ac:dyDescent="0.25">
      <c r="B24" s="2026" t="s">
        <v>351</v>
      </c>
      <c r="C24" s="2026"/>
      <c r="D24" s="2026"/>
      <c r="E24" s="2026"/>
      <c r="F24" s="2026"/>
      <c r="G24" s="83">
        <f>Balanço!D22</f>
        <v>0</v>
      </c>
      <c r="H24" s="83">
        <f>Balanço!E22</f>
        <v>758084.77</v>
      </c>
      <c r="I24" s="83">
        <f>'Balanço Futuro'!C23</f>
        <v>1134688.4790995251</v>
      </c>
      <c r="J24" s="83">
        <f>'Balanço Futuro'!D23</f>
        <v>1203337.1320850465</v>
      </c>
      <c r="K24" s="83">
        <f>'Balanço Futuro'!E23</f>
        <v>1276139.0285761917</v>
      </c>
      <c r="L24" s="83">
        <f>'Balanço Futuro'!F23</f>
        <v>1353345.4398050513</v>
      </c>
      <c r="M24" s="83">
        <f>'Balanço Futuro'!G23</f>
        <v>1380547.6831451328</v>
      </c>
      <c r="N24" s="83">
        <f>'Balanço Futuro'!H23</f>
        <v>1408296.6915763498</v>
      </c>
      <c r="O24" s="83">
        <f>'Balanço Futuro'!I23</f>
        <v>1436603.4550770344</v>
      </c>
      <c r="P24" s="83">
        <f>'Balanço Futuro'!J23</f>
        <v>1465479.1845240826</v>
      </c>
      <c r="Q24" s="83">
        <f>'Balanço Futuro'!K23</f>
        <v>1494935.3161330167</v>
      </c>
    </row>
    <row r="25" spans="1:60" x14ac:dyDescent="0.25">
      <c r="B25" s="2026" t="s">
        <v>352</v>
      </c>
      <c r="C25" s="2026"/>
      <c r="D25" s="2026"/>
      <c r="E25" s="2026"/>
      <c r="F25" s="2026"/>
      <c r="G25" s="83">
        <f>DR!F6*(1+Pressupostos!C27)</f>
        <v>4279824.5322000002</v>
      </c>
      <c r="H25" s="83">
        <f>'Vendas+PrestServ'!D30*(1+Pressupostos!C27)</f>
        <v>4538753.9163981006</v>
      </c>
      <c r="I25" s="83">
        <f>'Vendas+PrestServ'!E30*(1+Pressupostos!D27)</f>
        <v>4813348.528340186</v>
      </c>
      <c r="J25" s="83">
        <f>'Vendas+PrestServ'!F30*(1+Pressupostos!E27)</f>
        <v>5104556.114304767</v>
      </c>
      <c r="K25" s="83">
        <f>'Vendas+PrestServ'!G30*(1+Pressupostos!F27)</f>
        <v>5413381.7592202052</v>
      </c>
      <c r="L25" s="83">
        <f>'Vendas+PrestServ'!H30*(1+Pressupostos!G27)</f>
        <v>5522190.7325805314</v>
      </c>
      <c r="M25" s="83">
        <f>'Vendas+PrestServ'!I30*(1+Pressupostos!H27)</f>
        <v>5633186.7663053991</v>
      </c>
      <c r="N25" s="83">
        <f>'Vendas+PrestServ'!J30*(1+Pressupostos!I27)</f>
        <v>5746413.8203081377</v>
      </c>
      <c r="O25" s="83">
        <f>'Vendas+PrestServ'!K30*(1+Pressupostos!J27)</f>
        <v>5861916.7380963303</v>
      </c>
      <c r="P25" s="83">
        <f>'Vendas+PrestServ'!L30*(1+Pressupostos!K27)</f>
        <v>5979741.2645320669</v>
      </c>
      <c r="Q25" s="83">
        <f>'Vendas+PrestServ'!M30*(1+Pressupostos!L27)</f>
        <v>6099934.0639491621</v>
      </c>
    </row>
    <row r="26" spans="1:60" x14ac:dyDescent="0.25">
      <c r="B26" s="2019" t="s">
        <v>353</v>
      </c>
      <c r="C26" s="2019"/>
      <c r="D26" s="2019"/>
      <c r="E26" s="2019"/>
      <c r="F26" s="2019"/>
      <c r="G26" s="620">
        <f>Balanço!E22</f>
        <v>758084.77</v>
      </c>
      <c r="H26" s="620">
        <f>'Balanço Futuro'!C23</f>
        <v>1134688.4790995251</v>
      </c>
      <c r="I26" s="620">
        <f>'Balanço Futuro'!D23</f>
        <v>1203337.1320850465</v>
      </c>
      <c r="J26" s="620">
        <f>'Balanço Futuro'!E23</f>
        <v>1276139.0285761917</v>
      </c>
      <c r="K26" s="620">
        <f>'Balanço Futuro'!F23</f>
        <v>1353345.4398050513</v>
      </c>
      <c r="L26" s="620">
        <f>'Balanço Futuro'!G23</f>
        <v>1380547.6831451328</v>
      </c>
      <c r="M26" s="620">
        <f>'Balanço Futuro'!H23</f>
        <v>1408296.6915763498</v>
      </c>
      <c r="N26" s="620">
        <f>'Balanço Futuro'!I23</f>
        <v>1436603.4550770344</v>
      </c>
      <c r="O26" s="620">
        <f>'Balanço Futuro'!J23</f>
        <v>1465479.1845240826</v>
      </c>
      <c r="P26" s="620">
        <f>'Balanço Futuro'!K23</f>
        <v>1494935.3161330167</v>
      </c>
      <c r="Q26" s="620">
        <f>'Balanço Futuro'!L23</f>
        <v>1524983.5159872905</v>
      </c>
    </row>
    <row r="27" spans="1:60" x14ac:dyDescent="0.25">
      <c r="B27" s="2032" t="s">
        <v>354</v>
      </c>
      <c r="C27" s="2033"/>
      <c r="D27" s="2033"/>
      <c r="E27" s="2033"/>
      <c r="F27" s="2033"/>
      <c r="G27" s="605">
        <f>G24+G25-G26</f>
        <v>3521739.7622000002</v>
      </c>
      <c r="H27" s="605">
        <f t="shared" ref="H27:Q27" si="6">H24+H25-H26</f>
        <v>4162150.207298575</v>
      </c>
      <c r="I27" s="605">
        <f t="shared" si="6"/>
        <v>4744699.8753546644</v>
      </c>
      <c r="J27" s="605">
        <f t="shared" si="6"/>
        <v>5031754.2178136222</v>
      </c>
      <c r="K27" s="605">
        <f t="shared" si="6"/>
        <v>5336175.3479913455</v>
      </c>
      <c r="L27" s="605">
        <f t="shared" si="6"/>
        <v>5494988.4892404499</v>
      </c>
      <c r="M27" s="605">
        <f t="shared" si="6"/>
        <v>5605437.7578741824</v>
      </c>
      <c r="N27" s="605">
        <f t="shared" si="6"/>
        <v>5718107.0568074528</v>
      </c>
      <c r="O27" s="605">
        <f t="shared" si="6"/>
        <v>5833041.0086492822</v>
      </c>
      <c r="P27" s="605">
        <f t="shared" si="6"/>
        <v>5950285.1329231327</v>
      </c>
      <c r="Q27" s="605">
        <f t="shared" si="6"/>
        <v>6069885.8640948888</v>
      </c>
    </row>
    <row r="28" spans="1:60" x14ac:dyDescent="0.25">
      <c r="G28" s="817"/>
      <c r="H28" s="817"/>
      <c r="I28" s="817"/>
      <c r="J28" s="817"/>
      <c r="K28" s="817"/>
      <c r="L28" s="817"/>
      <c r="M28" s="817"/>
      <c r="N28" s="817"/>
      <c r="O28" s="817"/>
      <c r="P28" s="817"/>
      <c r="Q28" s="817"/>
    </row>
    <row r="29" spans="1:60" ht="12" thickBot="1" x14ac:dyDescent="0.3">
      <c r="B29" s="2022" t="s">
        <v>355</v>
      </c>
      <c r="C29" s="2023"/>
      <c r="D29" s="2023"/>
      <c r="E29" s="2023"/>
      <c r="F29" s="2023"/>
      <c r="G29" s="2023"/>
      <c r="H29" s="2023"/>
      <c r="I29" s="2023"/>
      <c r="J29" s="2023"/>
      <c r="K29" s="2023"/>
      <c r="L29" s="2023"/>
      <c r="M29" s="2023"/>
      <c r="N29" s="2023"/>
      <c r="O29" s="2023"/>
      <c r="P29" s="2023"/>
      <c r="Q29" s="2024"/>
    </row>
    <row r="30" spans="1:60" x14ac:dyDescent="0.25">
      <c r="B30" s="815"/>
      <c r="C30" s="1"/>
      <c r="D30" s="1"/>
      <c r="E30" s="1"/>
      <c r="F30" s="1"/>
      <c r="G30" s="816">
        <f t="shared" ref="G30:Q30" si="7">G22</f>
        <v>2019</v>
      </c>
      <c r="H30" s="816">
        <f t="shared" si="7"/>
        <v>2020</v>
      </c>
      <c r="I30" s="822">
        <f t="shared" si="7"/>
        <v>2021</v>
      </c>
      <c r="J30" s="822">
        <f t="shared" si="7"/>
        <v>2022</v>
      </c>
      <c r="K30" s="822">
        <f t="shared" si="7"/>
        <v>2023</v>
      </c>
      <c r="L30" s="822">
        <f t="shared" si="7"/>
        <v>2024</v>
      </c>
      <c r="M30" s="822">
        <f t="shared" si="7"/>
        <v>2025</v>
      </c>
      <c r="N30" s="822">
        <f t="shared" si="7"/>
        <v>2026</v>
      </c>
      <c r="O30" s="822">
        <f t="shared" si="7"/>
        <v>2027</v>
      </c>
      <c r="P30" s="822">
        <f t="shared" si="7"/>
        <v>2028</v>
      </c>
      <c r="Q30" s="822">
        <f t="shared" si="7"/>
        <v>2029</v>
      </c>
    </row>
    <row r="31" spans="1:60" x14ac:dyDescent="0.25">
      <c r="B31" s="2025" t="s">
        <v>351</v>
      </c>
      <c r="C31" s="2025"/>
      <c r="D31" s="2025"/>
      <c r="E31" s="2025"/>
      <c r="F31" s="2025"/>
      <c r="G31" s="606">
        <f>Balanço!D60</f>
        <v>0</v>
      </c>
      <c r="H31" s="606">
        <f>Balanço!E60</f>
        <v>760538.01</v>
      </c>
      <c r="I31" s="606">
        <f>H33</f>
        <v>756458.98606635001</v>
      </c>
      <c r="J31" s="606">
        <f t="shared" ref="J31:Q31" si="8">I33</f>
        <v>802224.75472336425</v>
      </c>
      <c r="K31" s="606">
        <f t="shared" si="8"/>
        <v>850759.35238412779</v>
      </c>
      <c r="L31" s="606">
        <f t="shared" si="8"/>
        <v>902230.2932033675</v>
      </c>
      <c r="M31" s="606">
        <f t="shared" si="8"/>
        <v>920365.12209675531</v>
      </c>
      <c r="N31" s="606">
        <f t="shared" si="8"/>
        <v>938864.46105089982</v>
      </c>
      <c r="O31" s="606">
        <f t="shared" si="8"/>
        <v>957735.63671802299</v>
      </c>
      <c r="P31" s="606">
        <f t="shared" si="8"/>
        <v>976986.12301605509</v>
      </c>
      <c r="Q31" s="606">
        <f t="shared" si="8"/>
        <v>996623.54408867785</v>
      </c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</row>
    <row r="32" spans="1:60" x14ac:dyDescent="0.25">
      <c r="B32" s="2026" t="s">
        <v>356</v>
      </c>
      <c r="C32" s="2026"/>
      <c r="D32" s="2026"/>
      <c r="E32" s="2026"/>
      <c r="F32" s="2026"/>
      <c r="G32" s="83">
        <f>G43*(1+Pressupostos!C27)</f>
        <v>3842793.0230999994</v>
      </c>
      <c r="H32" s="83">
        <f>H43*(1+Pressupostos!C27)</f>
        <v>3437166.0678035514</v>
      </c>
      <c r="I32" s="83">
        <f>I43*(1+Pressupostos!D27)</f>
        <v>3796441.6589449248</v>
      </c>
      <c r="J32" s="83">
        <f>J43*(1+Pressupostos!E27)</f>
        <v>3998476.7003586083</v>
      </c>
      <c r="K32" s="83">
        <f>K43*(1+Pressupostos!F27)</f>
        <v>4242511.4391112635</v>
      </c>
      <c r="L32" s="83">
        <f>L43*(1+Pressupostos!G27)</f>
        <v>4314381.3546812348</v>
      </c>
      <c r="M32" s="83">
        <f>M43*(1+Pressupostos!H27)</f>
        <v>4401100.4199103285</v>
      </c>
      <c r="N32" s="83">
        <f>N43*(1+Pressupostos!I27)</f>
        <v>4489562.5383505253</v>
      </c>
      <c r="O32" s="83">
        <f>O43*(1+Pressupostos!J27)</f>
        <v>4579802.7453713706</v>
      </c>
      <c r="P32" s="83">
        <f>P43*(1+Pressupostos!K27)</f>
        <v>4671856.7805533344</v>
      </c>
      <c r="Q32" s="83">
        <f>Q43*(1+Pressupostos!L27)</f>
        <v>4765761.1018424584</v>
      </c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</row>
    <row r="33" spans="2:60" x14ac:dyDescent="0.25">
      <c r="B33" s="2019" t="s">
        <v>353</v>
      </c>
      <c r="C33" s="2019"/>
      <c r="D33" s="2019"/>
      <c r="E33" s="2019"/>
      <c r="F33" s="2019"/>
      <c r="G33" s="620">
        <f>Balanço!E60</f>
        <v>760538.01</v>
      </c>
      <c r="H33" s="620">
        <f>H12</f>
        <v>756458.98606635001</v>
      </c>
      <c r="I33" s="620">
        <f t="shared" ref="I33:Q33" si="9">I12</f>
        <v>802224.75472336425</v>
      </c>
      <c r="J33" s="620">
        <f t="shared" si="9"/>
        <v>850759.35238412779</v>
      </c>
      <c r="K33" s="620">
        <f t="shared" si="9"/>
        <v>902230.2932033675</v>
      </c>
      <c r="L33" s="620">
        <f t="shared" si="9"/>
        <v>920365.12209675531</v>
      </c>
      <c r="M33" s="620">
        <f t="shared" si="9"/>
        <v>938864.46105089982</v>
      </c>
      <c r="N33" s="620">
        <f t="shared" si="9"/>
        <v>957735.63671802299</v>
      </c>
      <c r="O33" s="620">
        <f t="shared" si="9"/>
        <v>976986.12301605509</v>
      </c>
      <c r="P33" s="620">
        <f t="shared" si="9"/>
        <v>996623.54408867785</v>
      </c>
      <c r="Q33" s="620">
        <f t="shared" si="9"/>
        <v>1016655.6773248602</v>
      </c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</row>
    <row r="34" spans="2:60" x14ac:dyDescent="0.25">
      <c r="B34" s="2020" t="s">
        <v>357</v>
      </c>
      <c r="C34" s="2021"/>
      <c r="D34" s="2021"/>
      <c r="E34" s="2021"/>
      <c r="F34" s="2021"/>
      <c r="G34" s="25">
        <f>G31+G32-G33</f>
        <v>3082255.0130999992</v>
      </c>
      <c r="H34" s="25">
        <f t="shared" ref="H34:Q34" si="10">H31+H32-H33</f>
        <v>3441245.0917372014</v>
      </c>
      <c r="I34" s="25">
        <f t="shared" si="10"/>
        <v>3750675.8902879106</v>
      </c>
      <c r="J34" s="25">
        <f t="shared" si="10"/>
        <v>3949942.1026978446</v>
      </c>
      <c r="K34" s="25">
        <f t="shared" si="10"/>
        <v>4191040.4982920238</v>
      </c>
      <c r="L34" s="25">
        <f t="shared" si="10"/>
        <v>4296246.5257878471</v>
      </c>
      <c r="M34" s="25">
        <f t="shared" si="10"/>
        <v>4382601.0809561843</v>
      </c>
      <c r="N34" s="25">
        <f t="shared" si="10"/>
        <v>4470691.3626834024</v>
      </c>
      <c r="O34" s="25">
        <f t="shared" si="10"/>
        <v>4560552.2590733385</v>
      </c>
      <c r="P34" s="25">
        <f t="shared" si="10"/>
        <v>4652219.3594807116</v>
      </c>
      <c r="Q34" s="25">
        <f t="shared" si="10"/>
        <v>4745728.9686062755</v>
      </c>
    </row>
    <row r="36" spans="2:60" ht="12" thickBot="1" x14ac:dyDescent="0.3">
      <c r="B36" s="2022" t="s">
        <v>358</v>
      </c>
      <c r="C36" s="2023"/>
      <c r="D36" s="2023"/>
      <c r="E36" s="2023"/>
      <c r="F36" s="2023"/>
      <c r="G36" s="2023"/>
      <c r="H36" s="2023"/>
      <c r="I36" s="2023"/>
      <c r="J36" s="2023"/>
      <c r="K36" s="2023"/>
      <c r="L36" s="2023"/>
      <c r="M36" s="2023"/>
      <c r="N36" s="2023"/>
      <c r="O36" s="2023"/>
      <c r="P36" s="2023"/>
      <c r="Q36" s="2024"/>
    </row>
    <row r="37" spans="2:60" x14ac:dyDescent="0.25">
      <c r="B37" s="815"/>
      <c r="C37" s="1"/>
      <c r="D37" s="1"/>
      <c r="E37" s="1"/>
      <c r="F37" s="1"/>
      <c r="G37" s="816">
        <f t="shared" ref="G37:Q37" si="11">G30</f>
        <v>2019</v>
      </c>
      <c r="H37" s="816">
        <f t="shared" si="11"/>
        <v>2020</v>
      </c>
      <c r="I37" s="822">
        <f t="shared" si="11"/>
        <v>2021</v>
      </c>
      <c r="J37" s="822">
        <f t="shared" si="11"/>
        <v>2022</v>
      </c>
      <c r="K37" s="822">
        <f t="shared" si="11"/>
        <v>2023</v>
      </c>
      <c r="L37" s="822">
        <f t="shared" si="11"/>
        <v>2024</v>
      </c>
      <c r="M37" s="822">
        <f t="shared" si="11"/>
        <v>2025</v>
      </c>
      <c r="N37" s="822">
        <f t="shared" si="11"/>
        <v>2026</v>
      </c>
      <c r="O37" s="822">
        <f t="shared" si="11"/>
        <v>2027</v>
      </c>
      <c r="P37" s="822">
        <f t="shared" si="11"/>
        <v>2028</v>
      </c>
      <c r="Q37" s="822">
        <f t="shared" si="11"/>
        <v>2029</v>
      </c>
    </row>
    <row r="38" spans="2:60" x14ac:dyDescent="0.25">
      <c r="B38" s="2025" t="s">
        <v>359</v>
      </c>
      <c r="C38" s="2025"/>
      <c r="D38" s="2025"/>
      <c r="E38" s="2025"/>
      <c r="F38" s="2025"/>
      <c r="G38" s="606">
        <f>DR!F9</f>
        <v>0</v>
      </c>
      <c r="H38" s="606">
        <f>'DR Empresa'!C8</f>
        <v>0</v>
      </c>
      <c r="I38" s="606">
        <f>'DR Empresa'!D8</f>
        <v>0</v>
      </c>
      <c r="J38" s="606">
        <f>'DR Empresa'!E8</f>
        <v>0</v>
      </c>
      <c r="K38" s="606">
        <f>'DR Empresa'!F8</f>
        <v>0</v>
      </c>
      <c r="L38" s="606">
        <f>'DR Empresa'!G8</f>
        <v>0</v>
      </c>
      <c r="M38" s="606">
        <f>'DR Empresa'!H8</f>
        <v>0</v>
      </c>
      <c r="N38" s="606">
        <f>'DR Empresa'!I8</f>
        <v>0</v>
      </c>
      <c r="O38" s="606">
        <f>'DR Empresa'!J8</f>
        <v>0</v>
      </c>
      <c r="P38" s="606">
        <f>'DR Empresa'!K8</f>
        <v>0</v>
      </c>
      <c r="Q38" s="606">
        <f>'DR Empresa'!L8</f>
        <v>0</v>
      </c>
    </row>
    <row r="39" spans="2:60" x14ac:dyDescent="0.25">
      <c r="B39" s="2026" t="s">
        <v>360</v>
      </c>
      <c r="C39" s="2026"/>
      <c r="D39" s="2026"/>
      <c r="E39" s="2026"/>
      <c r="F39" s="2026"/>
      <c r="G39" s="83">
        <f>DR!F14</f>
        <v>0</v>
      </c>
      <c r="H39" s="83">
        <f>'DR Empresa'!C13</f>
        <v>0</v>
      </c>
      <c r="I39" s="83">
        <f>'DR Empresa'!D13</f>
        <v>0</v>
      </c>
      <c r="J39" s="83">
        <f>'DR Empresa'!E13</f>
        <v>0</v>
      </c>
      <c r="K39" s="83">
        <f>'DR Empresa'!F13</f>
        <v>0</v>
      </c>
      <c r="L39" s="83">
        <f>'DR Empresa'!G13</f>
        <v>0</v>
      </c>
      <c r="M39" s="83">
        <f>'DR Empresa'!H13</f>
        <v>0</v>
      </c>
      <c r="N39" s="83">
        <f>'DR Empresa'!I13</f>
        <v>0</v>
      </c>
      <c r="O39" s="83">
        <f>'DR Empresa'!J13</f>
        <v>0</v>
      </c>
      <c r="P39" s="83">
        <f>'DR Empresa'!K13</f>
        <v>0</v>
      </c>
      <c r="Q39" s="83">
        <f>'DR Empresa'!L13</f>
        <v>0</v>
      </c>
    </row>
    <row r="40" spans="2:60" x14ac:dyDescent="0.25">
      <c r="B40" s="2026" t="s">
        <v>361</v>
      </c>
      <c r="C40" s="2026"/>
      <c r="D40" s="2026"/>
      <c r="E40" s="2026"/>
      <c r="F40" s="2026"/>
      <c r="G40" s="83">
        <f>Balanço!D20</f>
        <v>0</v>
      </c>
      <c r="H40" s="83">
        <f>Balanço!E20+H38+H39</f>
        <v>343630.82</v>
      </c>
      <c r="I40" s="83">
        <f>H42+I38+I39</f>
        <v>241390.36750491254</v>
      </c>
      <c r="J40" s="83">
        <f>I42+J38+J39</f>
        <v>255994.48473895979</v>
      </c>
      <c r="K40" s="83">
        <f t="shared" ref="K40:Q40" si="12">J42+K38+K39</f>
        <v>269752.96539008938</v>
      </c>
      <c r="L40" s="83">
        <f t="shared" si="12"/>
        <v>286073.01979618974</v>
      </c>
      <c r="M40" s="83">
        <f t="shared" si="12"/>
        <v>291823.08749409311</v>
      </c>
      <c r="N40" s="83">
        <f t="shared" si="12"/>
        <v>297688.73155272438</v>
      </c>
      <c r="O40" s="83">
        <f t="shared" si="12"/>
        <v>303672.2750569341</v>
      </c>
      <c r="P40" s="83">
        <f t="shared" si="12"/>
        <v>309776.08778557845</v>
      </c>
      <c r="Q40" s="83">
        <f t="shared" si="12"/>
        <v>316002.5871500686</v>
      </c>
    </row>
    <row r="41" spans="2:60" s="12" customFormat="1" x14ac:dyDescent="0.25">
      <c r="B41" s="2026" t="s">
        <v>362</v>
      </c>
      <c r="C41" s="2026"/>
      <c r="D41" s="2026"/>
      <c r="E41" s="2026"/>
      <c r="F41" s="2026"/>
      <c r="G41" s="83">
        <f>DR!F11</f>
        <v>2780591.15</v>
      </c>
      <c r="H41" s="83">
        <f>CMVMC!D6</f>
        <v>2896684.4100589505</v>
      </c>
      <c r="I41" s="83">
        <f>CMVMC!E6</f>
        <v>3071933.8168675173</v>
      </c>
      <c r="J41" s="83">
        <f>CMVMC!F6</f>
        <v>3237035.5846810723</v>
      </c>
      <c r="K41" s="83">
        <f>CMVMC!G6</f>
        <v>3432876.2375542768</v>
      </c>
      <c r="L41" s="83">
        <f>CMVMC!H6</f>
        <v>3501877.0499291173</v>
      </c>
      <c r="M41" s="83">
        <f>CMVMC!I6</f>
        <v>3572264.7786326925</v>
      </c>
      <c r="N41" s="83">
        <f>CMVMC!J6</f>
        <v>3644067.3006832092</v>
      </c>
      <c r="O41" s="83">
        <f>CMVMC!K6</f>
        <v>3717313.0534269414</v>
      </c>
      <c r="P41" s="83">
        <f>CMVMC!L6</f>
        <v>3792031.0458008228</v>
      </c>
      <c r="Q41" s="83">
        <f>CMVMC!M6</f>
        <v>3868250.8698214199</v>
      </c>
    </row>
    <row r="42" spans="2:60" x14ac:dyDescent="0.25">
      <c r="B42" s="2019" t="s">
        <v>363</v>
      </c>
      <c r="C42" s="2019"/>
      <c r="D42" s="2019"/>
      <c r="E42" s="2019"/>
      <c r="F42" s="2019"/>
      <c r="G42" s="620">
        <f>Balanço!E20</f>
        <v>343630.82</v>
      </c>
      <c r="H42" s="620">
        <f>H6</f>
        <v>241390.36750491254</v>
      </c>
      <c r="I42" s="620">
        <f t="shared" ref="I42:Q42" si="13">I6</f>
        <v>255994.48473895979</v>
      </c>
      <c r="J42" s="620">
        <f t="shared" si="13"/>
        <v>269752.96539008938</v>
      </c>
      <c r="K42" s="620">
        <f t="shared" si="13"/>
        <v>286073.01979618974</v>
      </c>
      <c r="L42" s="620">
        <f t="shared" si="13"/>
        <v>291823.08749409311</v>
      </c>
      <c r="M42" s="620">
        <f t="shared" si="13"/>
        <v>297688.73155272438</v>
      </c>
      <c r="N42" s="620">
        <f t="shared" si="13"/>
        <v>303672.2750569341</v>
      </c>
      <c r="O42" s="620">
        <f t="shared" si="13"/>
        <v>309776.08778557845</v>
      </c>
      <c r="P42" s="620">
        <f t="shared" si="13"/>
        <v>316002.5871500686</v>
      </c>
      <c r="Q42" s="620">
        <f t="shared" si="13"/>
        <v>322354.23915178498</v>
      </c>
    </row>
    <row r="43" spans="2:60" x14ac:dyDescent="0.25">
      <c r="B43" s="2020" t="s">
        <v>364</v>
      </c>
      <c r="C43" s="2021"/>
      <c r="D43" s="2021"/>
      <c r="E43" s="2021"/>
      <c r="F43" s="2021"/>
      <c r="G43" s="821">
        <f>G41+G42-G40</f>
        <v>3124221.9699999997</v>
      </c>
      <c r="H43" s="821">
        <f>H41+H42-H40</f>
        <v>2794443.9575638631</v>
      </c>
      <c r="I43" s="821">
        <f t="shared" ref="I43:Q43" si="14">I41+I42-I40</f>
        <v>3086537.9341015648</v>
      </c>
      <c r="J43" s="821">
        <f t="shared" si="14"/>
        <v>3250794.0653322018</v>
      </c>
      <c r="K43" s="821">
        <f t="shared" si="14"/>
        <v>3449196.2919603772</v>
      </c>
      <c r="L43" s="821">
        <f t="shared" si="14"/>
        <v>3507627.1176270205</v>
      </c>
      <c r="M43" s="821">
        <f t="shared" si="14"/>
        <v>3578130.4226913238</v>
      </c>
      <c r="N43" s="821">
        <f t="shared" si="14"/>
        <v>3650050.8441874189</v>
      </c>
      <c r="O43" s="821">
        <f t="shared" si="14"/>
        <v>3723416.8661555857</v>
      </c>
      <c r="P43" s="821">
        <f t="shared" si="14"/>
        <v>3798257.5451653129</v>
      </c>
      <c r="Q43" s="821">
        <f t="shared" si="14"/>
        <v>3874602.5218231366</v>
      </c>
    </row>
  </sheetData>
  <mergeCells count="32">
    <mergeCell ref="B15:F15"/>
    <mergeCell ref="B2:G2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33:F33"/>
    <mergeCell ref="B16:F16"/>
    <mergeCell ref="B18:F18"/>
    <mergeCell ref="B21:Q21"/>
    <mergeCell ref="B23:F23"/>
    <mergeCell ref="B24:F24"/>
    <mergeCell ref="B25:F25"/>
    <mergeCell ref="B26:F26"/>
    <mergeCell ref="B27:F27"/>
    <mergeCell ref="B29:Q29"/>
    <mergeCell ref="B31:F31"/>
    <mergeCell ref="B32:F32"/>
    <mergeCell ref="B42:F42"/>
    <mergeCell ref="B43:F43"/>
    <mergeCell ref="B34:F34"/>
    <mergeCell ref="B36:Q36"/>
    <mergeCell ref="B38:F38"/>
    <mergeCell ref="B39:F39"/>
    <mergeCell ref="B40:F40"/>
    <mergeCell ref="B41:F4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3"/>
  <dimension ref="B1:L9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6" sqref="C6"/>
    </sheetView>
  </sheetViews>
  <sheetFormatPr defaultColWidth="9.140625" defaultRowHeight="11.25" x14ac:dyDescent="0.25"/>
  <cols>
    <col min="1" max="1" width="1.85546875" style="75" customWidth="1"/>
    <col min="2" max="2" width="37.140625" style="75" customWidth="1"/>
    <col min="3" max="7" width="11.140625" style="335" customWidth="1"/>
    <col min="8" max="8" width="11.140625" style="75" customWidth="1"/>
    <col min="9" max="11" width="10.85546875" style="75" customWidth="1"/>
    <col min="12" max="12" width="11" style="75" customWidth="1"/>
    <col min="13" max="16384" width="9.140625" style="75"/>
  </cols>
  <sheetData>
    <row r="1" spans="2:12" ht="12" thickBot="1" x14ac:dyDescent="0.3">
      <c r="C1" s="75"/>
      <c r="D1" s="75"/>
      <c r="E1" s="75"/>
      <c r="F1" s="75"/>
      <c r="G1" s="75"/>
    </row>
    <row r="2" spans="2:12" x14ac:dyDescent="0.25">
      <c r="B2" s="308" t="s">
        <v>180</v>
      </c>
      <c r="C2" s="309"/>
      <c r="D2" s="309"/>
      <c r="E2" s="309"/>
      <c r="F2" s="309"/>
      <c r="G2" s="309"/>
      <c r="H2" s="310"/>
      <c r="I2" s="309"/>
      <c r="J2" s="311"/>
      <c r="K2" s="311"/>
      <c r="L2" s="312" t="s">
        <v>181</v>
      </c>
    </row>
    <row r="3" spans="2:12" ht="12" thickBot="1" x14ac:dyDescent="0.3">
      <c r="B3" s="313" t="s">
        <v>182</v>
      </c>
      <c r="C3" s="314">
        <f>Pressupostos!C11</f>
        <v>2020</v>
      </c>
      <c r="D3" s="314">
        <f t="shared" ref="D3:L3" si="0">C3+1</f>
        <v>2021</v>
      </c>
      <c r="E3" s="314">
        <f t="shared" si="0"/>
        <v>2022</v>
      </c>
      <c r="F3" s="314">
        <f t="shared" si="0"/>
        <v>2023</v>
      </c>
      <c r="G3" s="314">
        <f t="shared" si="0"/>
        <v>2024</v>
      </c>
      <c r="H3" s="314">
        <f t="shared" si="0"/>
        <v>2025</v>
      </c>
      <c r="I3" s="315">
        <f t="shared" si="0"/>
        <v>2026</v>
      </c>
      <c r="J3" s="315">
        <f t="shared" si="0"/>
        <v>2027</v>
      </c>
      <c r="K3" s="315">
        <f t="shared" si="0"/>
        <v>2028</v>
      </c>
      <c r="L3" s="316">
        <f t="shared" si="0"/>
        <v>2029</v>
      </c>
    </row>
    <row r="4" spans="2:12" x14ac:dyDescent="0.25">
      <c r="B4" s="317" t="s">
        <v>183</v>
      </c>
      <c r="C4" s="318"/>
      <c r="D4" s="318"/>
      <c r="E4" s="318"/>
      <c r="F4" s="318"/>
      <c r="G4" s="318"/>
      <c r="H4" s="318"/>
      <c r="I4" s="318"/>
      <c r="J4" s="318"/>
      <c r="K4" s="318"/>
      <c r="L4" s="319"/>
    </row>
    <row r="5" spans="2:12" x14ac:dyDescent="0.25">
      <c r="B5" s="847" t="s">
        <v>184</v>
      </c>
      <c r="C5" s="512">
        <f>OrçTesouraria!C7</f>
        <v>4162150.207298575</v>
      </c>
      <c r="D5" s="512">
        <f>OrçTesouraria!D7</f>
        <v>4744699.8753546644</v>
      </c>
      <c r="E5" s="512">
        <f>OrçTesouraria!E7</f>
        <v>5031754.2178136222</v>
      </c>
      <c r="F5" s="512">
        <f>OrçTesouraria!F7</f>
        <v>5336175.3479913455</v>
      </c>
      <c r="G5" s="512">
        <f>OrçTesouraria!G7</f>
        <v>5494988.4892404499</v>
      </c>
      <c r="H5" s="512">
        <f>OrçTesouraria!H7</f>
        <v>5605437.7578741824</v>
      </c>
      <c r="I5" s="512">
        <f>OrçTesouraria!I7</f>
        <v>5718107.0568074528</v>
      </c>
      <c r="J5" s="512">
        <f>OrçTesouraria!J7</f>
        <v>5833041.0086492822</v>
      </c>
      <c r="K5" s="512">
        <f>OrçTesouraria!K7</f>
        <v>5950285.1329231327</v>
      </c>
      <c r="L5" s="1281">
        <f>OrçTesouraria!L7</f>
        <v>6069885.8640948888</v>
      </c>
    </row>
    <row r="6" spans="2:12" x14ac:dyDescent="0.25">
      <c r="B6" s="848" t="s">
        <v>185</v>
      </c>
      <c r="C6" s="274">
        <f>OrçTesouraria!C12</f>
        <v>3441245.0917372014</v>
      </c>
      <c r="D6" s="274">
        <f>OrçTesouraria!D12</f>
        <v>3750675.8902879106</v>
      </c>
      <c r="E6" s="274">
        <f>OrçTesouraria!E12</f>
        <v>3949942.1026978446</v>
      </c>
      <c r="F6" s="274">
        <f>OrçTesouraria!F12</f>
        <v>4191040.4982920238</v>
      </c>
      <c r="G6" s="274">
        <f>OrçTesouraria!G12</f>
        <v>4296246.5257878471</v>
      </c>
      <c r="H6" s="274">
        <f>OrçTesouraria!H12</f>
        <v>4382601.0809561843</v>
      </c>
      <c r="I6" s="274">
        <f>OrçTesouraria!I12</f>
        <v>4470691.3626834024</v>
      </c>
      <c r="J6" s="274">
        <f>OrçTesouraria!J12</f>
        <v>4560552.2590733385</v>
      </c>
      <c r="K6" s="274">
        <f>OrçTesouraria!K12</f>
        <v>4652219.3594807116</v>
      </c>
      <c r="L6" s="944">
        <f>OrçTesouraria!L12</f>
        <v>4745728.9686062755</v>
      </c>
    </row>
    <row r="7" spans="2:12" x14ac:dyDescent="0.25">
      <c r="B7" s="848" t="s">
        <v>186</v>
      </c>
      <c r="C7" s="274">
        <f>OrçTesouraria!C13</f>
        <v>210539.7523125</v>
      </c>
      <c r="D7" s="274">
        <f>OrçTesouraria!D13</f>
        <v>253020.88462124998</v>
      </c>
      <c r="E7" s="274">
        <f>OrçTesouraria!E13</f>
        <v>269421.302313675</v>
      </c>
      <c r="F7" s="274">
        <f>OrçTesouraria!F13</f>
        <v>275177.22835994849</v>
      </c>
      <c r="G7" s="274">
        <f>OrçTesouraria!G13</f>
        <v>280680.77292714745</v>
      </c>
      <c r="H7" s="274">
        <f>OrçTesouraria!H13</f>
        <v>286294.3883856904</v>
      </c>
      <c r="I7" s="274">
        <f>OrçTesouraria!I13</f>
        <v>292020.27615340421</v>
      </c>
      <c r="J7" s="274">
        <f>OrçTesouraria!J13</f>
        <v>297860.6816764723</v>
      </c>
      <c r="K7" s="274">
        <f>OrçTesouraria!K13</f>
        <v>303817.89531000174</v>
      </c>
      <c r="L7" s="944">
        <f>OrçTesouraria!L13</f>
        <v>309894.25321620179</v>
      </c>
    </row>
    <row r="8" spans="2:12" x14ac:dyDescent="0.25">
      <c r="B8" s="848" t="s">
        <v>187</v>
      </c>
      <c r="C8" s="278"/>
      <c r="D8" s="278"/>
      <c r="E8" s="278"/>
      <c r="F8" s="278"/>
      <c r="G8" s="278"/>
      <c r="H8" s="278"/>
      <c r="I8" s="278"/>
      <c r="J8" s="278"/>
      <c r="K8" s="278"/>
      <c r="L8" s="1130"/>
    </row>
    <row r="9" spans="2:12" x14ac:dyDescent="0.25">
      <c r="B9" s="849" t="s">
        <v>188</v>
      </c>
      <c r="C9" s="291">
        <f>OrçTesouraria!C14+OrçTesouraria!C15+OrçTesouraria!C16+OrçTesouraria!C17-OrçTesouraria!C8+OrçTesouraria!C44-OrçTesouraria!C34</f>
        <v>705449.59906888474</v>
      </c>
      <c r="D9" s="291">
        <f>OrçTesouraria!D14+OrçTesouraria!D15+OrçTesouraria!D16+OrçTesouraria!D17-OrçTesouraria!D8+OrçTesouraria!D44-OrçTesouraria!D34</f>
        <v>683738.17139715061</v>
      </c>
      <c r="E9" s="291">
        <f>OrçTesouraria!E14+OrçTesouraria!E15+OrçTesouraria!E16+OrçTesouraria!E17-OrçTesouraria!E8+OrçTesouraria!E44-OrçTesouraria!E34</f>
        <v>775402.58674807462</v>
      </c>
      <c r="F9" s="291">
        <f>OrçTesouraria!F14+OrçTesouraria!F15+OrçTesouraria!F16+OrçTesouraria!F17-OrçTesouraria!F8+OrçTesouraria!F44-OrçTesouraria!F34</f>
        <v>822117.24655883713</v>
      </c>
      <c r="G9" s="291">
        <f>OrçTesouraria!G14+OrçTesouraria!G15+OrçTesouraria!G16+OrçTesouraria!G17-OrçTesouraria!G8+OrçTesouraria!G44-OrçTesouraria!G34</f>
        <v>844591.41714079771</v>
      </c>
      <c r="H9" s="291">
        <f>OrçTesouraria!H14+OrçTesouraria!H15+OrçTesouraria!H16+OrçTesouraria!H17-OrçTesouraria!H8+OrçTesouraria!H44-OrçTesouraria!H34</f>
        <v>865244.34953373752</v>
      </c>
      <c r="I9" s="291">
        <f>OrçTesouraria!I14+OrçTesouraria!I15+OrçTesouraria!I16+OrçTesouraria!I17-OrçTesouraria!I8+OrçTesouraria!I44-OrçTesouraria!I34</f>
        <v>884287.8043861317</v>
      </c>
      <c r="J9" s="291">
        <f>OrçTesouraria!J14+OrçTesouraria!J15+OrçTesouraria!J16+OrçTesouraria!J17-OrçTesouraria!J8+OrçTesouraria!J44-OrçTesouraria!J34</f>
        <v>902157.24828014639</v>
      </c>
      <c r="K9" s="291">
        <f>OrçTesouraria!K14+OrçTesouraria!K15+OrçTesouraria!K16+OrçTesouraria!K17-OrçTesouraria!K8+OrçTesouraria!K44-OrçTesouraria!K34</f>
        <v>920329.14015182981</v>
      </c>
      <c r="L9" s="1143">
        <f>OrçTesouraria!L14+OrçTesouraria!L15+OrçTesouraria!L16+OrçTesouraria!L17-OrçTesouraria!L8+OrçTesouraria!L44-OrçTesouraria!L34</f>
        <v>941495.76531664084</v>
      </c>
    </row>
    <row r="10" spans="2:12" x14ac:dyDescent="0.25">
      <c r="B10" s="846" t="s">
        <v>189</v>
      </c>
      <c r="C10" s="299">
        <f>C5-C6-C7-C8-C9</f>
        <v>-195084.23582001124</v>
      </c>
      <c r="D10" s="299">
        <f t="shared" ref="D10:L10" si="1">D5-D6-D7-D8-D9</f>
        <v>57264.929048353224</v>
      </c>
      <c r="E10" s="299">
        <f t="shared" si="1"/>
        <v>36988.226054028026</v>
      </c>
      <c r="F10" s="299">
        <f t="shared" si="1"/>
        <v>47840.374780536047</v>
      </c>
      <c r="G10" s="299">
        <f t="shared" si="1"/>
        <v>73469.773384657572</v>
      </c>
      <c r="H10" s="299">
        <f t="shared" si="1"/>
        <v>71297.9389985702</v>
      </c>
      <c r="I10" s="299">
        <f t="shared" si="1"/>
        <v>71107.613584514474</v>
      </c>
      <c r="J10" s="299">
        <f t="shared" si="1"/>
        <v>72470.81961932499</v>
      </c>
      <c r="K10" s="299">
        <f t="shared" si="1"/>
        <v>73918.73798058962</v>
      </c>
      <c r="L10" s="1149">
        <f t="shared" si="1"/>
        <v>72766.876955770655</v>
      </c>
    </row>
    <row r="11" spans="2:12" x14ac:dyDescent="0.25">
      <c r="B11" s="322" t="s">
        <v>190</v>
      </c>
      <c r="C11" s="858"/>
      <c r="D11" s="858"/>
      <c r="E11" s="858"/>
      <c r="F11" s="858"/>
      <c r="G11" s="858"/>
      <c r="H11" s="858"/>
      <c r="I11" s="859"/>
      <c r="J11" s="859"/>
      <c r="K11" s="859"/>
      <c r="L11" s="860"/>
    </row>
    <row r="12" spans="2:12" x14ac:dyDescent="0.25">
      <c r="B12" s="320" t="s">
        <v>191</v>
      </c>
      <c r="C12" s="390"/>
      <c r="D12" s="390"/>
      <c r="E12" s="390"/>
      <c r="F12" s="390"/>
      <c r="G12" s="390"/>
      <c r="H12" s="390"/>
      <c r="I12" s="861"/>
      <c r="J12" s="861"/>
      <c r="K12" s="861"/>
      <c r="L12" s="862"/>
    </row>
    <row r="13" spans="2:12" x14ac:dyDescent="0.25">
      <c r="B13" s="847" t="s">
        <v>192</v>
      </c>
      <c r="C13" s="851"/>
      <c r="D13" s="851"/>
      <c r="E13" s="851"/>
      <c r="F13" s="851"/>
      <c r="G13" s="851"/>
      <c r="H13" s="851"/>
      <c r="I13" s="851"/>
      <c r="J13" s="851"/>
      <c r="K13" s="851"/>
      <c r="L13" s="852"/>
    </row>
    <row r="14" spans="2:12" x14ac:dyDescent="0.25">
      <c r="B14" s="848" t="s">
        <v>193</v>
      </c>
      <c r="C14" s="270"/>
      <c r="D14" s="270"/>
      <c r="E14" s="270"/>
      <c r="F14" s="270"/>
      <c r="G14" s="270"/>
      <c r="H14" s="270"/>
      <c r="I14" s="270"/>
      <c r="J14" s="270"/>
      <c r="K14" s="270"/>
      <c r="L14" s="853"/>
    </row>
    <row r="15" spans="2:12" x14ac:dyDescent="0.25">
      <c r="B15" s="848" t="s">
        <v>194</v>
      </c>
      <c r="C15" s="270"/>
      <c r="D15" s="270"/>
      <c r="E15" s="270"/>
      <c r="F15" s="270"/>
      <c r="G15" s="270"/>
      <c r="H15" s="270"/>
      <c r="I15" s="270"/>
      <c r="J15" s="270"/>
      <c r="K15" s="270"/>
      <c r="L15" s="853"/>
    </row>
    <row r="16" spans="2:12" x14ac:dyDescent="0.25">
      <c r="B16" s="848" t="s">
        <v>195</v>
      </c>
      <c r="C16" s="270"/>
      <c r="D16" s="270"/>
      <c r="E16" s="270"/>
      <c r="F16" s="270"/>
      <c r="G16" s="270"/>
      <c r="H16" s="270"/>
      <c r="I16" s="270"/>
      <c r="J16" s="270"/>
      <c r="K16" s="270"/>
      <c r="L16" s="853"/>
    </row>
    <row r="17" spans="2:12" x14ac:dyDescent="0.25">
      <c r="B17" s="848" t="s">
        <v>196</v>
      </c>
      <c r="C17" s="270"/>
      <c r="D17" s="270"/>
      <c r="E17" s="270"/>
      <c r="F17" s="270"/>
      <c r="G17" s="270"/>
      <c r="H17" s="270"/>
      <c r="I17" s="270"/>
      <c r="J17" s="270"/>
      <c r="K17" s="270"/>
      <c r="L17" s="853"/>
    </row>
    <row r="18" spans="2:12" x14ac:dyDescent="0.25">
      <c r="B18" s="849" t="s">
        <v>197</v>
      </c>
      <c r="C18" s="388"/>
      <c r="D18" s="388"/>
      <c r="E18" s="388"/>
      <c r="F18" s="388"/>
      <c r="G18" s="388"/>
      <c r="H18" s="388"/>
      <c r="I18" s="388"/>
      <c r="J18" s="388"/>
      <c r="K18" s="388"/>
      <c r="L18" s="855"/>
    </row>
    <row r="19" spans="2:12" x14ac:dyDescent="0.25">
      <c r="B19" s="850" t="s">
        <v>198</v>
      </c>
      <c r="C19" s="856">
        <f t="shared" ref="C19:L19" si="2">SUM(C13:C18)</f>
        <v>0</v>
      </c>
      <c r="D19" s="856">
        <f t="shared" si="2"/>
        <v>0</v>
      </c>
      <c r="E19" s="856">
        <f t="shared" si="2"/>
        <v>0</v>
      </c>
      <c r="F19" s="856">
        <f t="shared" si="2"/>
        <v>0</v>
      </c>
      <c r="G19" s="856">
        <f t="shared" si="2"/>
        <v>0</v>
      </c>
      <c r="H19" s="856">
        <f t="shared" si="2"/>
        <v>0</v>
      </c>
      <c r="I19" s="863">
        <f t="shared" si="2"/>
        <v>0</v>
      </c>
      <c r="J19" s="863">
        <f t="shared" si="2"/>
        <v>0</v>
      </c>
      <c r="K19" s="863">
        <f t="shared" si="2"/>
        <v>0</v>
      </c>
      <c r="L19" s="857">
        <f t="shared" si="2"/>
        <v>0</v>
      </c>
    </row>
    <row r="20" spans="2:12" x14ac:dyDescent="0.25">
      <c r="B20" s="323" t="s">
        <v>199</v>
      </c>
      <c r="C20" s="390"/>
      <c r="D20" s="390"/>
      <c r="E20" s="390"/>
      <c r="F20" s="390"/>
      <c r="G20" s="390"/>
      <c r="H20" s="390"/>
      <c r="I20" s="861"/>
      <c r="J20" s="861"/>
      <c r="K20" s="861"/>
      <c r="L20" s="862"/>
    </row>
    <row r="21" spans="2:12" x14ac:dyDescent="0.25">
      <c r="B21" s="847" t="s">
        <v>192</v>
      </c>
      <c r="C21" s="851"/>
      <c r="D21" s="851"/>
      <c r="E21" s="851"/>
      <c r="F21" s="851"/>
      <c r="G21" s="851"/>
      <c r="H21" s="851"/>
      <c r="I21" s="851"/>
      <c r="J21" s="851"/>
      <c r="K21" s="851"/>
      <c r="L21" s="852"/>
    </row>
    <row r="22" spans="2:12" x14ac:dyDescent="0.25">
      <c r="B22" s="848" t="s">
        <v>193</v>
      </c>
      <c r="C22" s="274">
        <f>PlanoInvest!C96</f>
        <v>0</v>
      </c>
      <c r="D22" s="274">
        <f>PlanoInvest!D96</f>
        <v>40000</v>
      </c>
      <c r="E22" s="274">
        <f>PlanoInvest!E96</f>
        <v>0</v>
      </c>
      <c r="F22" s="274">
        <f>PlanoInvest!F96</f>
        <v>0</v>
      </c>
      <c r="G22" s="274">
        <f>PlanoInvest!G96</f>
        <v>0</v>
      </c>
      <c r="H22" s="274">
        <f>PlanoInvest!H96</f>
        <v>0</v>
      </c>
      <c r="I22" s="274">
        <f>PlanoInvest!I96</f>
        <v>0</v>
      </c>
      <c r="J22" s="274">
        <f>PlanoInvest!J96</f>
        <v>0</v>
      </c>
      <c r="K22" s="274">
        <f>PlanoInvest!K96</f>
        <v>0</v>
      </c>
      <c r="L22" s="944">
        <f>PlanoInvest!L96</f>
        <v>0</v>
      </c>
    </row>
    <row r="23" spans="2:12" x14ac:dyDescent="0.25">
      <c r="B23" s="848" t="s">
        <v>194</v>
      </c>
      <c r="C23" s="274">
        <f>PlanoInvest!C98</f>
        <v>0</v>
      </c>
      <c r="D23" s="274">
        <f>PlanoInvest!D98</f>
        <v>0</v>
      </c>
      <c r="E23" s="274">
        <f>PlanoInvest!E98</f>
        <v>0</v>
      </c>
      <c r="F23" s="274">
        <f>PlanoInvest!F98</f>
        <v>0</v>
      </c>
      <c r="G23" s="274">
        <f>PlanoInvest!G98</f>
        <v>0</v>
      </c>
      <c r="H23" s="274">
        <f>PlanoInvest!H98</f>
        <v>0</v>
      </c>
      <c r="I23" s="274">
        <f>PlanoInvest!I98</f>
        <v>0</v>
      </c>
      <c r="J23" s="274">
        <f>PlanoInvest!J98</f>
        <v>0</v>
      </c>
      <c r="K23" s="274">
        <f>PlanoInvest!K98</f>
        <v>0</v>
      </c>
      <c r="L23" s="944">
        <f>PlanoInvest!L98</f>
        <v>0</v>
      </c>
    </row>
    <row r="24" spans="2:12" x14ac:dyDescent="0.25">
      <c r="B24" s="849" t="s">
        <v>200</v>
      </c>
      <c r="C24" s="291">
        <f>PlanoInvest!C93</f>
        <v>0</v>
      </c>
      <c r="D24" s="291">
        <f>PlanoInvest!D93</f>
        <v>9200</v>
      </c>
      <c r="E24" s="291">
        <f>PlanoInvest!E93</f>
        <v>0</v>
      </c>
      <c r="F24" s="291">
        <f>PlanoInvest!F93</f>
        <v>0</v>
      </c>
      <c r="G24" s="291">
        <f>PlanoInvest!G93</f>
        <v>0</v>
      </c>
      <c r="H24" s="291">
        <f>PlanoInvest!H93</f>
        <v>0</v>
      </c>
      <c r="I24" s="291">
        <f>PlanoInvest!I93</f>
        <v>0</v>
      </c>
      <c r="J24" s="291">
        <f>PlanoInvest!J93</f>
        <v>0</v>
      </c>
      <c r="K24" s="291">
        <f>PlanoInvest!K93</f>
        <v>0</v>
      </c>
      <c r="L24" s="1143">
        <f>PlanoInvest!L93</f>
        <v>0</v>
      </c>
    </row>
    <row r="25" spans="2:12" x14ac:dyDescent="0.25">
      <c r="B25" s="324" t="s">
        <v>198</v>
      </c>
      <c r="C25" s="299">
        <f>SUM(C21:C24)</f>
        <v>0</v>
      </c>
      <c r="D25" s="299">
        <f t="shared" ref="D25:L25" si="3">SUM(D21:D24)</f>
        <v>49200</v>
      </c>
      <c r="E25" s="299">
        <f t="shared" si="3"/>
        <v>0</v>
      </c>
      <c r="F25" s="299">
        <f t="shared" si="3"/>
        <v>0</v>
      </c>
      <c r="G25" s="299">
        <f t="shared" si="3"/>
        <v>0</v>
      </c>
      <c r="H25" s="299">
        <f t="shared" si="3"/>
        <v>0</v>
      </c>
      <c r="I25" s="299">
        <f t="shared" si="3"/>
        <v>0</v>
      </c>
      <c r="J25" s="299">
        <f t="shared" si="3"/>
        <v>0</v>
      </c>
      <c r="K25" s="299">
        <f t="shared" si="3"/>
        <v>0</v>
      </c>
      <c r="L25" s="1149">
        <f t="shared" si="3"/>
        <v>0</v>
      </c>
    </row>
    <row r="26" spans="2:12" x14ac:dyDescent="0.25">
      <c r="B26" s="321" t="s">
        <v>201</v>
      </c>
      <c r="C26" s="299">
        <f>C19-C25</f>
        <v>0</v>
      </c>
      <c r="D26" s="299">
        <f t="shared" ref="D26:L26" si="4">D19-D25</f>
        <v>-49200</v>
      </c>
      <c r="E26" s="299">
        <f t="shared" si="4"/>
        <v>0</v>
      </c>
      <c r="F26" s="299">
        <f t="shared" si="4"/>
        <v>0</v>
      </c>
      <c r="G26" s="299">
        <f t="shared" si="4"/>
        <v>0</v>
      </c>
      <c r="H26" s="299">
        <f t="shared" si="4"/>
        <v>0</v>
      </c>
      <c r="I26" s="299">
        <f t="shared" si="4"/>
        <v>0</v>
      </c>
      <c r="J26" s="299">
        <f t="shared" si="4"/>
        <v>0</v>
      </c>
      <c r="K26" s="299">
        <f t="shared" si="4"/>
        <v>0</v>
      </c>
      <c r="L26" s="1149">
        <f t="shared" si="4"/>
        <v>0</v>
      </c>
    </row>
    <row r="27" spans="2:12" x14ac:dyDescent="0.25">
      <c r="B27" s="322" t="s">
        <v>202</v>
      </c>
      <c r="C27" s="858"/>
      <c r="D27" s="858"/>
      <c r="E27" s="858"/>
      <c r="F27" s="858"/>
      <c r="G27" s="858"/>
      <c r="H27" s="858"/>
      <c r="I27" s="859"/>
      <c r="J27" s="859"/>
      <c r="K27" s="859"/>
      <c r="L27" s="860"/>
    </row>
    <row r="28" spans="2:12" x14ac:dyDescent="0.25">
      <c r="B28" s="320" t="s">
        <v>191</v>
      </c>
      <c r="C28" s="390"/>
      <c r="D28" s="390"/>
      <c r="E28" s="390"/>
      <c r="F28" s="390"/>
      <c r="G28" s="390"/>
      <c r="H28" s="390"/>
      <c r="I28" s="861"/>
      <c r="J28" s="861"/>
      <c r="K28" s="861"/>
      <c r="L28" s="862"/>
    </row>
    <row r="29" spans="2:12" x14ac:dyDescent="0.25">
      <c r="B29" s="847" t="s">
        <v>203</v>
      </c>
      <c r="C29" s="512">
        <f>OrçTesouraria!C31</f>
        <v>0</v>
      </c>
      <c r="D29" s="512">
        <f>OrçTesouraria!D31</f>
        <v>0</v>
      </c>
      <c r="E29" s="512">
        <f>OrçTesouraria!E31</f>
        <v>0</v>
      </c>
      <c r="F29" s="512">
        <f>OrçTesouraria!F31</f>
        <v>0</v>
      </c>
      <c r="G29" s="512">
        <f>OrçTesouraria!G31</f>
        <v>0</v>
      </c>
      <c r="H29" s="512">
        <f>OrçTesouraria!H31</f>
        <v>0</v>
      </c>
      <c r="I29" s="512">
        <f>OrçTesouraria!I31</f>
        <v>0</v>
      </c>
      <c r="J29" s="512">
        <f>OrçTesouraria!J31</f>
        <v>0</v>
      </c>
      <c r="K29" s="512">
        <f>OrçTesouraria!K31</f>
        <v>0</v>
      </c>
      <c r="L29" s="1281">
        <f>OrçTesouraria!L31</f>
        <v>0</v>
      </c>
    </row>
    <row r="30" spans="2:12" x14ac:dyDescent="0.25">
      <c r="B30" s="848" t="s">
        <v>204</v>
      </c>
      <c r="C30" s="274">
        <f>OrçTesouraria!C35</f>
        <v>0</v>
      </c>
      <c r="D30" s="274">
        <f>OrçTesouraria!D35</f>
        <v>0</v>
      </c>
      <c r="E30" s="274">
        <f>OrçTesouraria!E35</f>
        <v>0</v>
      </c>
      <c r="F30" s="274">
        <f>OrçTesouraria!F35</f>
        <v>0</v>
      </c>
      <c r="G30" s="274">
        <f>OrçTesouraria!G35</f>
        <v>0</v>
      </c>
      <c r="H30" s="274">
        <f>OrçTesouraria!H35</f>
        <v>0</v>
      </c>
      <c r="I30" s="274">
        <f>OrçTesouraria!I35</f>
        <v>0</v>
      </c>
      <c r="J30" s="274">
        <f>OrçTesouraria!J35</f>
        <v>0</v>
      </c>
      <c r="K30" s="274">
        <f>OrçTesouraria!K35</f>
        <v>0</v>
      </c>
      <c r="L30" s="944">
        <f>OrçTesouraria!L35</f>
        <v>0</v>
      </c>
    </row>
    <row r="31" spans="2:12" x14ac:dyDescent="0.25">
      <c r="B31" s="848" t="s">
        <v>205</v>
      </c>
      <c r="C31" s="522"/>
      <c r="D31" s="522"/>
      <c r="E31" s="522"/>
      <c r="F31" s="522"/>
      <c r="G31" s="522"/>
      <c r="H31" s="522"/>
      <c r="I31" s="522"/>
      <c r="J31" s="522"/>
      <c r="K31" s="522"/>
      <c r="L31" s="854"/>
    </row>
    <row r="32" spans="2:12" x14ac:dyDescent="0.25">
      <c r="B32" s="848" t="s">
        <v>206</v>
      </c>
      <c r="C32" s="274">
        <f>OrçTesouraria!C27+OrçTesouraria!C33</f>
        <v>0</v>
      </c>
      <c r="D32" s="274">
        <f>OrçTesouraria!D27+OrçTesouraria!D33</f>
        <v>0</v>
      </c>
      <c r="E32" s="274">
        <f>OrçTesouraria!E27+OrçTesouraria!E33</f>
        <v>0</v>
      </c>
      <c r="F32" s="274">
        <f>OrçTesouraria!F27+OrçTesouraria!F33</f>
        <v>0</v>
      </c>
      <c r="G32" s="274">
        <f>OrçTesouraria!G27+OrçTesouraria!G33</f>
        <v>0</v>
      </c>
      <c r="H32" s="274">
        <f>OrçTesouraria!H27+OrçTesouraria!H33</f>
        <v>0</v>
      </c>
      <c r="I32" s="274">
        <f>OrçTesouraria!I27+OrçTesouraria!I33</f>
        <v>0</v>
      </c>
      <c r="J32" s="274">
        <f>OrçTesouraria!J27+OrçTesouraria!J33</f>
        <v>0</v>
      </c>
      <c r="K32" s="274">
        <f>OrçTesouraria!K27+OrçTesouraria!K33</f>
        <v>0</v>
      </c>
      <c r="L32" s="944">
        <f>OrçTesouraria!L27+OrçTesouraria!L33</f>
        <v>0</v>
      </c>
    </row>
    <row r="33" spans="2:12" x14ac:dyDescent="0.25">
      <c r="B33" s="848" t="s">
        <v>207</v>
      </c>
      <c r="C33" s="274">
        <f>OrçTesouraria!C32</f>
        <v>9285.8625000000011</v>
      </c>
      <c r="D33" s="274">
        <f>OrçTesouraria!D32</f>
        <v>42040.426500000001</v>
      </c>
      <c r="E33" s="274">
        <f>OrçTesouraria!E32</f>
        <v>15430.761</v>
      </c>
      <c r="F33" s="274">
        <f>OrçTesouraria!F32</f>
        <v>0</v>
      </c>
      <c r="G33" s="274">
        <f>OrçTesouraria!G32</f>
        <v>0</v>
      </c>
      <c r="H33" s="274">
        <f>OrçTesouraria!H32</f>
        <v>0</v>
      </c>
      <c r="I33" s="274">
        <f>OrçTesouraria!I32</f>
        <v>0</v>
      </c>
      <c r="J33" s="274">
        <f>OrçTesouraria!J32</f>
        <v>0</v>
      </c>
      <c r="K33" s="274">
        <f>OrçTesouraria!K32</f>
        <v>0</v>
      </c>
      <c r="L33" s="944">
        <f>OrçTesouraria!L32</f>
        <v>0</v>
      </c>
    </row>
    <row r="34" spans="2:12" x14ac:dyDescent="0.25">
      <c r="B34" s="848" t="s">
        <v>208</v>
      </c>
      <c r="C34" s="270"/>
      <c r="D34" s="270"/>
      <c r="E34" s="270"/>
      <c r="F34" s="270"/>
      <c r="G34" s="270"/>
      <c r="H34" s="270"/>
      <c r="I34" s="270"/>
      <c r="J34" s="270"/>
      <c r="K34" s="270"/>
      <c r="L34" s="853"/>
    </row>
    <row r="35" spans="2:12" x14ac:dyDescent="0.25">
      <c r="B35" s="849" t="s">
        <v>209</v>
      </c>
      <c r="C35" s="291">
        <f>OrçTesouraria!C36</f>
        <v>0</v>
      </c>
      <c r="D35" s="291">
        <f>OrçTesouraria!D36</f>
        <v>0</v>
      </c>
      <c r="E35" s="291">
        <f>OrçTesouraria!E36</f>
        <v>0</v>
      </c>
      <c r="F35" s="291">
        <f>OrçTesouraria!F36</f>
        <v>0</v>
      </c>
      <c r="G35" s="291">
        <f>OrçTesouraria!G36</f>
        <v>0</v>
      </c>
      <c r="H35" s="291">
        <f>OrçTesouraria!H36</f>
        <v>0</v>
      </c>
      <c r="I35" s="291">
        <f>OrçTesouraria!I36</f>
        <v>0</v>
      </c>
      <c r="J35" s="291">
        <f>OrçTesouraria!J36</f>
        <v>0</v>
      </c>
      <c r="K35" s="291">
        <f>OrçTesouraria!K36</f>
        <v>0</v>
      </c>
      <c r="L35" s="1143">
        <f>OrçTesouraria!L36</f>
        <v>0</v>
      </c>
    </row>
    <row r="36" spans="2:12" x14ac:dyDescent="0.25">
      <c r="B36" s="850" t="s">
        <v>198</v>
      </c>
      <c r="C36" s="856">
        <f t="shared" ref="C36:L36" si="5">SUM(C29:C35)</f>
        <v>9285.8625000000011</v>
      </c>
      <c r="D36" s="856">
        <f t="shared" si="5"/>
        <v>42040.426500000001</v>
      </c>
      <c r="E36" s="856">
        <f t="shared" si="5"/>
        <v>15430.761</v>
      </c>
      <c r="F36" s="856">
        <f t="shared" si="5"/>
        <v>0</v>
      </c>
      <c r="G36" s="856">
        <f t="shared" si="5"/>
        <v>0</v>
      </c>
      <c r="H36" s="856">
        <f t="shared" si="5"/>
        <v>0</v>
      </c>
      <c r="I36" s="863">
        <f t="shared" si="5"/>
        <v>0</v>
      </c>
      <c r="J36" s="863">
        <f t="shared" si="5"/>
        <v>0</v>
      </c>
      <c r="K36" s="863">
        <f t="shared" si="5"/>
        <v>0</v>
      </c>
      <c r="L36" s="1284">
        <f t="shared" si="5"/>
        <v>0</v>
      </c>
    </row>
    <row r="37" spans="2:12" x14ac:dyDescent="0.25">
      <c r="B37" s="320" t="s">
        <v>199</v>
      </c>
      <c r="C37" s="390"/>
      <c r="D37" s="390"/>
      <c r="E37" s="390"/>
      <c r="F37" s="390"/>
      <c r="G37" s="390"/>
      <c r="H37" s="390"/>
      <c r="I37" s="861"/>
      <c r="J37" s="861"/>
      <c r="K37" s="861"/>
      <c r="L37" s="862"/>
    </row>
    <row r="38" spans="2:12" x14ac:dyDescent="0.25">
      <c r="B38" s="847" t="s">
        <v>210</v>
      </c>
      <c r="C38" s="512">
        <f>OrçTesouraria!C42</f>
        <v>0</v>
      </c>
      <c r="D38" s="512">
        <f>OrçTesouraria!D42</f>
        <v>0</v>
      </c>
      <c r="E38" s="512">
        <f>OrçTesouraria!E42</f>
        <v>0</v>
      </c>
      <c r="F38" s="512">
        <f>OrçTesouraria!F42</f>
        <v>0</v>
      </c>
      <c r="G38" s="512">
        <f>OrçTesouraria!G42</f>
        <v>0</v>
      </c>
      <c r="H38" s="512">
        <f>OrçTesouraria!H42</f>
        <v>0</v>
      </c>
      <c r="I38" s="512">
        <f>OrçTesouraria!I42</f>
        <v>0</v>
      </c>
      <c r="J38" s="512">
        <f>OrçTesouraria!J42</f>
        <v>0</v>
      </c>
      <c r="K38" s="512">
        <f>OrçTesouraria!K42</f>
        <v>0</v>
      </c>
      <c r="L38" s="1281">
        <f>OrçTesouraria!L42</f>
        <v>0</v>
      </c>
    </row>
    <row r="39" spans="2:12" x14ac:dyDescent="0.25">
      <c r="B39" s="848" t="s">
        <v>211</v>
      </c>
      <c r="C39" s="512">
        <f>OrçTesouraria!C43</f>
        <v>0</v>
      </c>
      <c r="D39" s="512">
        <f>OrçTesouraria!D43</f>
        <v>0</v>
      </c>
      <c r="E39" s="512">
        <f>OrçTesouraria!E43</f>
        <v>0</v>
      </c>
      <c r="F39" s="512">
        <f>OrçTesouraria!F43</f>
        <v>0</v>
      </c>
      <c r="G39" s="512">
        <f>OrçTesouraria!G43</f>
        <v>0</v>
      </c>
      <c r="H39" s="512">
        <f>OrçTesouraria!H43</f>
        <v>0</v>
      </c>
      <c r="I39" s="512">
        <f>OrçTesouraria!I43</f>
        <v>0</v>
      </c>
      <c r="J39" s="512">
        <f>OrçTesouraria!J43</f>
        <v>0</v>
      </c>
      <c r="K39" s="512">
        <f>OrçTesouraria!K43</f>
        <v>0</v>
      </c>
      <c r="L39" s="1281">
        <f>OrçTesouraria!L43</f>
        <v>0</v>
      </c>
    </row>
    <row r="40" spans="2:12" x14ac:dyDescent="0.25">
      <c r="B40" s="848" t="s">
        <v>212</v>
      </c>
      <c r="C40" s="274">
        <f>OrçTesouraria!C45</f>
        <v>11615.406263315226</v>
      </c>
      <c r="D40" s="274">
        <f>OrçTesouraria!D45</f>
        <v>11600.152930284705</v>
      </c>
      <c r="E40" s="274">
        <f>OrçTesouraria!E45</f>
        <v>11539.139598162623</v>
      </c>
      <c r="F40" s="274">
        <f>OrçTesouraria!F45</f>
        <v>11478.126266040541</v>
      </c>
      <c r="G40" s="274">
        <f>OrçTesouraria!G45</f>
        <v>11417.112933918459</v>
      </c>
      <c r="H40" s="274">
        <f>OrçTesouraria!H45</f>
        <v>11371.352934826898</v>
      </c>
      <c r="I40" s="274">
        <f>OrçTesouraria!I45</f>
        <v>11371.352934826898</v>
      </c>
      <c r="J40" s="274">
        <f>OrçTesouraria!J45</f>
        <v>11371.352934826898</v>
      </c>
      <c r="K40" s="274">
        <f>OrçTesouraria!K45</f>
        <v>0</v>
      </c>
      <c r="L40" s="944">
        <f>OrçTesouraria!L45</f>
        <v>0</v>
      </c>
    </row>
    <row r="41" spans="2:12" x14ac:dyDescent="0.25">
      <c r="B41" s="848" t="s">
        <v>213</v>
      </c>
      <c r="C41" s="270"/>
      <c r="D41" s="270"/>
      <c r="E41" s="270"/>
      <c r="F41" s="270"/>
      <c r="G41" s="270"/>
      <c r="H41" s="270"/>
      <c r="I41" s="270"/>
      <c r="J41" s="270"/>
      <c r="K41" s="270"/>
      <c r="L41" s="853"/>
    </row>
    <row r="42" spans="2:12" x14ac:dyDescent="0.25">
      <c r="B42" s="848" t="s">
        <v>197</v>
      </c>
      <c r="C42" s="270"/>
      <c r="D42" s="270"/>
      <c r="E42" s="270"/>
      <c r="F42" s="270"/>
      <c r="G42" s="270"/>
      <c r="H42" s="270"/>
      <c r="I42" s="270"/>
      <c r="J42" s="270"/>
      <c r="K42" s="270"/>
      <c r="L42" s="853"/>
    </row>
    <row r="43" spans="2:12" x14ac:dyDescent="0.25">
      <c r="B43" s="848" t="s">
        <v>214</v>
      </c>
      <c r="C43" s="274">
        <f>OrçTesouraria!C46</f>
        <v>0</v>
      </c>
      <c r="D43" s="274">
        <f>OrçTesouraria!D46</f>
        <v>1289.0781249999998</v>
      </c>
      <c r="E43" s="274">
        <f>OrçTesouraria!E46</f>
        <v>1289.0781249999998</v>
      </c>
      <c r="F43" s="274">
        <f>OrçTesouraria!F46</f>
        <v>1289.0781249999998</v>
      </c>
      <c r="G43" s="274">
        <f>OrçTesouraria!G46</f>
        <v>1289.0781249999998</v>
      </c>
      <c r="H43" s="274">
        <f>OrçTesouraria!H46</f>
        <v>0</v>
      </c>
      <c r="I43" s="274">
        <f>OrçTesouraria!I46</f>
        <v>0</v>
      </c>
      <c r="J43" s="274">
        <f>OrçTesouraria!J46</f>
        <v>0</v>
      </c>
      <c r="K43" s="274">
        <f>OrçTesouraria!K46</f>
        <v>0</v>
      </c>
      <c r="L43" s="944">
        <f>OrçTesouraria!L46</f>
        <v>0</v>
      </c>
    </row>
    <row r="44" spans="2:12" x14ac:dyDescent="0.25">
      <c r="B44" s="849" t="s">
        <v>215</v>
      </c>
      <c r="C44" s="388"/>
      <c r="D44" s="388"/>
      <c r="E44" s="388"/>
      <c r="F44" s="388"/>
      <c r="G44" s="388"/>
      <c r="H44" s="388"/>
      <c r="I44" s="388"/>
      <c r="J44" s="388"/>
      <c r="K44" s="388"/>
      <c r="L44" s="855"/>
    </row>
    <row r="45" spans="2:12" x14ac:dyDescent="0.25">
      <c r="B45" s="325" t="s">
        <v>198</v>
      </c>
      <c r="C45" s="856">
        <f t="shared" ref="C45:L45" si="6">SUM(C38:C44)</f>
        <v>11615.406263315226</v>
      </c>
      <c r="D45" s="856">
        <f t="shared" si="6"/>
        <v>12889.231055284705</v>
      </c>
      <c r="E45" s="856">
        <f t="shared" si="6"/>
        <v>12828.217723162623</v>
      </c>
      <c r="F45" s="856">
        <f t="shared" si="6"/>
        <v>12767.204391040541</v>
      </c>
      <c r="G45" s="856">
        <f t="shared" si="6"/>
        <v>12706.191058918459</v>
      </c>
      <c r="H45" s="856">
        <f t="shared" si="6"/>
        <v>11371.352934826898</v>
      </c>
      <c r="I45" s="863">
        <f t="shared" si="6"/>
        <v>11371.352934826898</v>
      </c>
      <c r="J45" s="863">
        <f t="shared" si="6"/>
        <v>11371.352934826898</v>
      </c>
      <c r="K45" s="863">
        <f t="shared" si="6"/>
        <v>0</v>
      </c>
      <c r="L45" s="1284">
        <f t="shared" si="6"/>
        <v>0</v>
      </c>
    </row>
    <row r="46" spans="2:12" x14ac:dyDescent="0.25">
      <c r="B46" s="322" t="s">
        <v>216</v>
      </c>
      <c r="C46" s="856">
        <f t="shared" ref="C46:L46" si="7">C36-C45</f>
        <v>-2329.5437633152251</v>
      </c>
      <c r="D46" s="856">
        <f t="shared" si="7"/>
        <v>29151.195444715297</v>
      </c>
      <c r="E46" s="856">
        <f t="shared" si="7"/>
        <v>2602.5432768373776</v>
      </c>
      <c r="F46" s="856">
        <f t="shared" si="7"/>
        <v>-12767.204391040541</v>
      </c>
      <c r="G46" s="856">
        <f t="shared" si="7"/>
        <v>-12706.191058918459</v>
      </c>
      <c r="H46" s="856">
        <f t="shared" si="7"/>
        <v>-11371.352934826898</v>
      </c>
      <c r="I46" s="863">
        <f t="shared" si="7"/>
        <v>-11371.352934826898</v>
      </c>
      <c r="J46" s="863">
        <f t="shared" si="7"/>
        <v>-11371.352934826898</v>
      </c>
      <c r="K46" s="863">
        <f t="shared" si="7"/>
        <v>0</v>
      </c>
      <c r="L46" s="1284">
        <f t="shared" si="7"/>
        <v>0</v>
      </c>
    </row>
    <row r="47" spans="2:12" x14ac:dyDescent="0.25">
      <c r="B47" s="847" t="s">
        <v>217</v>
      </c>
      <c r="C47" s="512">
        <f>C10+C26+C46</f>
        <v>-197413.77958332645</v>
      </c>
      <c r="D47" s="512">
        <f t="shared" ref="D47:L47" si="8">D10+D26+D46</f>
        <v>37216.124493068521</v>
      </c>
      <c r="E47" s="512">
        <f t="shared" si="8"/>
        <v>39590.769330865405</v>
      </c>
      <c r="F47" s="512">
        <f t="shared" si="8"/>
        <v>35073.170389495506</v>
      </c>
      <c r="G47" s="512">
        <f t="shared" si="8"/>
        <v>60763.582325739117</v>
      </c>
      <c r="H47" s="512">
        <f t="shared" si="8"/>
        <v>59926.5860637433</v>
      </c>
      <c r="I47" s="512">
        <f t="shared" si="8"/>
        <v>59736.260649687574</v>
      </c>
      <c r="J47" s="512">
        <f t="shared" si="8"/>
        <v>61099.466684498089</v>
      </c>
      <c r="K47" s="512">
        <f t="shared" si="8"/>
        <v>73918.73798058962</v>
      </c>
      <c r="L47" s="1281">
        <f t="shared" si="8"/>
        <v>72766.876955770655</v>
      </c>
    </row>
    <row r="48" spans="2:12" x14ac:dyDescent="0.25">
      <c r="B48" s="848" t="s">
        <v>218</v>
      </c>
      <c r="C48" s="270"/>
      <c r="D48" s="270"/>
      <c r="E48" s="270"/>
      <c r="F48" s="270"/>
      <c r="G48" s="270"/>
      <c r="H48" s="270"/>
      <c r="I48" s="270"/>
      <c r="J48" s="270"/>
      <c r="K48" s="270"/>
      <c r="L48" s="853"/>
    </row>
    <row r="49" spans="2:12" x14ac:dyDescent="0.25">
      <c r="B49" s="849" t="s">
        <v>219</v>
      </c>
      <c r="C49" s="291">
        <f>OrçTesouraria!C26</f>
        <v>215805.41</v>
      </c>
      <c r="D49" s="291">
        <f>C50</f>
        <v>18391.63041667355</v>
      </c>
      <c r="E49" s="291">
        <f t="shared" ref="E49:L49" si="9">D50</f>
        <v>55607.754909742071</v>
      </c>
      <c r="F49" s="291">
        <f t="shared" si="9"/>
        <v>95198.524240607483</v>
      </c>
      <c r="G49" s="291">
        <f t="shared" si="9"/>
        <v>130271.69463010298</v>
      </c>
      <c r="H49" s="291">
        <f t="shared" si="9"/>
        <v>191035.2769558421</v>
      </c>
      <c r="I49" s="291">
        <f t="shared" si="9"/>
        <v>250961.86301958541</v>
      </c>
      <c r="J49" s="291">
        <f t="shared" si="9"/>
        <v>310698.12366927299</v>
      </c>
      <c r="K49" s="291">
        <f t="shared" si="9"/>
        <v>371797.59035377105</v>
      </c>
      <c r="L49" s="1143">
        <f t="shared" si="9"/>
        <v>445716.32833436067</v>
      </c>
    </row>
    <row r="50" spans="2:12" ht="12" thickBot="1" x14ac:dyDescent="0.3">
      <c r="B50" s="326" t="s">
        <v>220</v>
      </c>
      <c r="C50" s="1282">
        <f>SUM(C47:C49)</f>
        <v>18391.63041667355</v>
      </c>
      <c r="D50" s="1282">
        <f t="shared" ref="D50:L50" si="10">SUM(D47:D49)</f>
        <v>55607.754909742071</v>
      </c>
      <c r="E50" s="1282">
        <f t="shared" si="10"/>
        <v>95198.524240607483</v>
      </c>
      <c r="F50" s="1282">
        <f t="shared" si="10"/>
        <v>130271.69463010298</v>
      </c>
      <c r="G50" s="1282">
        <f t="shared" si="10"/>
        <v>191035.2769558421</v>
      </c>
      <c r="H50" s="1282">
        <f t="shared" si="10"/>
        <v>250961.86301958541</v>
      </c>
      <c r="I50" s="1282">
        <f t="shared" si="10"/>
        <v>310698.12366927299</v>
      </c>
      <c r="J50" s="1282">
        <f t="shared" si="10"/>
        <v>371797.59035377105</v>
      </c>
      <c r="K50" s="1282">
        <f t="shared" si="10"/>
        <v>445716.32833436067</v>
      </c>
      <c r="L50" s="1283">
        <f t="shared" si="10"/>
        <v>518483.20529013133</v>
      </c>
    </row>
    <row r="51" spans="2:12" x14ac:dyDescent="0.25">
      <c r="B51" s="327"/>
      <c r="C51" s="328"/>
      <c r="D51" s="329"/>
      <c r="E51" s="328"/>
      <c r="F51" s="329"/>
      <c r="G51" s="329"/>
      <c r="H51" s="329"/>
      <c r="I51" s="329"/>
      <c r="J51" s="329"/>
      <c r="K51" s="329"/>
      <c r="L51" s="330"/>
    </row>
    <row r="52" spans="2:12" x14ac:dyDescent="0.25">
      <c r="B52" s="331"/>
      <c r="C52" s="332"/>
      <c r="D52" s="332"/>
      <c r="E52" s="332"/>
      <c r="F52" s="332"/>
      <c r="G52" s="332"/>
      <c r="H52" s="332"/>
      <c r="I52" s="332"/>
      <c r="J52" s="332"/>
      <c r="K52" s="332"/>
      <c r="L52" s="332"/>
    </row>
    <row r="53" spans="2:12" x14ac:dyDescent="0.25">
      <c r="C53" s="333">
        <f>C50-OrçTesouraria!C51</f>
        <v>-5158.8124999993597</v>
      </c>
      <c r="D53" s="333">
        <f>D50-OrçTesouraria!D51</f>
        <v>-28514.604999998875</v>
      </c>
      <c r="E53" s="333">
        <f>E50-OrçTesouraria!E51</f>
        <v>-37087.249999997992</v>
      </c>
      <c r="F53" s="333">
        <f>F50-OrçTesouraria!F51</f>
        <v>-37087.249999997992</v>
      </c>
      <c r="G53" s="333">
        <f>G50-OrçTesouraria!G51</f>
        <v>-37087.249999997875</v>
      </c>
      <c r="H53" s="333">
        <f>H50-OrçTesouraria!H51</f>
        <v>-37087.24999999741</v>
      </c>
      <c r="I53" s="333">
        <f>I50-OrçTesouraria!I51</f>
        <v>-37087.249999997264</v>
      </c>
      <c r="J53" s="333">
        <f>J50-OrçTesouraria!J51</f>
        <v>-37087.249999996973</v>
      </c>
      <c r="K53" s="333">
        <f>K50-OrçTesouraria!K51</f>
        <v>-37087.24999999709</v>
      </c>
      <c r="L53" s="333">
        <f>L50-OrçTesouraria!L51</f>
        <v>-37087.249999997497</v>
      </c>
    </row>
    <row r="54" spans="2:12" x14ac:dyDescent="0.25">
      <c r="C54" s="333"/>
      <c r="D54" s="333"/>
      <c r="E54" s="333"/>
      <c r="F54" s="333"/>
      <c r="G54" s="333"/>
    </row>
    <row r="55" spans="2:12" x14ac:dyDescent="0.25">
      <c r="C55" s="333"/>
      <c r="D55" s="333"/>
      <c r="E55" s="333"/>
      <c r="F55" s="333"/>
      <c r="G55" s="333"/>
      <c r="H55" s="333"/>
      <c r="I55" s="333"/>
      <c r="J55" s="333"/>
      <c r="K55" s="333"/>
      <c r="L55" s="333"/>
    </row>
    <row r="56" spans="2:12" x14ac:dyDescent="0.25">
      <c r="C56" s="333"/>
      <c r="D56" s="333"/>
      <c r="E56" s="333"/>
      <c r="F56" s="333"/>
      <c r="G56" s="333"/>
    </row>
    <row r="57" spans="2:12" x14ac:dyDescent="0.25">
      <c r="C57" s="333"/>
      <c r="D57" s="333"/>
      <c r="E57" s="333"/>
      <c r="F57" s="333"/>
      <c r="G57" s="333"/>
    </row>
    <row r="58" spans="2:12" x14ac:dyDescent="0.25">
      <c r="C58" s="333"/>
      <c r="D58" s="333"/>
      <c r="E58" s="333"/>
      <c r="F58" s="333"/>
      <c r="G58" s="333"/>
    </row>
    <row r="59" spans="2:12" x14ac:dyDescent="0.25">
      <c r="C59" s="333"/>
      <c r="D59" s="333"/>
      <c r="E59" s="333"/>
      <c r="F59" s="333"/>
      <c r="G59" s="333"/>
    </row>
    <row r="60" spans="2:12" x14ac:dyDescent="0.25">
      <c r="C60" s="333"/>
      <c r="D60" s="333"/>
      <c r="E60" s="333"/>
      <c r="F60" s="333"/>
      <c r="G60" s="333"/>
    </row>
    <row r="61" spans="2:12" x14ac:dyDescent="0.25">
      <c r="C61" s="333"/>
      <c r="D61" s="333"/>
      <c r="E61" s="333"/>
      <c r="F61" s="333"/>
      <c r="G61" s="333"/>
    </row>
    <row r="62" spans="2:12" x14ac:dyDescent="0.25">
      <c r="C62" s="333"/>
      <c r="D62" s="333"/>
      <c r="E62" s="333"/>
      <c r="F62" s="333"/>
      <c r="G62" s="333"/>
    </row>
    <row r="63" spans="2:12" x14ac:dyDescent="0.25">
      <c r="C63" s="333"/>
      <c r="D63" s="333"/>
      <c r="E63" s="333"/>
      <c r="F63" s="333"/>
      <c r="G63" s="333"/>
    </row>
    <row r="64" spans="2:12" x14ac:dyDescent="0.25">
      <c r="C64" s="333"/>
      <c r="D64" s="333"/>
      <c r="E64" s="333"/>
      <c r="F64" s="333"/>
      <c r="G64" s="333"/>
    </row>
    <row r="92" spans="2:2" x14ac:dyDescent="0.25">
      <c r="B92" s="334" t="s">
        <v>221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5"/>
  <dimension ref="A2:Z65"/>
  <sheetViews>
    <sheetView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M41" sqref="M41"/>
    </sheetView>
  </sheetViews>
  <sheetFormatPr defaultColWidth="9.140625" defaultRowHeight="11.25" x14ac:dyDescent="0.25"/>
  <cols>
    <col min="1" max="1" width="2.140625" style="77" customWidth="1"/>
    <col min="2" max="2" width="24.85546875" style="77" customWidth="1"/>
    <col min="3" max="3" width="15.42578125" style="77" customWidth="1"/>
    <col min="4" max="5" width="13.5703125" style="77" customWidth="1"/>
    <col min="6" max="6" width="14" style="77" customWidth="1"/>
    <col min="7" max="7" width="13.85546875" style="77" customWidth="1"/>
    <col min="8" max="8" width="14.140625" style="77" customWidth="1"/>
    <col min="9" max="9" width="13.85546875" style="77" customWidth="1"/>
    <col min="10" max="10" width="14" style="77" customWidth="1"/>
    <col min="11" max="11" width="13.42578125" style="77" customWidth="1"/>
    <col min="12" max="12" width="14.85546875" style="77" customWidth="1"/>
    <col min="13" max="26" width="9.140625" style="77"/>
    <col min="27" max="16384" width="9.140625" style="13"/>
  </cols>
  <sheetData>
    <row r="2" spans="2:26" x14ac:dyDescent="0.25">
      <c r="B2" s="2048" t="s">
        <v>400</v>
      </c>
      <c r="C2" s="2049"/>
      <c r="D2" s="2049"/>
      <c r="E2" s="2049"/>
      <c r="F2" s="2049"/>
      <c r="G2" s="2049"/>
      <c r="H2" s="2049"/>
      <c r="I2" s="2049"/>
      <c r="J2" s="2049"/>
      <c r="K2" s="2049"/>
      <c r="L2" s="2050"/>
    </row>
    <row r="3" spans="2:26" x14ac:dyDescent="0.25">
      <c r="B3" s="1023"/>
      <c r="C3" s="1024"/>
      <c r="D3" s="1024"/>
      <c r="E3" s="1024"/>
      <c r="F3" s="1024"/>
      <c r="G3" s="1024"/>
      <c r="H3" s="1024"/>
      <c r="I3" s="1024"/>
      <c r="J3" s="1024"/>
      <c r="K3" s="1025"/>
      <c r="L3" s="1026"/>
      <c r="Z3" s="13"/>
    </row>
    <row r="4" spans="2:26" x14ac:dyDescent="0.25">
      <c r="B4" s="1027"/>
      <c r="C4" s="1028">
        <f>Pressupostos!C11</f>
        <v>2020</v>
      </c>
      <c r="D4" s="1028">
        <f t="shared" ref="D4:I4" si="0">C4+1</f>
        <v>2021</v>
      </c>
      <c r="E4" s="1028">
        <f t="shared" si="0"/>
        <v>2022</v>
      </c>
      <c r="F4" s="1028">
        <f t="shared" si="0"/>
        <v>2023</v>
      </c>
      <c r="G4" s="1028">
        <f t="shared" si="0"/>
        <v>2024</v>
      </c>
      <c r="H4" s="1028">
        <f t="shared" si="0"/>
        <v>2025</v>
      </c>
      <c r="I4" s="1028">
        <f t="shared" si="0"/>
        <v>2026</v>
      </c>
      <c r="J4" s="1028">
        <f>I4+1</f>
        <v>2027</v>
      </c>
      <c r="K4" s="1028">
        <f>J4+1</f>
        <v>2028</v>
      </c>
      <c r="L4" s="1028">
        <f>K4+1</f>
        <v>2029</v>
      </c>
      <c r="Z4" s="13"/>
    </row>
    <row r="5" spans="2:26" x14ac:dyDescent="0.25">
      <c r="B5" s="1023"/>
      <c r="C5" s="1024"/>
      <c r="D5" s="1024"/>
      <c r="E5" s="1024"/>
      <c r="F5" s="1024"/>
      <c r="G5" s="1024"/>
      <c r="H5" s="1024"/>
      <c r="I5" s="1024"/>
      <c r="J5" s="1024"/>
      <c r="K5" s="1024"/>
      <c r="L5" s="1029"/>
      <c r="Z5" s="13"/>
    </row>
    <row r="6" spans="2:26" x14ac:dyDescent="0.25">
      <c r="B6" s="1030" t="s">
        <v>401</v>
      </c>
      <c r="C6" s="1031"/>
      <c r="D6" s="1031"/>
      <c r="E6" s="1031"/>
      <c r="F6" s="1031"/>
      <c r="G6" s="1031"/>
      <c r="H6" s="1031"/>
      <c r="I6" s="1031"/>
      <c r="J6" s="1031"/>
      <c r="K6" s="1031"/>
      <c r="L6" s="1032"/>
      <c r="Z6" s="13"/>
    </row>
    <row r="7" spans="2:26" x14ac:dyDescent="0.25">
      <c r="B7" s="1033" t="s">
        <v>402</v>
      </c>
      <c r="C7" s="1034">
        <f>FM!H27</f>
        <v>4162150.207298575</v>
      </c>
      <c r="D7" s="1034">
        <f>FM!I27</f>
        <v>4744699.8753546644</v>
      </c>
      <c r="E7" s="1034">
        <f>FM!J27</f>
        <v>5031754.2178136222</v>
      </c>
      <c r="F7" s="1034">
        <f>FM!K27</f>
        <v>5336175.3479913455</v>
      </c>
      <c r="G7" s="1034">
        <f>FM!L27</f>
        <v>5494988.4892404499</v>
      </c>
      <c r="H7" s="1034">
        <f>FM!M27</f>
        <v>5605437.7578741824</v>
      </c>
      <c r="I7" s="1034">
        <f>FM!N27</f>
        <v>5718107.0568074528</v>
      </c>
      <c r="J7" s="1034">
        <f>FM!O27</f>
        <v>5833041.0086492822</v>
      </c>
      <c r="K7" s="1034">
        <f>FM!P27</f>
        <v>5950285.1329231327</v>
      </c>
      <c r="L7" s="1034">
        <f>FM!Q27</f>
        <v>6069885.8640948888</v>
      </c>
      <c r="Z7" s="13"/>
    </row>
    <row r="8" spans="2:26" x14ac:dyDescent="0.25">
      <c r="B8" s="1035" t="s">
        <v>403</v>
      </c>
      <c r="C8" s="1036">
        <f>'DR Empresa'!C6+'DR Empresa'!C8+'DR Empresa'!C9+'DR Empresa'!C19</f>
        <v>9281.3625000000011</v>
      </c>
      <c r="D8" s="1036">
        <f>'DR Empresa'!D6+'DR Empresa'!D8+'DR Empresa'!D9+'DR Empresa'!D19</f>
        <v>53448.75</v>
      </c>
      <c r="E8" s="1036">
        <f>'DR Empresa'!E6+'DR Empresa'!E8+'DR Empresa'!E9+'DR Empresa'!E19</f>
        <v>19276.875</v>
      </c>
      <c r="F8" s="1036">
        <f>'DR Empresa'!F6+'DR Empresa'!F8+'DR Empresa'!F9+'DR Empresa'!F19</f>
        <v>3262.5</v>
      </c>
      <c r="G8" s="1036">
        <f>'DR Empresa'!G6+'DR Empresa'!G8+'DR Empresa'!G9+'DR Empresa'!G19</f>
        <v>3262.5</v>
      </c>
      <c r="H8" s="1036">
        <f>'DR Empresa'!H6+'DR Empresa'!H8+'DR Empresa'!H9+'DR Empresa'!H19</f>
        <v>0</v>
      </c>
      <c r="I8" s="1036">
        <f>'DR Empresa'!I6+'DR Empresa'!I8+'DR Empresa'!I9+'DR Empresa'!I19</f>
        <v>0</v>
      </c>
      <c r="J8" s="1036">
        <f>'DR Empresa'!J6+'DR Empresa'!J8+'DR Empresa'!J9+'DR Empresa'!J19</f>
        <v>0</v>
      </c>
      <c r="K8" s="1036">
        <f>'DR Empresa'!K6+'DR Empresa'!K8+'DR Empresa'!K9+'DR Empresa'!K19</f>
        <v>0</v>
      </c>
      <c r="L8" s="1036">
        <f>'DR Empresa'!L6+'DR Empresa'!L8+'DR Empresa'!L9+'DR Empresa'!L19</f>
        <v>0</v>
      </c>
      <c r="Z8" s="13"/>
    </row>
    <row r="9" spans="2:26" x14ac:dyDescent="0.25">
      <c r="B9" s="1037" t="s">
        <v>404</v>
      </c>
      <c r="C9" s="1038">
        <f>SUM(C7:C8)</f>
        <v>4171431.5697985748</v>
      </c>
      <c r="D9" s="1038">
        <f t="shared" ref="D9:L9" si="1">SUM(D7:D8)</f>
        <v>4798148.6253546644</v>
      </c>
      <c r="E9" s="1038">
        <f t="shared" si="1"/>
        <v>5051031.0928136222</v>
      </c>
      <c r="F9" s="1038">
        <f t="shared" si="1"/>
        <v>5339437.8479913455</v>
      </c>
      <c r="G9" s="1038">
        <f t="shared" si="1"/>
        <v>5498250.9892404499</v>
      </c>
      <c r="H9" s="1038">
        <f t="shared" si="1"/>
        <v>5605437.7578741824</v>
      </c>
      <c r="I9" s="1038">
        <f t="shared" si="1"/>
        <v>5718107.0568074528</v>
      </c>
      <c r="J9" s="1038">
        <f t="shared" si="1"/>
        <v>5833041.0086492822</v>
      </c>
      <c r="K9" s="1038">
        <f t="shared" si="1"/>
        <v>5950285.1329231327</v>
      </c>
      <c r="L9" s="1038">
        <f t="shared" si="1"/>
        <v>6069885.8640948888</v>
      </c>
      <c r="Z9" s="13"/>
    </row>
    <row r="10" spans="2:26" x14ac:dyDescent="0.25">
      <c r="B10" s="1039"/>
      <c r="C10" s="1040"/>
      <c r="D10" s="1040"/>
      <c r="E10" s="1040"/>
      <c r="F10" s="1040"/>
      <c r="G10" s="1040"/>
      <c r="H10" s="1040"/>
      <c r="I10" s="1040"/>
      <c r="J10" s="1040"/>
      <c r="K10" s="1040"/>
      <c r="L10" s="1041"/>
      <c r="Z10" s="13"/>
    </row>
    <row r="11" spans="2:26" x14ac:dyDescent="0.25">
      <c r="B11" s="1030" t="s">
        <v>405</v>
      </c>
      <c r="C11" s="1040"/>
      <c r="D11" s="1040"/>
      <c r="E11" s="1040"/>
      <c r="F11" s="1040"/>
      <c r="G11" s="1040"/>
      <c r="H11" s="1040"/>
      <c r="I11" s="1040"/>
      <c r="J11" s="1040"/>
      <c r="K11" s="1040"/>
      <c r="L11" s="1041"/>
      <c r="Z11" s="13"/>
    </row>
    <row r="12" spans="2:26" x14ac:dyDescent="0.25">
      <c r="B12" s="1033" t="s">
        <v>406</v>
      </c>
      <c r="C12" s="1034">
        <f>FM!H34</f>
        <v>3441245.0917372014</v>
      </c>
      <c r="D12" s="1034">
        <f>FM!I34</f>
        <v>3750675.8902879106</v>
      </c>
      <c r="E12" s="1034">
        <f>FM!J34</f>
        <v>3949942.1026978446</v>
      </c>
      <c r="F12" s="1034">
        <f>FM!K34</f>
        <v>4191040.4982920238</v>
      </c>
      <c r="G12" s="1034">
        <f>FM!L34</f>
        <v>4296246.5257878471</v>
      </c>
      <c r="H12" s="1034">
        <f>FM!M34</f>
        <v>4382601.0809561843</v>
      </c>
      <c r="I12" s="1034">
        <f>FM!N34</f>
        <v>4470691.3626834024</v>
      </c>
      <c r="J12" s="1034">
        <f>FM!O34</f>
        <v>4560552.2590733385</v>
      </c>
      <c r="K12" s="1034">
        <f>FM!P34</f>
        <v>4652219.3594807116</v>
      </c>
      <c r="L12" s="1034">
        <f>FM!Q34</f>
        <v>4745728.9686062755</v>
      </c>
      <c r="Z12" s="13"/>
    </row>
    <row r="13" spans="2:26" x14ac:dyDescent="0.25">
      <c r="B13" s="1042" t="s">
        <v>407</v>
      </c>
      <c r="C13" s="1043">
        <f>RH!D4+IVA!C31</f>
        <v>210539.7523125</v>
      </c>
      <c r="D13" s="1043">
        <f>RH!E4+IVA!D31</f>
        <v>253020.88462124998</v>
      </c>
      <c r="E13" s="1043">
        <f>RH!F4+IVA!E31</f>
        <v>269421.302313675</v>
      </c>
      <c r="F13" s="1043">
        <f>RH!G4+IVA!F31</f>
        <v>275177.22835994849</v>
      </c>
      <c r="G13" s="1043">
        <f>RH!H4+IVA!G31</f>
        <v>280680.77292714745</v>
      </c>
      <c r="H13" s="1043">
        <f>RH!I4+IVA!H31</f>
        <v>286294.3883856904</v>
      </c>
      <c r="I13" s="1043">
        <f>RH!J4+IVA!I31</f>
        <v>292020.27615340421</v>
      </c>
      <c r="J13" s="1043">
        <f>RH!K4+IVA!J31</f>
        <v>297860.6816764723</v>
      </c>
      <c r="K13" s="1043">
        <f>RH!L4+IVA!K31</f>
        <v>303817.89531000174</v>
      </c>
      <c r="L13" s="1043">
        <f>RH!M4+IVA!L31</f>
        <v>309894.25321620179</v>
      </c>
      <c r="Z13" s="13"/>
    </row>
    <row r="14" spans="2:26" x14ac:dyDescent="0.25">
      <c r="B14" s="1042" t="s">
        <v>408</v>
      </c>
      <c r="C14" s="1043">
        <f>FSE!D6*(1+Pressupostos!C27)</f>
        <v>654945.40447800001</v>
      </c>
      <c r="D14" s="1043">
        <f>FSE!E6*(1+Pressupostos!D27)</f>
        <v>672360.25132592523</v>
      </c>
      <c r="E14" s="1043">
        <f>FSE!F6*(1+Pressupostos!E27)</f>
        <v>707319.07543114363</v>
      </c>
      <c r="F14" s="1043">
        <f>FSE!G6*(1+Pressupostos!F27)</f>
        <v>730806.53749472764</v>
      </c>
      <c r="G14" s="1043">
        <f>FSE!H6*(1+Pressupostos!G27)</f>
        <v>745495.7488983717</v>
      </c>
      <c r="H14" s="1043">
        <f>FSE!I6*(1+Pressupostos!H27)</f>
        <v>760480.21345122904</v>
      </c>
      <c r="I14" s="1043">
        <f>FSE!J6*(1+Pressupostos!I27)</f>
        <v>775765.86574159865</v>
      </c>
      <c r="J14" s="1043">
        <f>FSE!K6*(1+Pressupostos!J27)</f>
        <v>791358.75964300474</v>
      </c>
      <c r="K14" s="1043">
        <f>FSE!L6*(1+Pressupostos!K27)</f>
        <v>807265.070711829</v>
      </c>
      <c r="L14" s="1043">
        <f>FSE!M6*(1+Pressupostos!L27)</f>
        <v>823491.09863313683</v>
      </c>
      <c r="Z14" s="13"/>
    </row>
    <row r="15" spans="2:26" x14ac:dyDescent="0.25">
      <c r="B15" s="1042" t="s">
        <v>409</v>
      </c>
      <c r="C15" s="1043">
        <f>SaldosDivida!B109</f>
        <v>56.856764674134496</v>
      </c>
      <c r="D15" s="1043">
        <f>SaldosDivida!C109</f>
        <v>56.856764674134496</v>
      </c>
      <c r="E15" s="1043">
        <f>SaldosDivida!D109</f>
        <v>56.856764674134496</v>
      </c>
      <c r="F15" s="1043">
        <f>SaldosDivida!E109</f>
        <v>56.856764674134496</v>
      </c>
      <c r="G15" s="1043">
        <f>SaldosDivida!F109</f>
        <v>56.856764674134496</v>
      </c>
      <c r="H15" s="1043">
        <f>SaldosDivida!G109</f>
        <v>56.856764674134496</v>
      </c>
      <c r="I15" s="1043">
        <f>SaldosDivida!H109</f>
        <v>56.856764674134496</v>
      </c>
      <c r="J15" s="1043">
        <f>SaldosDivida!I109</f>
        <v>56.856764674134496</v>
      </c>
      <c r="K15" s="1043">
        <f>SaldosDivida!J109</f>
        <v>0</v>
      </c>
      <c r="L15" s="1043">
        <f>SaldosDivida!K109</f>
        <v>0</v>
      </c>
      <c r="Z15" s="13"/>
    </row>
    <row r="16" spans="2:26" x14ac:dyDescent="0.25">
      <c r="B16" s="1044" t="s">
        <v>410</v>
      </c>
      <c r="C16" s="1043">
        <f>IVA!C13</f>
        <v>76558.630326210681</v>
      </c>
      <c r="D16" s="1043">
        <f>IVA!D13</f>
        <v>50625.131688036599</v>
      </c>
      <c r="E16" s="1043">
        <f>IVA!E13</f>
        <v>68351.196235974829</v>
      </c>
      <c r="F16" s="1043">
        <f>IVA!F13</f>
        <v>75430.987128316992</v>
      </c>
      <c r="G16" s="1043">
        <f>IVA!G13</f>
        <v>79244.815811134045</v>
      </c>
      <c r="H16" s="1043">
        <f>IVA!H13</f>
        <v>80837.636608937653</v>
      </c>
      <c r="I16" s="1043">
        <f>IVA!I13</f>
        <v>82462.473104777411</v>
      </c>
      <c r="J16" s="1043">
        <f>IVA!J13</f>
        <v>84119.968814183492</v>
      </c>
      <c r="K16" s="1043">
        <f>IVA!K13</f>
        <v>85810.780187348471</v>
      </c>
      <c r="L16" s="1043">
        <f>IVA!L13</f>
        <v>87535.576869114171</v>
      </c>
      <c r="Z16" s="13"/>
    </row>
    <row r="17" spans="2:26" x14ac:dyDescent="0.25">
      <c r="B17" s="1045" t="s">
        <v>411</v>
      </c>
      <c r="C17" s="1046">
        <f>'DR Empresa'!C20</f>
        <v>0</v>
      </c>
      <c r="D17" s="1046">
        <f>'DR Empresa'!D20</f>
        <v>0</v>
      </c>
      <c r="E17" s="1046">
        <f>'DR Empresa'!E20</f>
        <v>0</v>
      </c>
      <c r="F17" s="1046">
        <f>'DR Empresa'!F20</f>
        <v>0</v>
      </c>
      <c r="G17" s="1046">
        <f>'DR Empresa'!G20</f>
        <v>0</v>
      </c>
      <c r="H17" s="1046">
        <f>'DR Empresa'!H20</f>
        <v>0</v>
      </c>
      <c r="I17" s="1046">
        <f>'DR Empresa'!I20</f>
        <v>0</v>
      </c>
      <c r="J17" s="1046">
        <f>'DR Empresa'!J20</f>
        <v>0</v>
      </c>
      <c r="K17" s="1046">
        <f>'DR Empresa'!K20</f>
        <v>0</v>
      </c>
      <c r="L17" s="1046">
        <f>'DR Empresa'!L20</f>
        <v>0</v>
      </c>
      <c r="Z17" s="13"/>
    </row>
    <row r="18" spans="2:26" x14ac:dyDescent="0.25">
      <c r="B18" s="1037" t="s">
        <v>412</v>
      </c>
      <c r="C18" s="1038">
        <f>SUM(C12:C17)</f>
        <v>4383345.7356185867</v>
      </c>
      <c r="D18" s="1038">
        <f t="shared" ref="D18:L18" si="2">SUM(D12:D17)</f>
        <v>4726739.0146877971</v>
      </c>
      <c r="E18" s="1038">
        <f t="shared" si="2"/>
        <v>4995090.5334433131</v>
      </c>
      <c r="F18" s="1038">
        <f t="shared" si="2"/>
        <v>5272512.1080396911</v>
      </c>
      <c r="G18" s="1038">
        <f t="shared" si="2"/>
        <v>5401724.7201891746</v>
      </c>
      <c r="H18" s="1038">
        <f t="shared" si="2"/>
        <v>5510270.176166716</v>
      </c>
      <c r="I18" s="1038">
        <f t="shared" si="2"/>
        <v>5620996.834447857</v>
      </c>
      <c r="J18" s="1038">
        <f t="shared" si="2"/>
        <v>5733948.5259716734</v>
      </c>
      <c r="K18" s="1038">
        <f t="shared" si="2"/>
        <v>5849113.1056898907</v>
      </c>
      <c r="L18" s="1038">
        <f t="shared" si="2"/>
        <v>5966649.8973247278</v>
      </c>
      <c r="Z18" s="13"/>
    </row>
    <row r="19" spans="2:26" x14ac:dyDescent="0.25">
      <c r="B19" s="1047"/>
      <c r="C19" s="1048"/>
      <c r="D19" s="1048"/>
      <c r="E19" s="1048"/>
      <c r="F19" s="1048"/>
      <c r="G19" s="1048"/>
      <c r="H19" s="1048"/>
      <c r="I19" s="1048"/>
      <c r="J19" s="1048"/>
      <c r="K19" s="1048"/>
      <c r="L19" s="1049"/>
      <c r="Z19" s="13"/>
    </row>
    <row r="20" spans="2:26" x14ac:dyDescent="0.25">
      <c r="B20" s="1050" t="s">
        <v>413</v>
      </c>
      <c r="C20" s="1051">
        <f>C9-C18</f>
        <v>-211914.16582001187</v>
      </c>
      <c r="D20" s="1051">
        <f t="shared" ref="D20:L20" si="3">D9-D18</f>
        <v>71409.610666867346</v>
      </c>
      <c r="E20" s="1051">
        <f t="shared" si="3"/>
        <v>55940.559370309114</v>
      </c>
      <c r="F20" s="1051">
        <f t="shared" si="3"/>
        <v>66925.739951654337</v>
      </c>
      <c r="G20" s="1051">
        <f t="shared" si="3"/>
        <v>96526.269051275216</v>
      </c>
      <c r="H20" s="1051">
        <f t="shared" si="3"/>
        <v>95167.581707466394</v>
      </c>
      <c r="I20" s="1051">
        <f t="shared" si="3"/>
        <v>97110.22235959582</v>
      </c>
      <c r="J20" s="1051">
        <f t="shared" si="3"/>
        <v>99092.482677608728</v>
      </c>
      <c r="K20" s="1051">
        <f t="shared" si="3"/>
        <v>101172.02723324206</v>
      </c>
      <c r="L20" s="1051">
        <f t="shared" si="3"/>
        <v>103235.96677016094</v>
      </c>
      <c r="Z20" s="13"/>
    </row>
    <row r="21" spans="2:26" x14ac:dyDescent="0.25">
      <c r="B21" s="1052"/>
      <c r="C21" s="1053"/>
      <c r="D21" s="1053"/>
      <c r="E21" s="1053"/>
      <c r="F21" s="1053"/>
      <c r="G21" s="1053"/>
      <c r="Z21" s="13"/>
    </row>
    <row r="22" spans="2:26" x14ac:dyDescent="0.25">
      <c r="B22" s="2051" t="s">
        <v>414</v>
      </c>
      <c r="C22" s="2051"/>
      <c r="D22" s="2051"/>
      <c r="E22" s="2051"/>
      <c r="F22" s="2051"/>
      <c r="G22" s="2051"/>
      <c r="H22" s="2051"/>
      <c r="I22" s="2051"/>
      <c r="J22" s="2051"/>
      <c r="K22" s="2051"/>
      <c r="L22" s="2051"/>
      <c r="Z22" s="13"/>
    </row>
    <row r="23" spans="2:26" x14ac:dyDescent="0.25">
      <c r="B23" s="1054"/>
      <c r="C23" s="1028">
        <f t="shared" ref="C23:I23" si="4">C4</f>
        <v>2020</v>
      </c>
      <c r="D23" s="1028">
        <f t="shared" si="4"/>
        <v>2021</v>
      </c>
      <c r="E23" s="1028">
        <f t="shared" si="4"/>
        <v>2022</v>
      </c>
      <c r="F23" s="1028">
        <f t="shared" si="4"/>
        <v>2023</v>
      </c>
      <c r="G23" s="1028">
        <f t="shared" si="4"/>
        <v>2024</v>
      </c>
      <c r="H23" s="1028">
        <f t="shared" si="4"/>
        <v>2025</v>
      </c>
      <c r="I23" s="1028">
        <f t="shared" si="4"/>
        <v>2026</v>
      </c>
      <c r="J23" s="1028">
        <f>J4</f>
        <v>2027</v>
      </c>
      <c r="K23" s="1028">
        <f>K4</f>
        <v>2028</v>
      </c>
      <c r="L23" s="1028">
        <f>L4</f>
        <v>2029</v>
      </c>
      <c r="Z23" s="13"/>
    </row>
    <row r="24" spans="2:26" x14ac:dyDescent="0.25">
      <c r="B24" s="1055" t="s">
        <v>415</v>
      </c>
      <c r="C24" s="1056"/>
      <c r="D24" s="1056"/>
      <c r="E24" s="1056"/>
      <c r="F24" s="1056"/>
      <c r="G24" s="1056"/>
      <c r="H24" s="1056"/>
      <c r="I24" s="1056"/>
      <c r="J24" s="1056"/>
      <c r="K24" s="1056"/>
      <c r="L24" s="1056"/>
      <c r="Z24" s="13"/>
    </row>
    <row r="25" spans="2:26" x14ac:dyDescent="0.25">
      <c r="B25" s="1042" t="s">
        <v>416</v>
      </c>
      <c r="C25" s="1043">
        <f>C20</f>
        <v>-211914.16582001187</v>
      </c>
      <c r="D25" s="1043">
        <f t="shared" ref="D25:L25" si="5">D20</f>
        <v>71409.610666867346</v>
      </c>
      <c r="E25" s="1043">
        <f t="shared" si="5"/>
        <v>55940.559370309114</v>
      </c>
      <c r="F25" s="1043">
        <f t="shared" si="5"/>
        <v>66925.739951654337</v>
      </c>
      <c r="G25" s="1043">
        <f t="shared" si="5"/>
        <v>96526.269051275216</v>
      </c>
      <c r="H25" s="1043">
        <f t="shared" si="5"/>
        <v>95167.581707466394</v>
      </c>
      <c r="I25" s="1043">
        <f t="shared" si="5"/>
        <v>97110.22235959582</v>
      </c>
      <c r="J25" s="1043">
        <f t="shared" si="5"/>
        <v>99092.482677608728</v>
      </c>
      <c r="K25" s="1043">
        <f t="shared" si="5"/>
        <v>101172.02723324206</v>
      </c>
      <c r="L25" s="1043">
        <f t="shared" si="5"/>
        <v>103235.96677016094</v>
      </c>
      <c r="Z25" s="13"/>
    </row>
    <row r="26" spans="2:26" x14ac:dyDescent="0.25">
      <c r="B26" s="1042" t="s">
        <v>417</v>
      </c>
      <c r="C26" s="1043">
        <f>Balanço!E32</f>
        <v>215805.41</v>
      </c>
      <c r="D26" s="1057"/>
      <c r="E26" s="1057"/>
      <c r="F26" s="1057"/>
      <c r="G26" s="1057"/>
      <c r="H26" s="1057"/>
      <c r="I26" s="1057"/>
      <c r="J26" s="1057"/>
      <c r="K26" s="1057"/>
      <c r="L26" s="1057"/>
      <c r="Z26" s="13"/>
    </row>
    <row r="27" spans="2:26" x14ac:dyDescent="0.25">
      <c r="B27" s="1781" t="s">
        <v>418</v>
      </c>
      <c r="C27" s="1782">
        <f>PlanoFinanciamento!E5</f>
        <v>0</v>
      </c>
      <c r="D27" s="1782">
        <f>PlanoFinanciamento!F5</f>
        <v>0</v>
      </c>
      <c r="E27" s="1782">
        <f>PlanoFinanciamento!G5</f>
        <v>0</v>
      </c>
      <c r="F27" s="1782">
        <f>PlanoFinanciamento!H5</f>
        <v>0</v>
      </c>
      <c r="G27" s="1782">
        <f>PlanoFinanciamento!I5</f>
        <v>0</v>
      </c>
      <c r="H27" s="1782">
        <f>PlanoFinanciamento!J5</f>
        <v>0</v>
      </c>
      <c r="I27" s="1782">
        <f>PlanoFinanciamento!K5</f>
        <v>0</v>
      </c>
      <c r="J27" s="1782">
        <f>PlanoFinanciamento!L5</f>
        <v>0</v>
      </c>
      <c r="K27" s="1782">
        <f>PlanoFinanciamento!M5</f>
        <v>0</v>
      </c>
      <c r="L27" s="1782">
        <f>PlanoFinanciamento!N5</f>
        <v>0</v>
      </c>
      <c r="Z27" s="13"/>
    </row>
    <row r="28" spans="2:26" x14ac:dyDescent="0.25">
      <c r="B28" s="1781" t="s">
        <v>1209</v>
      </c>
      <c r="C28" s="1782">
        <f>PlanoFinanciamento!E6</f>
        <v>5158.8125</v>
      </c>
      <c r="D28" s="1782">
        <f>PlanoFinanciamento!F6</f>
        <v>23355.7925</v>
      </c>
      <c r="E28" s="1782">
        <f>PlanoFinanciamento!G6</f>
        <v>8572.6450000000004</v>
      </c>
      <c r="F28" s="1782">
        <f>PlanoFinanciamento!H6</f>
        <v>0</v>
      </c>
      <c r="G28" s="1782">
        <f>PlanoFinanciamento!I6</f>
        <v>0</v>
      </c>
      <c r="H28" s="1782">
        <f>PlanoFinanciamento!J6</f>
        <v>0</v>
      </c>
      <c r="I28" s="1782">
        <f>PlanoFinanciamento!K6</f>
        <v>0</v>
      </c>
      <c r="J28" s="1782">
        <f>PlanoFinanciamento!L6</f>
        <v>0</v>
      </c>
      <c r="K28" s="1782">
        <f>PlanoFinanciamento!M6</f>
        <v>0</v>
      </c>
      <c r="L28" s="1782">
        <f>PlanoFinanciamento!N6</f>
        <v>0</v>
      </c>
      <c r="Z28" s="13"/>
    </row>
    <row r="29" spans="2:26" x14ac:dyDescent="0.25">
      <c r="B29" s="1781" t="s">
        <v>1208</v>
      </c>
      <c r="C29" s="1782"/>
      <c r="D29" s="1782"/>
      <c r="E29" s="1782"/>
      <c r="F29" s="1782"/>
      <c r="G29" s="1782"/>
      <c r="H29" s="1782"/>
      <c r="I29" s="1782"/>
      <c r="J29" s="1782"/>
      <c r="K29" s="1782"/>
      <c r="L29" s="1782"/>
      <c r="Z29" s="13"/>
    </row>
    <row r="30" spans="2:26" x14ac:dyDescent="0.25">
      <c r="B30" s="1044" t="s">
        <v>419</v>
      </c>
      <c r="C30" s="1043">
        <f>PlanoFinanciamento!E18-PlanoFinanciamento!E11-PlanoFinanciamento!E13</f>
        <v>0</v>
      </c>
      <c r="D30" s="1043">
        <f>PlanoFinanciamento!F18-PlanoFinanciamento!F11-PlanoFinanciamento!F13</f>
        <v>0</v>
      </c>
      <c r="E30" s="1043">
        <f>PlanoFinanciamento!G18-PlanoFinanciamento!G11-PlanoFinanciamento!G13</f>
        <v>0</v>
      </c>
      <c r="F30" s="1043">
        <f>PlanoFinanciamento!H18-PlanoFinanciamento!H11-PlanoFinanciamento!H13</f>
        <v>0</v>
      </c>
      <c r="G30" s="1043">
        <f>PlanoFinanciamento!I18-PlanoFinanciamento!I11-PlanoFinanciamento!I13</f>
        <v>0</v>
      </c>
      <c r="H30" s="1043">
        <f>PlanoFinanciamento!J18-PlanoFinanciamento!J11-PlanoFinanciamento!J13</f>
        <v>0</v>
      </c>
      <c r="I30" s="1043">
        <f>PlanoFinanciamento!K18-PlanoFinanciamento!K11-PlanoFinanciamento!K13</f>
        <v>0</v>
      </c>
      <c r="J30" s="1043">
        <f>PlanoFinanciamento!L18-PlanoFinanciamento!L11-PlanoFinanciamento!L13</f>
        <v>0</v>
      </c>
      <c r="K30" s="1043">
        <f>PlanoFinanciamento!M18-PlanoFinanciamento!M11-PlanoFinanciamento!M13</f>
        <v>0</v>
      </c>
      <c r="L30" s="1043">
        <f>PlanoFinanciamento!N18-PlanoFinanciamento!N11-PlanoFinanciamento!N13</f>
        <v>0</v>
      </c>
      <c r="Z30" s="13"/>
    </row>
    <row r="31" spans="2:26" x14ac:dyDescent="0.25">
      <c r="B31" s="1042" t="s">
        <v>420</v>
      </c>
      <c r="C31" s="1058">
        <f>PlanoFinanciamento!E11</f>
        <v>0</v>
      </c>
      <c r="D31" s="1058">
        <f>PlanoFinanciamento!F11</f>
        <v>0</v>
      </c>
      <c r="E31" s="1058">
        <f>PlanoFinanciamento!G11</f>
        <v>0</v>
      </c>
      <c r="F31" s="1058">
        <f>PlanoFinanciamento!H11</f>
        <v>0</v>
      </c>
      <c r="G31" s="1058">
        <f>PlanoFinanciamento!I11</f>
        <v>0</v>
      </c>
      <c r="H31" s="1058">
        <f>PlanoFinanciamento!J11</f>
        <v>0</v>
      </c>
      <c r="I31" s="1058">
        <f>PlanoFinanciamento!K11</f>
        <v>0</v>
      </c>
      <c r="J31" s="1058">
        <f>PlanoFinanciamento!L11</f>
        <v>0</v>
      </c>
      <c r="K31" s="1058">
        <f>PlanoFinanciamento!M11</f>
        <v>0</v>
      </c>
      <c r="L31" s="1058">
        <f>PlanoFinanciamento!N11</f>
        <v>0</v>
      </c>
      <c r="Z31" s="13"/>
    </row>
    <row r="32" spans="2:26" x14ac:dyDescent="0.25">
      <c r="B32" s="1044" t="s">
        <v>553</v>
      </c>
      <c r="C32" s="1058">
        <f>PlanoFinanciamento!E19</f>
        <v>9285.8625000000011</v>
      </c>
      <c r="D32" s="1058">
        <f>PlanoFinanciamento!F19</f>
        <v>42040.426500000001</v>
      </c>
      <c r="E32" s="1058">
        <f>PlanoFinanciamento!G19</f>
        <v>15430.761</v>
      </c>
      <c r="F32" s="1058">
        <f>PlanoFinanciamento!H19</f>
        <v>0</v>
      </c>
      <c r="G32" s="1058">
        <f>PlanoFinanciamento!I19</f>
        <v>0</v>
      </c>
      <c r="H32" s="1058">
        <f>PlanoFinanciamento!J19</f>
        <v>0</v>
      </c>
      <c r="I32" s="1058">
        <f>PlanoFinanciamento!K19</f>
        <v>0</v>
      </c>
      <c r="J32" s="1058">
        <f>PlanoFinanciamento!L19</f>
        <v>0</v>
      </c>
      <c r="K32" s="1058">
        <f>PlanoFinanciamento!M19</f>
        <v>0</v>
      </c>
      <c r="L32" s="1058">
        <f>PlanoFinanciamento!N19</f>
        <v>0</v>
      </c>
      <c r="Z32" s="13"/>
    </row>
    <row r="33" spans="2:26" x14ac:dyDescent="0.25">
      <c r="B33" s="1059" t="s">
        <v>421</v>
      </c>
      <c r="C33" s="1043">
        <f>PlanoFinanciamento!E13</f>
        <v>0</v>
      </c>
      <c r="D33" s="1043">
        <f>PlanoFinanciamento!F13</f>
        <v>0</v>
      </c>
      <c r="E33" s="1043">
        <f>PlanoFinanciamento!G13</f>
        <v>0</v>
      </c>
      <c r="F33" s="1043">
        <f>PlanoFinanciamento!H13</f>
        <v>0</v>
      </c>
      <c r="G33" s="1043">
        <f>PlanoFinanciamento!I13</f>
        <v>0</v>
      </c>
      <c r="H33" s="1043">
        <f>PlanoFinanciamento!J13</f>
        <v>0</v>
      </c>
      <c r="I33" s="1043">
        <f>PlanoFinanciamento!K13</f>
        <v>0</v>
      </c>
      <c r="J33" s="1043">
        <f>PlanoFinanciamento!L13</f>
        <v>0</v>
      </c>
      <c r="K33" s="1043">
        <f>PlanoFinanciamento!M13</f>
        <v>0</v>
      </c>
      <c r="L33" s="1043">
        <f>PlanoFinanciamento!N13</f>
        <v>0</v>
      </c>
      <c r="Z33" s="13"/>
    </row>
    <row r="34" spans="2:26" x14ac:dyDescent="0.25">
      <c r="B34" s="1042" t="s">
        <v>328</v>
      </c>
      <c r="C34" s="1043">
        <f>Balanço!E24</f>
        <v>21003.43</v>
      </c>
      <c r="D34" s="1043">
        <f>IVA!C18</f>
        <v>0</v>
      </c>
      <c r="E34" s="1043">
        <f>IVA!D18</f>
        <v>0</v>
      </c>
      <c r="F34" s="1043">
        <f>IVA!E18</f>
        <v>0</v>
      </c>
      <c r="G34" s="1043">
        <f>IVA!F18</f>
        <v>0</v>
      </c>
      <c r="H34" s="1043">
        <f>IVA!G18</f>
        <v>0</v>
      </c>
      <c r="I34" s="1043">
        <f>IVA!H18</f>
        <v>0</v>
      </c>
      <c r="J34" s="1043">
        <f>IVA!I18</f>
        <v>0</v>
      </c>
      <c r="K34" s="1043">
        <f>IVA!J18</f>
        <v>0</v>
      </c>
      <c r="L34" s="1043">
        <f>IVA!K18</f>
        <v>0</v>
      </c>
      <c r="Z34" s="13"/>
    </row>
    <row r="35" spans="2:26" x14ac:dyDescent="0.25">
      <c r="B35" s="1059" t="s">
        <v>255</v>
      </c>
      <c r="C35" s="1043">
        <f>'DR Empresa'!C25</f>
        <v>0</v>
      </c>
      <c r="D35" s="1043">
        <f>'DR Empresa'!D25</f>
        <v>0</v>
      </c>
      <c r="E35" s="1043">
        <f>'DR Empresa'!E25</f>
        <v>0</v>
      </c>
      <c r="F35" s="1043">
        <f>'DR Empresa'!F25</f>
        <v>0</v>
      </c>
      <c r="G35" s="1043">
        <f>'DR Empresa'!G25</f>
        <v>0</v>
      </c>
      <c r="H35" s="1043">
        <f>'DR Empresa'!H25</f>
        <v>0</v>
      </c>
      <c r="I35" s="1043">
        <f>'DR Empresa'!I25</f>
        <v>0</v>
      </c>
      <c r="J35" s="1043">
        <f>'DR Empresa'!J25</f>
        <v>0</v>
      </c>
      <c r="K35" s="1043">
        <f>'DR Empresa'!K25</f>
        <v>0</v>
      </c>
      <c r="L35" s="1043">
        <f>'DR Empresa'!L25</f>
        <v>0</v>
      </c>
      <c r="Z35" s="13"/>
    </row>
    <row r="36" spans="2:26" x14ac:dyDescent="0.25">
      <c r="B36" s="1060" t="s">
        <v>422</v>
      </c>
      <c r="C36" s="1046">
        <f>Balanço!E25</f>
        <v>0</v>
      </c>
      <c r="D36" s="1046">
        <f>'Balanço Futuro'!C26</f>
        <v>0</v>
      </c>
      <c r="E36" s="1046">
        <f>'Balanço Futuro'!D26</f>
        <v>0</v>
      </c>
      <c r="F36" s="1046">
        <f>'Balanço Futuro'!E26</f>
        <v>0</v>
      </c>
      <c r="G36" s="1046">
        <f>'Balanço Futuro'!F26</f>
        <v>0</v>
      </c>
      <c r="H36" s="1046">
        <f>'Balanço Futuro'!G26</f>
        <v>0</v>
      </c>
      <c r="I36" s="1046">
        <f>'Balanço Futuro'!H26</f>
        <v>0</v>
      </c>
      <c r="J36" s="1046">
        <f>'Balanço Futuro'!I26</f>
        <v>0</v>
      </c>
      <c r="K36" s="1046">
        <f>'Balanço Futuro'!J26</f>
        <v>0</v>
      </c>
      <c r="L36" s="1046">
        <f>'Balanço Futuro'!K26</f>
        <v>0</v>
      </c>
      <c r="Z36" s="13"/>
    </row>
    <row r="37" spans="2:26" x14ac:dyDescent="0.25">
      <c r="B37" s="1061" t="s">
        <v>423</v>
      </c>
      <c r="C37" s="1038">
        <f>SUM(C25:C36)</f>
        <v>39339.349179988138</v>
      </c>
      <c r="D37" s="1038">
        <f t="shared" ref="D37:L37" si="6">SUM(D25:D36)</f>
        <v>136805.82966686733</v>
      </c>
      <c r="E37" s="1038">
        <f t="shared" si="6"/>
        <v>79943.965370309117</v>
      </c>
      <c r="F37" s="1038">
        <f t="shared" si="6"/>
        <v>66925.739951654337</v>
      </c>
      <c r="G37" s="1038">
        <f t="shared" si="6"/>
        <v>96526.269051275216</v>
      </c>
      <c r="H37" s="1038">
        <f t="shared" si="6"/>
        <v>95167.581707466394</v>
      </c>
      <c r="I37" s="1038">
        <f t="shared" si="6"/>
        <v>97110.22235959582</v>
      </c>
      <c r="J37" s="1038">
        <f t="shared" si="6"/>
        <v>99092.482677608728</v>
      </c>
      <c r="K37" s="1038">
        <f t="shared" si="6"/>
        <v>101172.02723324206</v>
      </c>
      <c r="L37" s="1038">
        <f t="shared" si="6"/>
        <v>103235.96677016094</v>
      </c>
      <c r="Z37" s="13"/>
    </row>
    <row r="38" spans="2:26" x14ac:dyDescent="0.25">
      <c r="B38" s="1062"/>
      <c r="C38" s="1063"/>
      <c r="D38" s="1064"/>
      <c r="E38" s="1064"/>
      <c r="F38" s="1064"/>
      <c r="G38" s="1064"/>
      <c r="H38" s="1064"/>
      <c r="I38" s="1064"/>
      <c r="J38" s="1064"/>
      <c r="K38" s="1064"/>
      <c r="L38" s="1065"/>
      <c r="Z38" s="13"/>
    </row>
    <row r="39" spans="2:26" x14ac:dyDescent="0.25">
      <c r="B39" s="1066" t="s">
        <v>424</v>
      </c>
      <c r="C39" s="1067"/>
      <c r="D39" s="1067"/>
      <c r="E39" s="1067"/>
      <c r="F39" s="1067"/>
      <c r="G39" s="1067"/>
      <c r="H39" s="1067"/>
      <c r="I39" s="1067"/>
      <c r="J39" s="1067"/>
      <c r="K39" s="1067"/>
      <c r="L39" s="1068"/>
      <c r="Z39" s="13"/>
    </row>
    <row r="40" spans="2:26" x14ac:dyDescent="0.25">
      <c r="B40" s="1033" t="s">
        <v>425</v>
      </c>
      <c r="C40" s="1034">
        <f>PlanoInvest!C93+PlanoInvest!C100</f>
        <v>0</v>
      </c>
      <c r="D40" s="1034">
        <f>PlanoInvest!D93+PlanoInvest!D100</f>
        <v>49200</v>
      </c>
      <c r="E40" s="1034">
        <f>PlanoInvest!E93+PlanoInvest!E100</f>
        <v>0</v>
      </c>
      <c r="F40" s="1034">
        <f>PlanoInvest!F93+PlanoInvest!F100</f>
        <v>0</v>
      </c>
      <c r="G40" s="1034">
        <f>PlanoInvest!G93+PlanoInvest!G100</f>
        <v>0</v>
      </c>
      <c r="H40" s="1034">
        <f>PlanoInvest!H93+PlanoInvest!H100</f>
        <v>0</v>
      </c>
      <c r="I40" s="1034">
        <f>PlanoInvest!I93+PlanoInvest!I100</f>
        <v>0</v>
      </c>
      <c r="J40" s="1034">
        <f>PlanoInvest!J93+PlanoInvest!J100</f>
        <v>0</v>
      </c>
      <c r="K40" s="1034">
        <f>PlanoInvest!K93+PlanoInvest!K100</f>
        <v>0</v>
      </c>
      <c r="L40" s="1034">
        <f>PlanoInvest!L93+PlanoInvest!L100</f>
        <v>0</v>
      </c>
      <c r="Z40" s="13"/>
    </row>
    <row r="41" spans="2:26" x14ac:dyDescent="0.25">
      <c r="B41" s="1077" t="s">
        <v>426</v>
      </c>
      <c r="C41" s="1078"/>
      <c r="D41" s="1078"/>
      <c r="E41" s="1079"/>
      <c r="F41" s="1078"/>
      <c r="G41" s="1078"/>
      <c r="H41" s="1078"/>
      <c r="I41" s="1078"/>
      <c r="J41" s="1078"/>
      <c r="K41" s="1078"/>
      <c r="L41" s="1080"/>
      <c r="Z41" s="13"/>
    </row>
    <row r="42" spans="2:26" x14ac:dyDescent="0.25">
      <c r="B42" s="1044" t="s">
        <v>427</v>
      </c>
      <c r="C42" s="1043">
        <f>SaldosDivida!B58</f>
        <v>0</v>
      </c>
      <c r="D42" s="1043">
        <f>SaldosDivida!C58</f>
        <v>0</v>
      </c>
      <c r="E42" s="1043">
        <f>SaldosDivida!D58</f>
        <v>0</v>
      </c>
      <c r="F42" s="1043">
        <f>SaldosDivida!E58</f>
        <v>0</v>
      </c>
      <c r="G42" s="1043">
        <f>SaldosDivida!F58</f>
        <v>0</v>
      </c>
      <c r="H42" s="1043">
        <f>SaldosDivida!G58</f>
        <v>0</v>
      </c>
      <c r="I42" s="1043">
        <f>SaldosDivida!H58</f>
        <v>0</v>
      </c>
      <c r="J42" s="1043">
        <f>SaldosDivida!I58</f>
        <v>0</v>
      </c>
      <c r="K42" s="1043">
        <f>SaldosDivida!J58</f>
        <v>0</v>
      </c>
      <c r="L42" s="1043">
        <f>SaldosDivida!K58</f>
        <v>0</v>
      </c>
      <c r="Z42" s="13"/>
    </row>
    <row r="43" spans="2:26" x14ac:dyDescent="0.25">
      <c r="B43" s="1802" t="s">
        <v>428</v>
      </c>
      <c r="C43" s="1782">
        <f>SaldosDivida!B94</f>
        <v>0</v>
      </c>
      <c r="D43" s="1782">
        <f>SaldosDivida!C94</f>
        <v>0</v>
      </c>
      <c r="E43" s="1782">
        <f>SaldosDivida!D94</f>
        <v>0</v>
      </c>
      <c r="F43" s="1782">
        <f>SaldosDivida!E94</f>
        <v>0</v>
      </c>
      <c r="G43" s="1782">
        <f>SaldosDivida!F94</f>
        <v>0</v>
      </c>
      <c r="H43" s="1782">
        <f>SaldosDivida!G94</f>
        <v>0</v>
      </c>
      <c r="I43" s="1782">
        <f>SaldosDivida!H94</f>
        <v>0</v>
      </c>
      <c r="J43" s="1782">
        <f>SaldosDivida!I94</f>
        <v>0</v>
      </c>
      <c r="K43" s="1782">
        <f>SaldosDivida!J94</f>
        <v>0</v>
      </c>
      <c r="L43" s="1782">
        <f>SaldosDivida!K94</f>
        <v>0</v>
      </c>
      <c r="Z43" s="13"/>
    </row>
    <row r="44" spans="2:26" x14ac:dyDescent="0.25">
      <c r="B44" s="1042" t="s">
        <v>429</v>
      </c>
      <c r="C44" s="1058">
        <f>Balanço!E62</f>
        <v>4173.5</v>
      </c>
      <c r="D44" s="1058">
        <f>IVA!C22</f>
        <v>14144.681618514584</v>
      </c>
      <c r="E44" s="1058">
        <f>IVA!D22</f>
        <v>18952.333316281984</v>
      </c>
      <c r="F44" s="1058">
        <f>IVA!E22</f>
        <v>19085.365171118297</v>
      </c>
      <c r="G44" s="1058">
        <f>IVA!F22</f>
        <v>23056.495666617753</v>
      </c>
      <c r="H44" s="1058">
        <f>IVA!G22</f>
        <v>23869.642708896645</v>
      </c>
      <c r="I44" s="1058">
        <f>IVA!H22</f>
        <v>26002.60877508147</v>
      </c>
      <c r="J44" s="1058">
        <f>IVA!I22</f>
        <v>26621.66305828403</v>
      </c>
      <c r="K44" s="1058">
        <f>IVA!J22</f>
        <v>27253.289252652321</v>
      </c>
      <c r="L44" s="1058">
        <f>IVA!K22</f>
        <v>30469.08981438987</v>
      </c>
      <c r="Z44" s="13"/>
    </row>
    <row r="45" spans="2:26" x14ac:dyDescent="0.25">
      <c r="B45" s="1042" t="s">
        <v>430</v>
      </c>
      <c r="C45" s="1043">
        <f>'DR Empresa'!C26-SaldosDivida!B86-SaldosDivida!B104</f>
        <v>11615.406263315226</v>
      </c>
      <c r="D45" s="1043">
        <f>'DR Empresa'!D26-SaldosDivida!C86-SaldosDivida!C104</f>
        <v>11600.152930284705</v>
      </c>
      <c r="E45" s="1043">
        <f>'DR Empresa'!E26-SaldosDivida!D86-SaldosDivida!D104</f>
        <v>11539.139598162623</v>
      </c>
      <c r="F45" s="1043">
        <f>'DR Empresa'!F26-SaldosDivida!E86-SaldosDivida!E104</f>
        <v>11478.126266040541</v>
      </c>
      <c r="G45" s="1043">
        <f>'DR Empresa'!G26-SaldosDivida!F86-SaldosDivida!F104</f>
        <v>11417.112933918459</v>
      </c>
      <c r="H45" s="1043">
        <f>'DR Empresa'!H26-SaldosDivida!G86-SaldosDivida!G104</f>
        <v>11371.352934826898</v>
      </c>
      <c r="I45" s="1043">
        <f>'DR Empresa'!I26-SaldosDivida!H86-SaldosDivida!H104</f>
        <v>11371.352934826898</v>
      </c>
      <c r="J45" s="1043">
        <f>'DR Empresa'!J26-SaldosDivida!I86-SaldosDivida!I104</f>
        <v>11371.352934826898</v>
      </c>
      <c r="K45" s="1043">
        <f>'DR Empresa'!K26-SaldosDivida!J86-SaldosDivida!J104</f>
        <v>0</v>
      </c>
      <c r="L45" s="1043">
        <f>'DR Empresa'!L26-SaldosDivida!K86-SaldosDivida!K104</f>
        <v>0</v>
      </c>
      <c r="Z45" s="13"/>
    </row>
    <row r="46" spans="2:26" x14ac:dyDescent="0.25">
      <c r="B46" s="1069" t="s">
        <v>421</v>
      </c>
      <c r="C46" s="1070">
        <f t="array" ref="C46:I46">TRANSPOSE(JurosSocios!K29:K35)</f>
        <v>0</v>
      </c>
      <c r="D46" s="1070">
        <v>1289.0781249999998</v>
      </c>
      <c r="E46" s="1070">
        <v>1289.0781249999998</v>
      </c>
      <c r="F46" s="1070">
        <v>1289.0781249999998</v>
      </c>
      <c r="G46" s="1070">
        <v>1289.0781249999998</v>
      </c>
      <c r="H46" s="1070">
        <v>0</v>
      </c>
      <c r="I46" s="1070">
        <v>0</v>
      </c>
      <c r="J46" s="1070">
        <f>IF(J$23-$C$23&lt;3,Balanço!$E$63/3,0)</f>
        <v>0</v>
      </c>
      <c r="K46" s="1070">
        <f>IF(K$23-$C$23&lt;3,Balanço!$E$63/3,0)</f>
        <v>0</v>
      </c>
      <c r="L46" s="1070">
        <f>IF(L$23-$C$23&lt;3,Balanço!$E$63/3,0)</f>
        <v>0</v>
      </c>
      <c r="Z46" s="13"/>
    </row>
    <row r="47" spans="2:26" x14ac:dyDescent="0.25">
      <c r="B47" s="1071" t="s">
        <v>431</v>
      </c>
      <c r="C47" s="1072">
        <f>SUM(C40:C46)</f>
        <v>15788.906263315226</v>
      </c>
      <c r="D47" s="1072">
        <f t="shared" ref="D47:L47" si="7">SUM(D40:D46)</f>
        <v>76233.912673799292</v>
      </c>
      <c r="E47" s="1072">
        <f t="shared" si="7"/>
        <v>31780.551039444606</v>
      </c>
      <c r="F47" s="1072">
        <f t="shared" si="7"/>
        <v>31852.569562158838</v>
      </c>
      <c r="G47" s="1072">
        <f t="shared" si="7"/>
        <v>35762.686725536216</v>
      </c>
      <c r="H47" s="1072">
        <f t="shared" si="7"/>
        <v>35240.995643723545</v>
      </c>
      <c r="I47" s="1072">
        <f t="shared" si="7"/>
        <v>37373.96170990837</v>
      </c>
      <c r="J47" s="1072">
        <f t="shared" si="7"/>
        <v>37993.01599311093</v>
      </c>
      <c r="K47" s="1072">
        <f t="shared" si="7"/>
        <v>27253.289252652321</v>
      </c>
      <c r="L47" s="1072">
        <f t="shared" si="7"/>
        <v>30469.08981438987</v>
      </c>
      <c r="Z47" s="13"/>
    </row>
    <row r="48" spans="2:26" x14ac:dyDescent="0.25">
      <c r="B48" s="1073"/>
      <c r="C48" s="1074"/>
      <c r="D48" s="1074"/>
      <c r="E48" s="1074"/>
      <c r="F48" s="1074"/>
      <c r="G48" s="1074"/>
      <c r="H48" s="1074"/>
      <c r="I48" s="1074"/>
      <c r="J48" s="1074"/>
      <c r="K48" s="1074"/>
      <c r="L48" s="1074"/>
      <c r="Z48" s="13"/>
    </row>
    <row r="49" spans="2:26" x14ac:dyDescent="0.25">
      <c r="B49" s="1037" t="s">
        <v>432</v>
      </c>
      <c r="C49" s="1072">
        <f t="shared" ref="C49:L49" si="8">C37-C47</f>
        <v>23550.44291667291</v>
      </c>
      <c r="D49" s="1072">
        <f t="shared" si="8"/>
        <v>60571.916993068036</v>
      </c>
      <c r="E49" s="1072">
        <f t="shared" si="8"/>
        <v>48163.414330864514</v>
      </c>
      <c r="F49" s="1072">
        <f t="shared" si="8"/>
        <v>35073.170389495499</v>
      </c>
      <c r="G49" s="1072">
        <f t="shared" si="8"/>
        <v>60763.582325739</v>
      </c>
      <c r="H49" s="1072">
        <f t="shared" si="8"/>
        <v>59926.586063742849</v>
      </c>
      <c r="I49" s="1072">
        <f t="shared" si="8"/>
        <v>59736.26064968745</v>
      </c>
      <c r="J49" s="1072">
        <f t="shared" si="8"/>
        <v>61099.466684497798</v>
      </c>
      <c r="K49" s="1072">
        <f t="shared" si="8"/>
        <v>73918.737980589736</v>
      </c>
      <c r="L49" s="1072">
        <f t="shared" si="8"/>
        <v>72766.876955771077</v>
      </c>
      <c r="Z49" s="13"/>
    </row>
    <row r="50" spans="2:26" x14ac:dyDescent="0.25">
      <c r="B50" s="1073"/>
      <c r="C50" s="1075"/>
      <c r="D50" s="1075"/>
      <c r="E50" s="1075"/>
      <c r="F50" s="1075"/>
      <c r="G50" s="1075"/>
      <c r="H50" s="1075"/>
      <c r="I50" s="1075"/>
      <c r="J50" s="1075"/>
      <c r="K50" s="1075"/>
      <c r="L50" s="1075"/>
      <c r="Z50" s="13"/>
    </row>
    <row r="51" spans="2:26" x14ac:dyDescent="0.25">
      <c r="B51" s="1050" t="s">
        <v>433</v>
      </c>
      <c r="C51" s="1076">
        <f>C49</f>
        <v>23550.44291667291</v>
      </c>
      <c r="D51" s="1076">
        <f>C51+D49</f>
        <v>84122.359909740946</v>
      </c>
      <c r="E51" s="1076">
        <f>D51+E49</f>
        <v>132285.77424060547</v>
      </c>
      <c r="F51" s="1076">
        <f t="shared" ref="F51:L51" si="9">E51+F49</f>
        <v>167358.94463010097</v>
      </c>
      <c r="G51" s="1076">
        <f t="shared" si="9"/>
        <v>228122.52695583997</v>
      </c>
      <c r="H51" s="1076">
        <f t="shared" si="9"/>
        <v>288049.11301958282</v>
      </c>
      <c r="I51" s="1076">
        <f t="shared" si="9"/>
        <v>347785.37366927025</v>
      </c>
      <c r="J51" s="1076">
        <f t="shared" si="9"/>
        <v>408884.84035376803</v>
      </c>
      <c r="K51" s="1076">
        <f t="shared" si="9"/>
        <v>482803.57833435776</v>
      </c>
      <c r="L51" s="1076">
        <f t="shared" si="9"/>
        <v>555570.45529012883</v>
      </c>
      <c r="Z51" s="13"/>
    </row>
    <row r="52" spans="2:26" x14ac:dyDescent="0.25">
      <c r="C52" s="333"/>
      <c r="D52" s="333"/>
      <c r="E52" s="333"/>
      <c r="F52" s="333"/>
      <c r="G52" s="333"/>
      <c r="Z52" s="13"/>
    </row>
    <row r="53" spans="2:26" x14ac:dyDescent="0.25">
      <c r="C53" s="953"/>
      <c r="D53" s="953"/>
      <c r="E53" s="953"/>
      <c r="F53" s="953"/>
      <c r="G53" s="953"/>
      <c r="Z53" s="13"/>
    </row>
    <row r="54" spans="2:26" x14ac:dyDescent="0.25">
      <c r="C54" s="953"/>
      <c r="D54" s="953"/>
      <c r="E54" s="953"/>
      <c r="F54" s="953"/>
      <c r="G54" s="953"/>
      <c r="Z54" s="13"/>
    </row>
    <row r="55" spans="2:26" x14ac:dyDescent="0.25">
      <c r="Z55" s="13"/>
    </row>
    <row r="56" spans="2:26" x14ac:dyDescent="0.25">
      <c r="Z56" s="13"/>
    </row>
    <row r="57" spans="2:26" x14ac:dyDescent="0.25">
      <c r="Z57" s="13"/>
    </row>
    <row r="58" spans="2:26" x14ac:dyDescent="0.25">
      <c r="Z58" s="13"/>
    </row>
    <row r="59" spans="2:26" x14ac:dyDescent="0.25">
      <c r="Z59" s="13"/>
    </row>
    <row r="60" spans="2:26" x14ac:dyDescent="0.25">
      <c r="Z60" s="13"/>
    </row>
    <row r="61" spans="2:26" x14ac:dyDescent="0.25">
      <c r="Z61" s="13"/>
    </row>
    <row r="62" spans="2:26" x14ac:dyDescent="0.25">
      <c r="Z62" s="13"/>
    </row>
    <row r="63" spans="2:26" x14ac:dyDescent="0.25">
      <c r="Z63" s="13"/>
    </row>
    <row r="64" spans="2:26" x14ac:dyDescent="0.25">
      <c r="Z64" s="13"/>
    </row>
    <row r="65" spans="26:26" x14ac:dyDescent="0.25">
      <c r="Z65" s="13"/>
    </row>
  </sheetData>
  <mergeCells count="2">
    <mergeCell ref="B2:L2"/>
    <mergeCell ref="B22:L2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8"/>
  <dimension ref="A1:AM3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1.25" x14ac:dyDescent="0.2"/>
  <cols>
    <col min="1" max="1" width="0.85546875" style="450" customWidth="1"/>
    <col min="2" max="2" width="31.42578125" style="450" bestFit="1" customWidth="1"/>
    <col min="3" max="3" width="13.140625" style="450" bestFit="1" customWidth="1"/>
    <col min="4" max="7" width="12.5703125" style="450" bestFit="1" customWidth="1"/>
    <col min="8" max="12" width="12.5703125" style="450" customWidth="1"/>
    <col min="13" max="13" width="12.85546875" style="450" customWidth="1"/>
    <col min="14" max="39" width="9.140625" style="450"/>
    <col min="40" max="16384" width="9.140625" style="451"/>
  </cols>
  <sheetData>
    <row r="1" spans="2:13" ht="7.5" customHeight="1" x14ac:dyDescent="0.2"/>
    <row r="2" spans="2:13" x14ac:dyDescent="0.2">
      <c r="B2" s="1118" t="s">
        <v>436</v>
      </c>
      <c r="C2" s="1119"/>
      <c r="D2" s="1119"/>
      <c r="E2" s="1119"/>
      <c r="F2" s="1119"/>
      <c r="G2" s="1119"/>
      <c r="H2" s="1119"/>
      <c r="I2" s="2052" t="s">
        <v>70</v>
      </c>
      <c r="J2" s="2052"/>
      <c r="K2" s="2052"/>
      <c r="L2" s="2052"/>
      <c r="M2" s="2053"/>
    </row>
    <row r="3" spans="2:13" x14ac:dyDescent="0.2">
      <c r="B3" s="1120"/>
      <c r="C3" s="1121">
        <f>Pressupostos!C11</f>
        <v>2020</v>
      </c>
      <c r="D3" s="1121">
        <f t="shared" ref="D3:I3" si="0">C3+1</f>
        <v>2021</v>
      </c>
      <c r="E3" s="1121">
        <f t="shared" si="0"/>
        <v>2022</v>
      </c>
      <c r="F3" s="1121">
        <f t="shared" si="0"/>
        <v>2023</v>
      </c>
      <c r="G3" s="1121">
        <f t="shared" si="0"/>
        <v>2024</v>
      </c>
      <c r="H3" s="1121">
        <f t="shared" si="0"/>
        <v>2025</v>
      </c>
      <c r="I3" s="1197">
        <f t="shared" si="0"/>
        <v>2026</v>
      </c>
      <c r="J3" s="1197">
        <f>I3+1</f>
        <v>2027</v>
      </c>
      <c r="K3" s="1197">
        <f>J3+1</f>
        <v>2028</v>
      </c>
      <c r="L3" s="1197">
        <f>K3+1</f>
        <v>2029</v>
      </c>
      <c r="M3" s="1198" t="s">
        <v>149</v>
      </c>
    </row>
    <row r="4" spans="2:13" x14ac:dyDescent="0.2">
      <c r="B4" s="1204" t="s">
        <v>437</v>
      </c>
      <c r="C4" s="1161">
        <f>C5</f>
        <v>6190.5749999999998</v>
      </c>
      <c r="D4" s="1161">
        <f t="shared" ref="D4:M4" si="1">D5</f>
        <v>28026.950999999997</v>
      </c>
      <c r="E4" s="1161">
        <f t="shared" si="1"/>
        <v>10287.174000000001</v>
      </c>
      <c r="F4" s="1161">
        <f t="shared" si="1"/>
        <v>37334.49035695786</v>
      </c>
      <c r="G4" s="1161">
        <f t="shared" si="1"/>
        <v>38941.10098574344</v>
      </c>
      <c r="H4" s="1161">
        <f t="shared" si="1"/>
        <v>55789.222034603183</v>
      </c>
      <c r="I4" s="1161">
        <f t="shared" si="1"/>
        <v>57412.73293562379</v>
      </c>
      <c r="J4" s="1161">
        <f t="shared" si="1"/>
        <v>59069.320463785392</v>
      </c>
      <c r="K4" s="1161">
        <f t="shared" si="1"/>
        <v>69616.520857567113</v>
      </c>
      <c r="L4" s="1168">
        <f t="shared" si="1"/>
        <v>71341.296523531564</v>
      </c>
      <c r="M4" s="1199">
        <f t="shared" si="1"/>
        <v>434009.38415781234</v>
      </c>
    </row>
    <row r="5" spans="2:13" x14ac:dyDescent="0.2">
      <c r="B5" s="1205" t="s">
        <v>438</v>
      </c>
      <c r="C5" s="1159">
        <f>PlanoFinanciamento!E8</f>
        <v>6190.5749999999998</v>
      </c>
      <c r="D5" s="1159">
        <f>PlanoFinanciamento!F8</f>
        <v>28026.950999999997</v>
      </c>
      <c r="E5" s="1159">
        <f>PlanoFinanciamento!G8</f>
        <v>10287.174000000001</v>
      </c>
      <c r="F5" s="1159">
        <f>PlanoFinanciamento!H8</f>
        <v>37334.49035695786</v>
      </c>
      <c r="G5" s="1159">
        <f>PlanoFinanciamento!I8</f>
        <v>38941.10098574344</v>
      </c>
      <c r="H5" s="1159">
        <f>PlanoFinanciamento!J8</f>
        <v>55789.222034603183</v>
      </c>
      <c r="I5" s="1159">
        <f>PlanoFinanciamento!K8</f>
        <v>57412.73293562379</v>
      </c>
      <c r="J5" s="1159">
        <f>PlanoFinanciamento!L8</f>
        <v>59069.320463785392</v>
      </c>
      <c r="K5" s="1159">
        <f>PlanoFinanciamento!M8</f>
        <v>69616.520857567113</v>
      </c>
      <c r="L5" s="1169">
        <f>PlanoFinanciamento!N8</f>
        <v>71341.296523531564</v>
      </c>
      <c r="M5" s="1196">
        <f>SUM(C5:L5)</f>
        <v>434009.38415781234</v>
      </c>
    </row>
    <row r="6" spans="2:13" x14ac:dyDescent="0.2">
      <c r="B6" s="1205" t="s">
        <v>439</v>
      </c>
      <c r="C6" s="1160">
        <f>SUM(C7:C9)</f>
        <v>14444.675000000001</v>
      </c>
      <c r="D6" s="1160">
        <f t="shared" ref="D6:M6" si="2">SUM(D7:D9)</f>
        <v>65396.218999999997</v>
      </c>
      <c r="E6" s="1160">
        <f t="shared" si="2"/>
        <v>24003.406000000003</v>
      </c>
      <c r="F6" s="1160">
        <f t="shared" si="2"/>
        <v>0</v>
      </c>
      <c r="G6" s="1160">
        <f t="shared" si="2"/>
        <v>0</v>
      </c>
      <c r="H6" s="1160">
        <f t="shared" si="2"/>
        <v>0</v>
      </c>
      <c r="I6" s="1160">
        <f t="shared" si="2"/>
        <v>0</v>
      </c>
      <c r="J6" s="1160">
        <f t="shared" si="2"/>
        <v>0</v>
      </c>
      <c r="K6" s="1160">
        <f t="shared" si="2"/>
        <v>0</v>
      </c>
      <c r="L6" s="1170">
        <f t="shared" si="2"/>
        <v>0</v>
      </c>
      <c r="M6" s="1200">
        <f t="shared" si="2"/>
        <v>103844.3</v>
      </c>
    </row>
    <row r="7" spans="2:13" x14ac:dyDescent="0.2">
      <c r="B7" s="1206" t="s">
        <v>440</v>
      </c>
      <c r="C7" s="1158">
        <f>PlanoFinanciamento!E5</f>
        <v>0</v>
      </c>
      <c r="D7" s="1158">
        <f>PlanoFinanciamento!F5</f>
        <v>0</v>
      </c>
      <c r="E7" s="1158">
        <f>PlanoFinanciamento!G5</f>
        <v>0</v>
      </c>
      <c r="F7" s="1158">
        <f>PlanoFinanciamento!H5</f>
        <v>0</v>
      </c>
      <c r="G7" s="1158">
        <f>PlanoFinanciamento!I5</f>
        <v>0</v>
      </c>
      <c r="H7" s="1158">
        <f>PlanoFinanciamento!J5</f>
        <v>0</v>
      </c>
      <c r="I7" s="1158">
        <f>PlanoFinanciamento!K5</f>
        <v>0</v>
      </c>
      <c r="J7" s="1158">
        <f>PlanoFinanciamento!L5</f>
        <v>0</v>
      </c>
      <c r="K7" s="1158">
        <f>PlanoFinanciamento!M5</f>
        <v>0</v>
      </c>
      <c r="L7" s="1171">
        <f>PlanoFinanciamento!N5</f>
        <v>0</v>
      </c>
      <c r="M7" s="1189">
        <f>SUM(C7:L7)</f>
        <v>0</v>
      </c>
    </row>
    <row r="8" spans="2:13" x14ac:dyDescent="0.2">
      <c r="B8" s="1208" t="s">
        <v>441</v>
      </c>
      <c r="C8" s="1154">
        <f>PlanoFinanciamento!E6</f>
        <v>5158.8125</v>
      </c>
      <c r="D8" s="1154">
        <f>PlanoFinanciamento!F6</f>
        <v>23355.7925</v>
      </c>
      <c r="E8" s="1154">
        <f>PlanoFinanciamento!G6</f>
        <v>8572.6450000000004</v>
      </c>
      <c r="F8" s="1154">
        <f>PlanoFinanciamento!H6</f>
        <v>0</v>
      </c>
      <c r="G8" s="1154">
        <f>PlanoFinanciamento!I6</f>
        <v>0</v>
      </c>
      <c r="H8" s="1154">
        <f>PlanoFinanciamento!J6</f>
        <v>0</v>
      </c>
      <c r="I8" s="1154">
        <f>PlanoFinanciamento!K6</f>
        <v>0</v>
      </c>
      <c r="J8" s="1154">
        <f>PlanoFinanciamento!L6</f>
        <v>0</v>
      </c>
      <c r="K8" s="1154">
        <f>PlanoFinanciamento!M6</f>
        <v>0</v>
      </c>
      <c r="L8" s="1172">
        <f>PlanoFinanciamento!N6</f>
        <v>0</v>
      </c>
      <c r="M8" s="1189">
        <f t="shared" ref="M8:M9" si="3">SUM(C8:L8)</f>
        <v>37087.25</v>
      </c>
    </row>
    <row r="9" spans="2:13" x14ac:dyDescent="0.2">
      <c r="B9" s="1209" t="s">
        <v>442</v>
      </c>
      <c r="C9" s="1155">
        <f>PlanoFinanciamento!E19</f>
        <v>9285.8625000000011</v>
      </c>
      <c r="D9" s="1155">
        <f>PlanoFinanciamento!F19</f>
        <v>42040.426500000001</v>
      </c>
      <c r="E9" s="1155">
        <f>PlanoFinanciamento!G19</f>
        <v>15430.761</v>
      </c>
      <c r="F9" s="1155">
        <f>PlanoFinanciamento!H19</f>
        <v>0</v>
      </c>
      <c r="G9" s="1155">
        <f>PlanoFinanciamento!I19</f>
        <v>0</v>
      </c>
      <c r="H9" s="1155">
        <f>PlanoFinanciamento!J19</f>
        <v>0</v>
      </c>
      <c r="I9" s="1155">
        <f>PlanoFinanciamento!K19</f>
        <v>0</v>
      </c>
      <c r="J9" s="1155">
        <f>PlanoFinanciamento!L19</f>
        <v>0</v>
      </c>
      <c r="K9" s="1155">
        <f>PlanoFinanciamento!M19</f>
        <v>0</v>
      </c>
      <c r="L9" s="1173">
        <f>PlanoFinanciamento!N19</f>
        <v>0</v>
      </c>
      <c r="M9" s="1189">
        <f t="shared" si="3"/>
        <v>66757.05</v>
      </c>
    </row>
    <row r="10" spans="2:13" x14ac:dyDescent="0.2">
      <c r="B10" s="1204" t="s">
        <v>443</v>
      </c>
      <c r="C10" s="1160">
        <f>SUM(C11:C14)</f>
        <v>0</v>
      </c>
      <c r="D10" s="1160">
        <f t="shared" ref="D10:L10" si="4">SUM(D11:D14)</f>
        <v>0</v>
      </c>
      <c r="E10" s="1160">
        <f t="shared" si="4"/>
        <v>0</v>
      </c>
      <c r="F10" s="1160">
        <f t="shared" si="4"/>
        <v>0</v>
      </c>
      <c r="G10" s="1160">
        <f t="shared" si="4"/>
        <v>0</v>
      </c>
      <c r="H10" s="1160">
        <f t="shared" si="4"/>
        <v>0</v>
      </c>
      <c r="I10" s="1160">
        <f t="shared" si="4"/>
        <v>0</v>
      </c>
      <c r="J10" s="1160">
        <f t="shared" si="4"/>
        <v>0</v>
      </c>
      <c r="K10" s="1160">
        <f t="shared" si="4"/>
        <v>0</v>
      </c>
      <c r="L10" s="1170">
        <f t="shared" si="4"/>
        <v>0</v>
      </c>
      <c r="M10" s="1190">
        <f>SUM(M11:M14)</f>
        <v>0</v>
      </c>
    </row>
    <row r="11" spans="2:13" x14ac:dyDescent="0.2">
      <c r="B11" s="1206" t="s">
        <v>444</v>
      </c>
      <c r="C11" s="1157">
        <f>PlanoFinanciamento!E11</f>
        <v>0</v>
      </c>
      <c r="D11" s="1157">
        <f>PlanoFinanciamento!F11</f>
        <v>0</v>
      </c>
      <c r="E11" s="1157">
        <f>PlanoFinanciamento!G11</f>
        <v>0</v>
      </c>
      <c r="F11" s="1157">
        <f>PlanoFinanciamento!H11</f>
        <v>0</v>
      </c>
      <c r="G11" s="1157">
        <f>PlanoFinanciamento!I11</f>
        <v>0</v>
      </c>
      <c r="H11" s="1157">
        <f>PlanoFinanciamento!J11</f>
        <v>0</v>
      </c>
      <c r="I11" s="1157">
        <f>PlanoFinanciamento!K11</f>
        <v>0</v>
      </c>
      <c r="J11" s="1157">
        <f>PlanoFinanciamento!L11</f>
        <v>0</v>
      </c>
      <c r="K11" s="1157">
        <f>PlanoFinanciamento!M11</f>
        <v>0</v>
      </c>
      <c r="L11" s="1174">
        <f>PlanoFinanciamento!N11</f>
        <v>0</v>
      </c>
      <c r="M11" s="1191">
        <f>SUM(C11:L11)</f>
        <v>0</v>
      </c>
    </row>
    <row r="12" spans="2:13" x14ac:dyDescent="0.2">
      <c r="B12" s="1208" t="s">
        <v>445</v>
      </c>
      <c r="C12" s="1156">
        <f>PlanoFinanciamento!E12</f>
        <v>0</v>
      </c>
      <c r="D12" s="1156">
        <f>PlanoFinanciamento!F12</f>
        <v>0</v>
      </c>
      <c r="E12" s="1156">
        <f>PlanoFinanciamento!G12</f>
        <v>0</v>
      </c>
      <c r="F12" s="1156">
        <f>PlanoFinanciamento!H12</f>
        <v>0</v>
      </c>
      <c r="G12" s="1156">
        <f>PlanoFinanciamento!I12</f>
        <v>0</v>
      </c>
      <c r="H12" s="1156">
        <f>PlanoFinanciamento!J12</f>
        <v>0</v>
      </c>
      <c r="I12" s="1156">
        <f>PlanoFinanciamento!K12</f>
        <v>0</v>
      </c>
      <c r="J12" s="1156">
        <f>PlanoFinanciamento!L12</f>
        <v>0</v>
      </c>
      <c r="K12" s="1156">
        <f>PlanoFinanciamento!M12</f>
        <v>0</v>
      </c>
      <c r="L12" s="1175">
        <f>PlanoFinanciamento!N12</f>
        <v>0</v>
      </c>
      <c r="M12" s="1189">
        <f t="shared" ref="M12:M14" si="5">SUM(C12:L12)</f>
        <v>0</v>
      </c>
    </row>
    <row r="13" spans="2:13" x14ac:dyDescent="0.2">
      <c r="B13" s="1208" t="s">
        <v>446</v>
      </c>
      <c r="C13" s="1156">
        <f>PlanoFinanciamento!E14</f>
        <v>0</v>
      </c>
      <c r="D13" s="1156">
        <f>PlanoFinanciamento!F14</f>
        <v>0</v>
      </c>
      <c r="E13" s="1156">
        <f>PlanoFinanciamento!G14</f>
        <v>0</v>
      </c>
      <c r="F13" s="1156">
        <f>PlanoFinanciamento!H14</f>
        <v>0</v>
      </c>
      <c r="G13" s="1156">
        <f>PlanoFinanciamento!I14</f>
        <v>0</v>
      </c>
      <c r="H13" s="1156">
        <f>PlanoFinanciamento!J14</f>
        <v>0</v>
      </c>
      <c r="I13" s="1156">
        <f>PlanoFinanciamento!K14</f>
        <v>0</v>
      </c>
      <c r="J13" s="1156">
        <f>PlanoFinanciamento!L14</f>
        <v>0</v>
      </c>
      <c r="K13" s="1156">
        <f>PlanoFinanciamento!M14</f>
        <v>0</v>
      </c>
      <c r="L13" s="1175">
        <f>PlanoFinanciamento!N14</f>
        <v>0</v>
      </c>
      <c r="M13" s="1189">
        <f t="shared" si="5"/>
        <v>0</v>
      </c>
    </row>
    <row r="14" spans="2:13" x14ac:dyDescent="0.2">
      <c r="B14" s="1207" t="s">
        <v>447</v>
      </c>
      <c r="C14" s="1201">
        <f>PlanoFinanciamento!E15</f>
        <v>0</v>
      </c>
      <c r="D14" s="1201">
        <f>PlanoFinanciamento!F15</f>
        <v>0</v>
      </c>
      <c r="E14" s="1201">
        <f>PlanoFinanciamento!G15</f>
        <v>0</v>
      </c>
      <c r="F14" s="1201">
        <f>PlanoFinanciamento!H15</f>
        <v>0</v>
      </c>
      <c r="G14" s="1201">
        <f>PlanoFinanciamento!I15</f>
        <v>0</v>
      </c>
      <c r="H14" s="1201">
        <f>PlanoFinanciamento!J15</f>
        <v>0</v>
      </c>
      <c r="I14" s="1201">
        <f>PlanoFinanciamento!K15</f>
        <v>0</v>
      </c>
      <c r="J14" s="1201">
        <f>PlanoFinanciamento!L15</f>
        <v>0</v>
      </c>
      <c r="K14" s="1201">
        <f>PlanoFinanciamento!M15</f>
        <v>0</v>
      </c>
      <c r="L14" s="1202">
        <f>PlanoFinanciamento!N15</f>
        <v>0</v>
      </c>
      <c r="M14" s="1196">
        <f t="shared" si="5"/>
        <v>0</v>
      </c>
    </row>
    <row r="15" spans="2:13" x14ac:dyDescent="0.2">
      <c r="B15" s="1204" t="s">
        <v>448</v>
      </c>
      <c r="C15" s="1160">
        <f>C16</f>
        <v>0</v>
      </c>
      <c r="D15" s="1160">
        <f t="shared" ref="D15:L15" si="6">D16</f>
        <v>0</v>
      </c>
      <c r="E15" s="1160">
        <f t="shared" si="6"/>
        <v>0</v>
      </c>
      <c r="F15" s="1160">
        <f t="shared" si="6"/>
        <v>0</v>
      </c>
      <c r="G15" s="1160">
        <f t="shared" si="6"/>
        <v>0</v>
      </c>
      <c r="H15" s="1160">
        <f t="shared" si="6"/>
        <v>0</v>
      </c>
      <c r="I15" s="1160">
        <f t="shared" si="6"/>
        <v>0</v>
      </c>
      <c r="J15" s="1160">
        <f t="shared" si="6"/>
        <v>0</v>
      </c>
      <c r="K15" s="1160">
        <f t="shared" si="6"/>
        <v>0</v>
      </c>
      <c r="L15" s="1170">
        <f t="shared" si="6"/>
        <v>0</v>
      </c>
      <c r="M15" s="1190">
        <f>M16</f>
        <v>0</v>
      </c>
    </row>
    <row r="16" spans="2:13" x14ac:dyDescent="0.2">
      <c r="B16" s="1204" t="s">
        <v>449</v>
      </c>
      <c r="C16" s="1159">
        <f>PlanoFinanciamento!E13</f>
        <v>0</v>
      </c>
      <c r="D16" s="1159">
        <f>PlanoFinanciamento!F13</f>
        <v>0</v>
      </c>
      <c r="E16" s="1159">
        <f>PlanoFinanciamento!G13</f>
        <v>0</v>
      </c>
      <c r="F16" s="1159">
        <f>PlanoFinanciamento!H13</f>
        <v>0</v>
      </c>
      <c r="G16" s="1159">
        <f>PlanoFinanciamento!I13</f>
        <v>0</v>
      </c>
      <c r="H16" s="1159">
        <f>PlanoFinanciamento!J13</f>
        <v>0</v>
      </c>
      <c r="I16" s="1159">
        <f>PlanoFinanciamento!K13</f>
        <v>0</v>
      </c>
      <c r="J16" s="1159">
        <f>PlanoFinanciamento!L13</f>
        <v>0</v>
      </c>
      <c r="K16" s="1159">
        <f>PlanoFinanciamento!M13</f>
        <v>0</v>
      </c>
      <c r="L16" s="1169">
        <f>PlanoFinanciamento!N13</f>
        <v>0</v>
      </c>
      <c r="M16" s="1192">
        <f>SUM(C16:L16)</f>
        <v>0</v>
      </c>
    </row>
    <row r="17" spans="2:13" x14ac:dyDescent="0.2">
      <c r="B17" s="1203" t="s">
        <v>450</v>
      </c>
      <c r="C17" s="1162">
        <f t="shared" ref="C17:L17" si="7">C4+C6+C10+C15</f>
        <v>20635.25</v>
      </c>
      <c r="D17" s="1162">
        <f t="shared" si="7"/>
        <v>93423.17</v>
      </c>
      <c r="E17" s="1162">
        <f t="shared" si="7"/>
        <v>34290.58</v>
      </c>
      <c r="F17" s="1162">
        <f t="shared" si="7"/>
        <v>37334.49035695786</v>
      </c>
      <c r="G17" s="1162">
        <f t="shared" si="7"/>
        <v>38941.10098574344</v>
      </c>
      <c r="H17" s="1162">
        <f t="shared" si="7"/>
        <v>55789.222034603183</v>
      </c>
      <c r="I17" s="1162">
        <f t="shared" si="7"/>
        <v>57412.73293562379</v>
      </c>
      <c r="J17" s="1162">
        <f t="shared" si="7"/>
        <v>59069.320463785392</v>
      </c>
      <c r="K17" s="1162">
        <f t="shared" si="7"/>
        <v>69616.520857567113</v>
      </c>
      <c r="L17" s="1177">
        <f t="shared" si="7"/>
        <v>71341.296523531564</v>
      </c>
      <c r="M17" s="1193">
        <f>SUM(C17:L17)</f>
        <v>537853.68415781227</v>
      </c>
    </row>
    <row r="18" spans="2:13" x14ac:dyDescent="0.2">
      <c r="B18" s="1204" t="s">
        <v>451</v>
      </c>
      <c r="C18" s="1187">
        <f>SUM(C19:C20)</f>
        <v>0</v>
      </c>
      <c r="D18" s="1187">
        <f t="shared" ref="D18:L18" si="8">SUM(D19:D20)</f>
        <v>0</v>
      </c>
      <c r="E18" s="1187">
        <f t="shared" si="8"/>
        <v>0</v>
      </c>
      <c r="F18" s="1187">
        <f t="shared" si="8"/>
        <v>0</v>
      </c>
      <c r="G18" s="1187">
        <f t="shared" si="8"/>
        <v>0</v>
      </c>
      <c r="H18" s="1187">
        <f t="shared" si="8"/>
        <v>0</v>
      </c>
      <c r="I18" s="1187">
        <f t="shared" si="8"/>
        <v>0</v>
      </c>
      <c r="J18" s="1187">
        <f t="shared" si="8"/>
        <v>0</v>
      </c>
      <c r="K18" s="1187">
        <f t="shared" si="8"/>
        <v>0</v>
      </c>
      <c r="L18" s="1187">
        <f t="shared" si="8"/>
        <v>0</v>
      </c>
      <c r="M18" s="1194">
        <f>SUM(M19:M20)</f>
        <v>0</v>
      </c>
    </row>
    <row r="19" spans="2:13" x14ac:dyDescent="0.2">
      <c r="B19" s="1206" t="s">
        <v>452</v>
      </c>
      <c r="C19" s="1183">
        <v>0</v>
      </c>
      <c r="D19" s="1183">
        <v>0</v>
      </c>
      <c r="E19" s="1183">
        <v>0</v>
      </c>
      <c r="F19" s="1183">
        <v>0</v>
      </c>
      <c r="G19" s="1183">
        <v>0</v>
      </c>
      <c r="H19" s="1183">
        <v>0</v>
      </c>
      <c r="I19" s="1183">
        <v>0</v>
      </c>
      <c r="J19" s="1183">
        <v>0</v>
      </c>
      <c r="K19" s="1183">
        <v>0</v>
      </c>
      <c r="L19" s="1184">
        <v>0</v>
      </c>
      <c r="M19" s="1191">
        <f>SUM(C19:L19)</f>
        <v>0</v>
      </c>
    </row>
    <row r="20" spans="2:13" x14ac:dyDescent="0.2">
      <c r="B20" s="1207" t="s">
        <v>453</v>
      </c>
      <c r="C20" s="1163">
        <v>0</v>
      </c>
      <c r="D20" s="1163">
        <v>0</v>
      </c>
      <c r="E20" s="1163">
        <v>0</v>
      </c>
      <c r="F20" s="1163">
        <v>0</v>
      </c>
      <c r="G20" s="1163">
        <v>0</v>
      </c>
      <c r="H20" s="1163">
        <v>0</v>
      </c>
      <c r="I20" s="1163">
        <v>0</v>
      </c>
      <c r="J20" s="1163">
        <v>0</v>
      </c>
      <c r="K20" s="1163">
        <v>0</v>
      </c>
      <c r="L20" s="1178">
        <v>0</v>
      </c>
      <c r="M20" s="1196">
        <f>SUM(C20:L20)</f>
        <v>0</v>
      </c>
    </row>
    <row r="21" spans="2:13" x14ac:dyDescent="0.2">
      <c r="B21" s="1204" t="s">
        <v>454</v>
      </c>
      <c r="C21" s="1188">
        <f>SUM(C22:C23)</f>
        <v>0</v>
      </c>
      <c r="D21" s="1188">
        <f t="shared" ref="D21:L21" si="9">SUM(D22:D23)</f>
        <v>1289.0781249999998</v>
      </c>
      <c r="E21" s="1188">
        <f t="shared" si="9"/>
        <v>1289.0781249999998</v>
      </c>
      <c r="F21" s="1188">
        <f t="shared" si="9"/>
        <v>1289.0781249999998</v>
      </c>
      <c r="G21" s="1188">
        <f t="shared" si="9"/>
        <v>1289.0781249999998</v>
      </c>
      <c r="H21" s="1188">
        <f t="shared" si="9"/>
        <v>0</v>
      </c>
      <c r="I21" s="1188">
        <f t="shared" si="9"/>
        <v>0</v>
      </c>
      <c r="J21" s="1188">
        <f t="shared" si="9"/>
        <v>0</v>
      </c>
      <c r="K21" s="1188">
        <f t="shared" si="9"/>
        <v>0</v>
      </c>
      <c r="L21" s="1188">
        <f t="shared" si="9"/>
        <v>0</v>
      </c>
      <c r="M21" s="1195">
        <f>SUM(M22:M23)</f>
        <v>5156.3124999999991</v>
      </c>
    </row>
    <row r="22" spans="2:13" x14ac:dyDescent="0.2">
      <c r="B22" s="1206" t="s">
        <v>455</v>
      </c>
      <c r="C22" s="1185">
        <f>SaldosDivida!B58</f>
        <v>0</v>
      </c>
      <c r="D22" s="1185">
        <f>SaldosDivida!C58</f>
        <v>0</v>
      </c>
      <c r="E22" s="1185">
        <f>SaldosDivida!D58</f>
        <v>0</v>
      </c>
      <c r="F22" s="1185">
        <f>SaldosDivida!E58</f>
        <v>0</v>
      </c>
      <c r="G22" s="1185">
        <f>SaldosDivida!F58</f>
        <v>0</v>
      </c>
      <c r="H22" s="1185">
        <f>SaldosDivida!G58</f>
        <v>0</v>
      </c>
      <c r="I22" s="1185">
        <f>SaldosDivida!H58</f>
        <v>0</v>
      </c>
      <c r="J22" s="1185">
        <f>SaldosDivida!I58</f>
        <v>0</v>
      </c>
      <c r="K22" s="1185">
        <f>SaldosDivida!J58</f>
        <v>0</v>
      </c>
      <c r="L22" s="1186">
        <f>SaldosDivida!K58</f>
        <v>0</v>
      </c>
      <c r="M22" s="1191">
        <f>SUM(C22:L22)</f>
        <v>0</v>
      </c>
    </row>
    <row r="23" spans="2:13" x14ac:dyDescent="0.2">
      <c r="B23" s="1207" t="s">
        <v>456</v>
      </c>
      <c r="C23" s="1153">
        <f>OrçTesouraria!C46</f>
        <v>0</v>
      </c>
      <c r="D23" s="1153">
        <f>OrçTesouraria!D46</f>
        <v>1289.0781249999998</v>
      </c>
      <c r="E23" s="1153">
        <f>OrçTesouraria!E46</f>
        <v>1289.0781249999998</v>
      </c>
      <c r="F23" s="1153">
        <f>OrçTesouraria!F46</f>
        <v>1289.0781249999998</v>
      </c>
      <c r="G23" s="1153">
        <f>OrçTesouraria!G46</f>
        <v>1289.0781249999998</v>
      </c>
      <c r="H23" s="1153">
        <f>OrçTesouraria!H46</f>
        <v>0</v>
      </c>
      <c r="I23" s="1153">
        <f>OrçTesouraria!I46</f>
        <v>0</v>
      </c>
      <c r="J23" s="1153">
        <f>OrçTesouraria!J46</f>
        <v>0</v>
      </c>
      <c r="K23" s="1153">
        <f>OrçTesouraria!K46</f>
        <v>0</v>
      </c>
      <c r="L23" s="1176">
        <f>OrçTesouraria!L46</f>
        <v>0</v>
      </c>
      <c r="M23" s="1196">
        <f>SUM(C23:L23)</f>
        <v>5156.3124999999991</v>
      </c>
    </row>
    <row r="24" spans="2:13" x14ac:dyDescent="0.2">
      <c r="B24" s="1204" t="s">
        <v>457</v>
      </c>
      <c r="C24" s="1188">
        <f>SUM(C25:C27)</f>
        <v>0</v>
      </c>
      <c r="D24" s="1188">
        <f t="shared" ref="D24:L24" si="10">SUM(D25:D27)</f>
        <v>0</v>
      </c>
      <c r="E24" s="1188">
        <f t="shared" si="10"/>
        <v>0</v>
      </c>
      <c r="F24" s="1188">
        <f t="shared" si="10"/>
        <v>0</v>
      </c>
      <c r="G24" s="1188">
        <f t="shared" si="10"/>
        <v>0</v>
      </c>
      <c r="H24" s="1188">
        <f t="shared" si="10"/>
        <v>0</v>
      </c>
      <c r="I24" s="1188">
        <f t="shared" si="10"/>
        <v>0</v>
      </c>
      <c r="J24" s="1188">
        <f t="shared" si="10"/>
        <v>0</v>
      </c>
      <c r="K24" s="1188">
        <f t="shared" si="10"/>
        <v>0</v>
      </c>
      <c r="L24" s="1188">
        <f t="shared" si="10"/>
        <v>0</v>
      </c>
      <c r="M24" s="1195">
        <f>SUM(M25:M27)</f>
        <v>0</v>
      </c>
    </row>
    <row r="25" spans="2:13" x14ac:dyDescent="0.2">
      <c r="B25" s="1206" t="s">
        <v>458</v>
      </c>
      <c r="C25" s="1158">
        <f>SaldosDivida!B93</f>
        <v>0</v>
      </c>
      <c r="D25" s="1158">
        <f>SaldosDivida!C93</f>
        <v>0</v>
      </c>
      <c r="E25" s="1158">
        <f>SaldosDivida!D93</f>
        <v>0</v>
      </c>
      <c r="F25" s="1158">
        <f>SaldosDivida!E93</f>
        <v>0</v>
      </c>
      <c r="G25" s="1158">
        <f>SaldosDivida!F93</f>
        <v>0</v>
      </c>
      <c r="H25" s="1158">
        <f>SaldosDivida!G93</f>
        <v>0</v>
      </c>
      <c r="I25" s="1158">
        <f>SaldosDivida!H93</f>
        <v>0</v>
      </c>
      <c r="J25" s="1158">
        <f>SaldosDivida!I93</f>
        <v>0</v>
      </c>
      <c r="K25" s="1158">
        <f>SaldosDivida!J93</f>
        <v>0</v>
      </c>
      <c r="L25" s="1171">
        <f>SaldosDivida!K93</f>
        <v>0</v>
      </c>
      <c r="M25" s="1191">
        <f>SUM(C25:L25)</f>
        <v>0</v>
      </c>
    </row>
    <row r="26" spans="2:13" x14ac:dyDescent="0.2">
      <c r="B26" s="1208" t="s">
        <v>459</v>
      </c>
      <c r="C26" s="1124">
        <v>0</v>
      </c>
      <c r="D26" s="1125">
        <v>0</v>
      </c>
      <c r="E26" s="1125">
        <v>0</v>
      </c>
      <c r="F26" s="1125">
        <v>0</v>
      </c>
      <c r="G26" s="1125">
        <v>0</v>
      </c>
      <c r="H26" s="1125">
        <v>0</v>
      </c>
      <c r="I26" s="1125">
        <v>0</v>
      </c>
      <c r="J26" s="1125">
        <v>0</v>
      </c>
      <c r="K26" s="1125">
        <v>0</v>
      </c>
      <c r="L26" s="1179">
        <v>0</v>
      </c>
      <c r="M26" s="1191">
        <f t="shared" ref="M26:M27" si="11">SUM(C26:L26)</f>
        <v>0</v>
      </c>
    </row>
    <row r="27" spans="2:13" x14ac:dyDescent="0.2">
      <c r="B27" s="1207" t="s">
        <v>460</v>
      </c>
      <c r="C27" s="1155">
        <f>SaldosDivida!B91</f>
        <v>0</v>
      </c>
      <c r="D27" s="1155">
        <f>SaldosDivida!C91</f>
        <v>0</v>
      </c>
      <c r="E27" s="1155">
        <f>SaldosDivida!D91</f>
        <v>0</v>
      </c>
      <c r="F27" s="1155">
        <f>SaldosDivida!E91</f>
        <v>0</v>
      </c>
      <c r="G27" s="1155">
        <f>SaldosDivida!F91</f>
        <v>0</v>
      </c>
      <c r="H27" s="1155">
        <f>SaldosDivida!G91</f>
        <v>0</v>
      </c>
      <c r="I27" s="1155">
        <f>SaldosDivida!H91</f>
        <v>0</v>
      </c>
      <c r="J27" s="1155">
        <f>SaldosDivida!I91</f>
        <v>0</v>
      </c>
      <c r="K27" s="1155">
        <f>SaldosDivida!J91</f>
        <v>0</v>
      </c>
      <c r="L27" s="1173">
        <f>SaldosDivida!K91</f>
        <v>0</v>
      </c>
      <c r="M27" s="1196">
        <f t="shared" si="11"/>
        <v>0</v>
      </c>
    </row>
    <row r="28" spans="2:13" x14ac:dyDescent="0.2">
      <c r="B28" s="1204" t="s">
        <v>461</v>
      </c>
      <c r="C28" s="1188">
        <f>C29</f>
        <v>0</v>
      </c>
      <c r="D28" s="1188">
        <f t="shared" ref="D28:L28" si="12">D29</f>
        <v>40000</v>
      </c>
      <c r="E28" s="1188">
        <f t="shared" si="12"/>
        <v>0</v>
      </c>
      <c r="F28" s="1188">
        <f t="shared" si="12"/>
        <v>0</v>
      </c>
      <c r="G28" s="1188">
        <f t="shared" si="12"/>
        <v>0</v>
      </c>
      <c r="H28" s="1188">
        <f t="shared" si="12"/>
        <v>0</v>
      </c>
      <c r="I28" s="1188">
        <f t="shared" si="12"/>
        <v>0</v>
      </c>
      <c r="J28" s="1188">
        <f t="shared" si="12"/>
        <v>0</v>
      </c>
      <c r="K28" s="1188">
        <f t="shared" si="12"/>
        <v>0</v>
      </c>
      <c r="L28" s="1188">
        <f t="shared" si="12"/>
        <v>0</v>
      </c>
      <c r="M28" s="1195">
        <f>M29</f>
        <v>40000</v>
      </c>
    </row>
    <row r="29" spans="2:13" x14ac:dyDescent="0.2">
      <c r="B29" s="1122" t="s">
        <v>462</v>
      </c>
      <c r="C29" s="1159">
        <f>PlanoInvest!C96+PlanoInvest!C98</f>
        <v>0</v>
      </c>
      <c r="D29" s="1159">
        <f>PlanoInvest!D96+PlanoInvest!D98</f>
        <v>40000</v>
      </c>
      <c r="E29" s="1159">
        <f>PlanoInvest!E96+PlanoInvest!E98</f>
        <v>0</v>
      </c>
      <c r="F29" s="1159">
        <f>PlanoInvest!F96+PlanoInvest!F98</f>
        <v>0</v>
      </c>
      <c r="G29" s="1159">
        <f>PlanoInvest!G96+PlanoInvest!G98</f>
        <v>0</v>
      </c>
      <c r="H29" s="1159">
        <f>PlanoInvest!H96+PlanoInvest!H98</f>
        <v>0</v>
      </c>
      <c r="I29" s="1159">
        <f>PlanoInvest!I96+PlanoInvest!I98</f>
        <v>0</v>
      </c>
      <c r="J29" s="1159">
        <f>PlanoInvest!J96+PlanoInvest!J98</f>
        <v>0</v>
      </c>
      <c r="K29" s="1159">
        <f>PlanoInvest!K96+PlanoInvest!K98</f>
        <v>0</v>
      </c>
      <c r="L29" s="1169">
        <f>PlanoInvest!L96+PlanoInvest!L98</f>
        <v>0</v>
      </c>
      <c r="M29" s="1192">
        <f>SUM(C29:L29)</f>
        <v>40000</v>
      </c>
    </row>
    <row r="30" spans="2:13" x14ac:dyDescent="0.2">
      <c r="B30" s="1204" t="s">
        <v>463</v>
      </c>
      <c r="C30" s="1181">
        <f>FM!H18</f>
        <v>247467.66891957284</v>
      </c>
      <c r="D30" s="1181">
        <f>FM!I18</f>
        <v>32679.349864786956</v>
      </c>
      <c r="E30" s="1181">
        <f>FM!J18</f>
        <v>37892.747626675176</v>
      </c>
      <c r="F30" s="1181">
        <f>FM!K18</f>
        <v>38084.394320220803</v>
      </c>
      <c r="G30" s="1181">
        <f>FM!L18</f>
        <v>14004.335102317971</v>
      </c>
      <c r="H30" s="1181">
        <f>FM!M18</f>
        <v>12982.347469519125</v>
      </c>
      <c r="I30" s="1181">
        <f>FM!N18</f>
        <v>14800.077054568334</v>
      </c>
      <c r="J30" s="1181">
        <f>FM!O18</f>
        <v>15097.429683292168</v>
      </c>
      <c r="K30" s="1181">
        <f>FM!P18</f>
        <v>12829.409339064034</v>
      </c>
      <c r="L30" s="1181">
        <f>FM!Q18</f>
        <v>15710.177599088638</v>
      </c>
      <c r="M30" s="1190">
        <f>SUM(C30:L30)</f>
        <v>441547.93697910605</v>
      </c>
    </row>
    <row r="31" spans="2:13" x14ac:dyDescent="0.2">
      <c r="B31" s="1205" t="s">
        <v>464</v>
      </c>
      <c r="C31" s="1165">
        <v>0</v>
      </c>
      <c r="D31" s="1165">
        <v>0</v>
      </c>
      <c r="E31" s="1165">
        <v>0</v>
      </c>
      <c r="F31" s="1165">
        <v>0</v>
      </c>
      <c r="G31" s="1165">
        <v>0</v>
      </c>
      <c r="H31" s="1165">
        <v>0</v>
      </c>
      <c r="I31" s="1165">
        <v>0</v>
      </c>
      <c r="J31" s="1165">
        <v>0</v>
      </c>
      <c r="K31" s="1165">
        <v>0</v>
      </c>
      <c r="L31" s="1165">
        <v>0</v>
      </c>
      <c r="M31" s="1190">
        <f>SUM(C31:L31)</f>
        <v>0</v>
      </c>
    </row>
    <row r="32" spans="2:13" x14ac:dyDescent="0.2">
      <c r="B32" s="1203" t="s">
        <v>450</v>
      </c>
      <c r="C32" s="1182">
        <f t="shared" ref="C32:L32" si="13">C18+C21+C24+C28+C30+C31</f>
        <v>247467.66891957284</v>
      </c>
      <c r="D32" s="1182">
        <f t="shared" si="13"/>
        <v>73968.427989786956</v>
      </c>
      <c r="E32" s="1182">
        <f t="shared" si="13"/>
        <v>39181.825751675176</v>
      </c>
      <c r="F32" s="1182">
        <f t="shared" si="13"/>
        <v>39373.472445220803</v>
      </c>
      <c r="G32" s="1182">
        <f t="shared" si="13"/>
        <v>15293.413227317971</v>
      </c>
      <c r="H32" s="1182">
        <f t="shared" si="13"/>
        <v>12982.347469519125</v>
      </c>
      <c r="I32" s="1182">
        <f t="shared" si="13"/>
        <v>14800.077054568334</v>
      </c>
      <c r="J32" s="1182">
        <f t="shared" si="13"/>
        <v>15097.429683292168</v>
      </c>
      <c r="K32" s="1182">
        <f t="shared" si="13"/>
        <v>12829.409339064034</v>
      </c>
      <c r="L32" s="1177">
        <f t="shared" si="13"/>
        <v>15710.177599088638</v>
      </c>
      <c r="M32" s="1195">
        <f>SUM(C32:L32)</f>
        <v>486704.24947910605</v>
      </c>
    </row>
    <row r="33" spans="2:13" ht="15" customHeight="1" x14ac:dyDescent="0.2">
      <c r="B33" s="1164" t="s">
        <v>465</v>
      </c>
      <c r="C33" s="1166">
        <f t="shared" ref="C33:L33" si="14">C32-C17</f>
        <v>226832.41891957284</v>
      </c>
      <c r="D33" s="1167">
        <f t="shared" si="14"/>
        <v>-19454.742010213042</v>
      </c>
      <c r="E33" s="1167">
        <f t="shared" si="14"/>
        <v>4891.2457516751747</v>
      </c>
      <c r="F33" s="1167">
        <f t="shared" si="14"/>
        <v>2038.9820882629429</v>
      </c>
      <c r="G33" s="1167">
        <f t="shared" si="14"/>
        <v>-23647.687758425469</v>
      </c>
      <c r="H33" s="1167">
        <f t="shared" si="14"/>
        <v>-42806.874565084057</v>
      </c>
      <c r="I33" s="1167">
        <f t="shared" si="14"/>
        <v>-42612.655881055456</v>
      </c>
      <c r="J33" s="1167">
        <f t="shared" si="14"/>
        <v>-43971.890780493224</v>
      </c>
      <c r="K33" s="1167">
        <f t="shared" si="14"/>
        <v>-56787.111518503079</v>
      </c>
      <c r="L33" s="1180">
        <f t="shared" si="14"/>
        <v>-55631.118924442926</v>
      </c>
      <c r="M33" s="1195">
        <f>SUM(C33:L33)</f>
        <v>-51149.434678706282</v>
      </c>
    </row>
    <row r="34" spans="2:13" x14ac:dyDescent="0.2">
      <c r="C34" s="1123"/>
      <c r="D34" s="1123"/>
      <c r="E34" s="1123"/>
      <c r="F34" s="1123"/>
      <c r="G34" s="1123"/>
      <c r="H34" s="1123"/>
      <c r="I34" s="1123"/>
      <c r="J34" s="1123"/>
      <c r="K34" s="1123"/>
      <c r="L34" s="1123"/>
      <c r="M34" s="1123"/>
    </row>
    <row r="35" spans="2:13" x14ac:dyDescent="0.2">
      <c r="C35" s="1123"/>
      <c r="D35" s="1123"/>
      <c r="E35" s="1123"/>
      <c r="F35" s="1123"/>
      <c r="G35" s="1123"/>
      <c r="H35" s="1123"/>
      <c r="I35" s="1123"/>
      <c r="J35" s="1123"/>
      <c r="K35" s="1123"/>
      <c r="L35" s="1123"/>
      <c r="M35" s="1123"/>
    </row>
  </sheetData>
  <mergeCells count="1">
    <mergeCell ref="I2:M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"/>
  <sheetViews>
    <sheetView workbookViewId="0">
      <pane xSplit="1" ySplit="23" topLeftCell="B24" activePane="bottomRight" state="frozen"/>
      <selection pane="topRight" activeCell="B1" sqref="B1"/>
      <selection pane="bottomLeft" activeCell="A24" sqref="A24"/>
      <selection pane="bottomRight" activeCell="C7" sqref="C7"/>
    </sheetView>
  </sheetViews>
  <sheetFormatPr defaultColWidth="9.140625" defaultRowHeight="12" x14ac:dyDescent="0.2"/>
  <cols>
    <col min="1" max="1" width="1.140625" style="1289" customWidth="1"/>
    <col min="2" max="2" width="25.5703125" style="1289" bestFit="1" customWidth="1"/>
    <col min="3" max="12" width="9.85546875" style="1289" bestFit="1" customWidth="1"/>
    <col min="13" max="14" width="9.140625" style="1289"/>
    <col min="15" max="46" width="9.140625" style="1290"/>
    <col min="47" max="16384" width="9.140625" style="1234"/>
  </cols>
  <sheetData>
    <row r="1" spans="1:46" ht="5.45" customHeight="1" thickBot="1" x14ac:dyDescent="0.25"/>
    <row r="2" spans="1:46" ht="12.75" thickTop="1" x14ac:dyDescent="0.2">
      <c r="B2" s="1291" t="s">
        <v>635</v>
      </c>
      <c r="C2" s="1292"/>
      <c r="D2" s="1292"/>
      <c r="E2" s="1292"/>
      <c r="F2" s="1292"/>
      <c r="G2" s="1292"/>
      <c r="H2" s="1292"/>
      <c r="I2" s="1292"/>
      <c r="J2" s="1292"/>
      <c r="K2" s="1292"/>
      <c r="L2" s="1385"/>
    </row>
    <row r="3" spans="1:46" ht="12.75" thickBot="1" x14ac:dyDescent="0.25">
      <c r="B3" s="1293"/>
      <c r="C3" s="1294"/>
      <c r="D3" s="1294"/>
      <c r="E3" s="1294"/>
      <c r="F3" s="1294"/>
      <c r="G3" s="1294"/>
      <c r="H3" s="1294"/>
      <c r="I3" s="1294"/>
      <c r="J3" s="1294"/>
      <c r="K3" s="1294"/>
      <c r="L3" s="1386"/>
    </row>
    <row r="4" spans="1:46" ht="12.75" thickBot="1" x14ac:dyDescent="0.25">
      <c r="B4" s="1387" t="s">
        <v>556</v>
      </c>
      <c r="C4" s="1295" t="s">
        <v>295</v>
      </c>
      <c r="D4" s="1296"/>
      <c r="E4" s="1296"/>
      <c r="F4" s="1296"/>
      <c r="G4" s="1296"/>
      <c r="H4" s="1296"/>
      <c r="I4" s="1296"/>
      <c r="J4" s="1296"/>
      <c r="K4" s="1296"/>
      <c r="L4" s="1388"/>
    </row>
    <row r="5" spans="1:46" ht="12.75" thickBot="1" x14ac:dyDescent="0.25">
      <c r="B5" s="1297"/>
      <c r="C5" s="1296"/>
      <c r="D5" s="1296"/>
      <c r="E5" s="1296"/>
      <c r="F5" s="1296"/>
      <c r="G5" s="1296"/>
      <c r="H5" s="1296"/>
      <c r="I5" s="1296"/>
      <c r="J5" s="1296"/>
      <c r="K5" s="1296"/>
      <c r="L5" s="1388"/>
    </row>
    <row r="6" spans="1:46" s="1300" customFormat="1" ht="13.5" thickTop="1" thickBot="1" x14ac:dyDescent="0.25">
      <c r="A6" s="1298"/>
      <c r="B6" s="1399" t="s">
        <v>182</v>
      </c>
      <c r="C6" s="1400">
        <f>Pressupostos!C11</f>
        <v>2020</v>
      </c>
      <c r="D6" s="1400">
        <f t="shared" ref="D6:L6" si="0">C6+1</f>
        <v>2021</v>
      </c>
      <c r="E6" s="1400">
        <f t="shared" si="0"/>
        <v>2022</v>
      </c>
      <c r="F6" s="1400">
        <f t="shared" si="0"/>
        <v>2023</v>
      </c>
      <c r="G6" s="1400">
        <f t="shared" si="0"/>
        <v>2024</v>
      </c>
      <c r="H6" s="1400">
        <f t="shared" si="0"/>
        <v>2025</v>
      </c>
      <c r="I6" s="1400">
        <f t="shared" si="0"/>
        <v>2026</v>
      </c>
      <c r="J6" s="1400">
        <f t="shared" si="0"/>
        <v>2027</v>
      </c>
      <c r="K6" s="1400">
        <f t="shared" si="0"/>
        <v>2028</v>
      </c>
      <c r="L6" s="1401">
        <f t="shared" si="0"/>
        <v>2029</v>
      </c>
      <c r="M6" s="1298"/>
      <c r="N6" s="1298"/>
      <c r="O6" s="1299"/>
      <c r="P6" s="1299"/>
      <c r="Q6" s="1299"/>
      <c r="R6" s="1299"/>
      <c r="S6" s="1299"/>
      <c r="T6" s="1299"/>
      <c r="U6" s="1299"/>
      <c r="V6" s="1299"/>
      <c r="W6" s="1299"/>
      <c r="X6" s="1299"/>
      <c r="Y6" s="1299"/>
      <c r="Z6" s="1299"/>
      <c r="AA6" s="1299"/>
      <c r="AB6" s="1299"/>
      <c r="AC6" s="1299"/>
      <c r="AD6" s="1299"/>
      <c r="AE6" s="1299"/>
      <c r="AF6" s="1299"/>
      <c r="AG6" s="1299"/>
      <c r="AH6" s="1299"/>
      <c r="AI6" s="1299"/>
      <c r="AJ6" s="1299"/>
      <c r="AK6" s="1299"/>
      <c r="AL6" s="1299"/>
      <c r="AM6" s="1299"/>
      <c r="AN6" s="1299"/>
      <c r="AO6" s="1299"/>
      <c r="AP6" s="1299"/>
      <c r="AQ6" s="1299"/>
      <c r="AR6" s="1299"/>
      <c r="AS6" s="1299"/>
      <c r="AT6" s="1299"/>
    </row>
    <row r="7" spans="1:46" ht="12.75" thickTop="1" x14ac:dyDescent="0.2">
      <c r="B7" s="1398" t="s">
        <v>557</v>
      </c>
      <c r="C7" s="1402">
        <f>DR_Projeto!C21</f>
        <v>-6531.4312639501804</v>
      </c>
      <c r="D7" s="1402">
        <f>DR_Projeto!D21</f>
        <v>35298.83754993444</v>
      </c>
      <c r="E7" s="1402">
        <f>DR_Projeto!E21</f>
        <v>28667.030623978513</v>
      </c>
      <c r="F7" s="1402">
        <f>DR_Projeto!F21</f>
        <v>43394.964588079405</v>
      </c>
      <c r="G7" s="1402">
        <f>DR_Projeto!G21</f>
        <v>45406.997228583881</v>
      </c>
      <c r="H7" s="1402">
        <f>DR_Projeto!H21</f>
        <v>44197.522453827471</v>
      </c>
      <c r="I7" s="1402">
        <f>DR_Projeto!I21</f>
        <v>46292.375229337929</v>
      </c>
      <c r="J7" s="1402">
        <f>DR_Projeto!J21</f>
        <v>48429.907523740003</v>
      </c>
      <c r="K7" s="1402">
        <f>DR_Projeto!K21</f>
        <v>50610.988654925059</v>
      </c>
      <c r="L7" s="1410">
        <f>DR_Projeto!L21</f>
        <v>52836.50564326629</v>
      </c>
    </row>
    <row r="8" spans="1:46" x14ac:dyDescent="0.2">
      <c r="B8" s="1308" t="s">
        <v>558</v>
      </c>
      <c r="C8" s="1403">
        <f>-DR_Projeto!C28</f>
        <v>0</v>
      </c>
      <c r="D8" s="1403">
        <f>-DR_Projeto!D28</f>
        <v>-7806.3362673695092</v>
      </c>
      <c r="E8" s="1403">
        <f>-DR_Projeto!E28</f>
        <v>-6327.9077087568949</v>
      </c>
      <c r="F8" s="1403">
        <f>-DR_Projeto!F28</f>
        <v>-9655.420850407063</v>
      </c>
      <c r="G8" s="1403">
        <f>-DR_Projeto!G28</f>
        <v>-10121.856194248039</v>
      </c>
      <c r="H8" s="1403">
        <f>-DR_Projeto!H28</f>
        <v>-7610.0203697234483</v>
      </c>
      <c r="I8" s="1403">
        <f>-DR_Projeto!I28</f>
        <v>-8081.3622442133019</v>
      </c>
      <c r="J8" s="1403">
        <f>-DR_Projeto!J28</f>
        <v>-8562.3070104537692</v>
      </c>
      <c r="K8" s="1403">
        <f>-DR_Projeto!K28</f>
        <v>-11624.397447358137</v>
      </c>
      <c r="L8" s="1406">
        <f>-DR_Projeto!L28</f>
        <v>-12125.138769734915</v>
      </c>
    </row>
    <row r="9" spans="1:46" s="1306" customFormat="1" x14ac:dyDescent="0.2">
      <c r="A9" s="1304"/>
      <c r="B9" s="1395" t="s">
        <v>636</v>
      </c>
      <c r="C9" s="1404">
        <f>FM!$G$16</f>
        <v>358007.51000000013</v>
      </c>
      <c r="D9" s="1404">
        <f>FM!$G$16</f>
        <v>358007.51000000013</v>
      </c>
      <c r="E9" s="1404">
        <f>FM!$G$16</f>
        <v>358007.51000000013</v>
      </c>
      <c r="F9" s="1404">
        <f>FM!$G$16</f>
        <v>358007.51000000013</v>
      </c>
      <c r="G9" s="1404">
        <f>FM!$G$16</f>
        <v>358007.51000000013</v>
      </c>
      <c r="H9" s="1404">
        <f>FM!$G$16</f>
        <v>358007.51000000013</v>
      </c>
      <c r="I9" s="1404">
        <f>FM!$G$16</f>
        <v>358007.51000000013</v>
      </c>
      <c r="J9" s="1404">
        <f>FM!$G$16</f>
        <v>358007.51000000013</v>
      </c>
      <c r="K9" s="1404">
        <f>FM!$G$16</f>
        <v>358007.51000000013</v>
      </c>
      <c r="L9" s="1405">
        <f>FM!$G$16</f>
        <v>358007.51000000013</v>
      </c>
      <c r="M9" s="1304"/>
      <c r="N9" s="1304"/>
      <c r="O9" s="1305"/>
      <c r="P9" s="1305"/>
      <c r="Q9" s="1305"/>
      <c r="R9" s="1305"/>
      <c r="S9" s="1305"/>
      <c r="T9" s="1305"/>
      <c r="U9" s="1305"/>
      <c r="V9" s="1305"/>
      <c r="W9" s="1305"/>
      <c r="X9" s="1305"/>
      <c r="Y9" s="1305"/>
      <c r="Z9" s="1305"/>
      <c r="AA9" s="1305"/>
      <c r="AB9" s="1305"/>
      <c r="AC9" s="1305"/>
      <c r="AD9" s="1305"/>
      <c r="AE9" s="1305"/>
      <c r="AF9" s="1305"/>
      <c r="AG9" s="1305"/>
      <c r="AH9" s="1305"/>
      <c r="AI9" s="1305"/>
      <c r="AJ9" s="1305"/>
      <c r="AK9" s="1305"/>
      <c r="AL9" s="1305"/>
      <c r="AM9" s="1305"/>
      <c r="AN9" s="1305"/>
      <c r="AO9" s="1305"/>
      <c r="AP9" s="1305"/>
      <c r="AQ9" s="1305"/>
      <c r="AR9" s="1305"/>
      <c r="AS9" s="1305"/>
      <c r="AT9" s="1305"/>
    </row>
    <row r="10" spans="1:46" s="1306" customFormat="1" x14ac:dyDescent="0.2">
      <c r="A10" s="1304"/>
      <c r="B10" s="1395" t="s">
        <v>637</v>
      </c>
      <c r="C10" s="1404">
        <f>FM!H16</f>
        <v>605475.17891957297</v>
      </c>
      <c r="D10" s="1404">
        <f>FM!I16</f>
        <v>638154.52878435992</v>
      </c>
      <c r="E10" s="1404">
        <f>FM!J16</f>
        <v>676047.2764110351</v>
      </c>
      <c r="F10" s="1404">
        <f>FM!K16</f>
        <v>714131.6707312559</v>
      </c>
      <c r="G10" s="1404">
        <f>FM!L16</f>
        <v>728136.00583357387</v>
      </c>
      <c r="H10" s="1404">
        <f>FM!M16</f>
        <v>741118.353303093</v>
      </c>
      <c r="I10" s="1404">
        <f>FM!N16</f>
        <v>755918.43035766133</v>
      </c>
      <c r="J10" s="1404">
        <f>FM!O16</f>
        <v>771015.8600409535</v>
      </c>
      <c r="K10" s="1404">
        <f>FM!P16</f>
        <v>783845.26938001753</v>
      </c>
      <c r="L10" s="1405">
        <f>FM!Q16</f>
        <v>799555.44697910617</v>
      </c>
      <c r="M10" s="1304"/>
      <c r="N10" s="1304"/>
      <c r="O10" s="1305"/>
      <c r="P10" s="1305"/>
      <c r="Q10" s="1305"/>
      <c r="R10" s="1305"/>
      <c r="S10" s="1305"/>
      <c r="T10" s="1305"/>
      <c r="U10" s="1305"/>
      <c r="V10" s="1305"/>
      <c r="W10" s="1305"/>
      <c r="X10" s="1305"/>
      <c r="Y10" s="1305"/>
      <c r="Z10" s="1305"/>
      <c r="AA10" s="1305"/>
      <c r="AB10" s="1305"/>
      <c r="AC10" s="1305"/>
      <c r="AD10" s="1305"/>
      <c r="AE10" s="1305"/>
      <c r="AF10" s="1305"/>
      <c r="AG10" s="1305"/>
      <c r="AH10" s="1305"/>
      <c r="AI10" s="1305"/>
      <c r="AJ10" s="1305"/>
      <c r="AK10" s="1305"/>
      <c r="AL10" s="1305"/>
      <c r="AM10" s="1305"/>
      <c r="AN10" s="1305"/>
      <c r="AO10" s="1305"/>
      <c r="AP10" s="1305"/>
      <c r="AQ10" s="1305"/>
      <c r="AR10" s="1305"/>
      <c r="AS10" s="1305"/>
      <c r="AT10" s="1305"/>
    </row>
    <row r="11" spans="1:46" s="1306" customFormat="1" x14ac:dyDescent="0.2">
      <c r="A11" s="1304"/>
      <c r="B11" s="1395" t="s">
        <v>638</v>
      </c>
      <c r="C11" s="1404">
        <f>C10-C9</f>
        <v>247467.66891957284</v>
      </c>
      <c r="D11" s="1404">
        <f t="shared" ref="D11:L11" si="1">D10-D9</f>
        <v>280147.0187843598</v>
      </c>
      <c r="E11" s="1404">
        <f t="shared" si="1"/>
        <v>318039.76641103497</v>
      </c>
      <c r="F11" s="1404">
        <f t="shared" si="1"/>
        <v>356124.16073125578</v>
      </c>
      <c r="G11" s="1404">
        <f t="shared" si="1"/>
        <v>370128.49583357375</v>
      </c>
      <c r="H11" s="1404">
        <f t="shared" si="1"/>
        <v>383110.84330309287</v>
      </c>
      <c r="I11" s="1404">
        <f t="shared" si="1"/>
        <v>397910.92035766121</v>
      </c>
      <c r="J11" s="1404">
        <f t="shared" si="1"/>
        <v>413008.35004095337</v>
      </c>
      <c r="K11" s="1404">
        <f t="shared" si="1"/>
        <v>425837.75938001741</v>
      </c>
      <c r="L11" s="1405">
        <f t="shared" si="1"/>
        <v>441547.93697910605</v>
      </c>
      <c r="M11" s="1304"/>
      <c r="N11" s="1304"/>
      <c r="O11" s="1305"/>
      <c r="P11" s="1305"/>
      <c r="Q11" s="1305"/>
      <c r="R11" s="1305"/>
      <c r="S11" s="1305"/>
      <c r="T11" s="1305"/>
      <c r="U11" s="1305"/>
      <c r="V11" s="1305"/>
      <c r="W11" s="1305"/>
      <c r="X11" s="1305"/>
      <c r="Y11" s="1305"/>
      <c r="Z11" s="1305"/>
      <c r="AA11" s="1305"/>
      <c r="AB11" s="1305"/>
      <c r="AC11" s="1305"/>
      <c r="AD11" s="1305"/>
      <c r="AE11" s="1305"/>
      <c r="AF11" s="1305"/>
      <c r="AG11" s="1305"/>
      <c r="AH11" s="1305"/>
      <c r="AI11" s="1305"/>
      <c r="AJ11" s="1305"/>
      <c r="AK11" s="1305"/>
      <c r="AL11" s="1305"/>
      <c r="AM11" s="1305"/>
      <c r="AN11" s="1305"/>
      <c r="AO11" s="1305"/>
      <c r="AP11" s="1305"/>
      <c r="AQ11" s="1305"/>
      <c r="AR11" s="1305"/>
      <c r="AS11" s="1305"/>
      <c r="AT11" s="1305"/>
    </row>
    <row r="12" spans="1:46" x14ac:dyDescent="0.2">
      <c r="B12" s="1308" t="s">
        <v>564</v>
      </c>
      <c r="C12" s="1403">
        <f>-C11</f>
        <v>-247467.66891957284</v>
      </c>
      <c r="D12" s="1403">
        <f>-(D11-C11)</f>
        <v>-32679.349864786956</v>
      </c>
      <c r="E12" s="1403">
        <f t="shared" ref="E12:L12" si="2">-(E11-D11)</f>
        <v>-37892.747626675176</v>
      </c>
      <c r="F12" s="1403">
        <f t="shared" si="2"/>
        <v>-38084.394320220803</v>
      </c>
      <c r="G12" s="1403">
        <f t="shared" si="2"/>
        <v>-14004.335102317971</v>
      </c>
      <c r="H12" s="1403">
        <f t="shared" si="2"/>
        <v>-12982.347469519125</v>
      </c>
      <c r="I12" s="1403">
        <f t="shared" si="2"/>
        <v>-14800.077054568334</v>
      </c>
      <c r="J12" s="1403">
        <f t="shared" si="2"/>
        <v>-15097.429683292168</v>
      </c>
      <c r="K12" s="1403">
        <f t="shared" si="2"/>
        <v>-12829.409339064034</v>
      </c>
      <c r="L12" s="1406">
        <f t="shared" si="2"/>
        <v>-15710.177599088638</v>
      </c>
    </row>
    <row r="13" spans="1:46" x14ac:dyDescent="0.2">
      <c r="B13" s="1308" t="s">
        <v>639</v>
      </c>
      <c r="C13" s="1403">
        <f>-SUM(PlanoInvest!C96:C99)</f>
        <v>0</v>
      </c>
      <c r="D13" s="1403">
        <f>-SUM(PlanoInvest!D96:D99)</f>
        <v>-40000</v>
      </c>
      <c r="E13" s="1403">
        <f>-SUM(PlanoInvest!E96:E99)</f>
        <v>0</v>
      </c>
      <c r="F13" s="1403">
        <f>-SUM(PlanoInvest!F96:F99)</f>
        <v>0</v>
      </c>
      <c r="G13" s="1403">
        <f>-SUM(PlanoInvest!G96:G99)</f>
        <v>0</v>
      </c>
      <c r="H13" s="1403">
        <f>-SUM(PlanoInvest!H96:H99)</f>
        <v>0</v>
      </c>
      <c r="I13" s="1403">
        <f>-SUM(PlanoInvest!I96:I99)</f>
        <v>0</v>
      </c>
      <c r="J13" s="1403">
        <f>-SUM(PlanoInvest!J96:J99)</f>
        <v>0</v>
      </c>
      <c r="K13" s="1403">
        <f>-SUM(PlanoInvest!K96:K99)</f>
        <v>0</v>
      </c>
      <c r="L13" s="1406">
        <f>-SUM(PlanoInvest!L96:L99)</f>
        <v>0</v>
      </c>
    </row>
    <row r="14" spans="1:46" ht="12.75" thickBot="1" x14ac:dyDescent="0.25">
      <c r="B14" s="1311" t="s">
        <v>559</v>
      </c>
      <c r="C14" s="1407">
        <f>-DR_Projeto!C26</f>
        <v>-10619.26302798936</v>
      </c>
      <c r="D14" s="1407">
        <f>-DR_Projeto!D26</f>
        <v>-10604.009694958839</v>
      </c>
      <c r="E14" s="1407">
        <f>-DR_Projeto!E26</f>
        <v>-10542.996362836757</v>
      </c>
      <c r="F14" s="1407">
        <f>-DR_Projeto!F26</f>
        <v>-10481.983030714675</v>
      </c>
      <c r="G14" s="1407">
        <f>-DR_Projeto!G26</f>
        <v>-10420.969698592593</v>
      </c>
      <c r="H14" s="1407">
        <f>-DR_Projeto!H26</f>
        <v>-10375.209699501032</v>
      </c>
      <c r="I14" s="1407">
        <f>-DR_Projeto!I26</f>
        <v>-10375.209699501032</v>
      </c>
      <c r="J14" s="1407">
        <f>-DR_Projeto!J26</f>
        <v>-10375.209699501032</v>
      </c>
      <c r="K14" s="1407">
        <f>-DR_Projeto!K26</f>
        <v>1053</v>
      </c>
      <c r="L14" s="1411">
        <f>-DR_Projeto!L26</f>
        <v>1053</v>
      </c>
    </row>
    <row r="15" spans="1:46" x14ac:dyDescent="0.2">
      <c r="B15" s="1396" t="s">
        <v>560</v>
      </c>
      <c r="C15" s="1408">
        <f t="shared" ref="C15:L15" si="3">C7+C8+C12+C13+C14</f>
        <v>-264618.36321151239</v>
      </c>
      <c r="D15" s="1408">
        <f t="shared" si="3"/>
        <v>-55790.858277180865</v>
      </c>
      <c r="E15" s="1408">
        <f t="shared" si="3"/>
        <v>-26096.621074290313</v>
      </c>
      <c r="F15" s="1408">
        <f t="shared" si="3"/>
        <v>-14826.833613263136</v>
      </c>
      <c r="G15" s="1408">
        <f t="shared" si="3"/>
        <v>10859.83623342528</v>
      </c>
      <c r="H15" s="1408">
        <f t="shared" si="3"/>
        <v>13229.944915083866</v>
      </c>
      <c r="I15" s="1408">
        <f t="shared" si="3"/>
        <v>13035.726231055265</v>
      </c>
      <c r="J15" s="1408">
        <f t="shared" si="3"/>
        <v>14394.961130493033</v>
      </c>
      <c r="K15" s="1408">
        <f t="shared" si="3"/>
        <v>27210.181868502885</v>
      </c>
      <c r="L15" s="1409">
        <f t="shared" si="3"/>
        <v>26054.189274442739</v>
      </c>
    </row>
    <row r="16" spans="1:46" ht="12.75" thickBot="1" x14ac:dyDescent="0.25">
      <c r="B16" s="1397" t="s">
        <v>561</v>
      </c>
      <c r="C16" s="1412"/>
      <c r="D16" s="1412"/>
      <c r="E16" s="1412"/>
      <c r="F16" s="1412"/>
      <c r="G16" s="1412"/>
      <c r="H16" s="1412"/>
      <c r="I16" s="1412"/>
      <c r="J16" s="1412"/>
      <c r="K16" s="1412"/>
      <c r="L16" s="1413">
        <f>IF($C$4="Sim",L15*(1+Pressupostos!$M$17)/(Pressupostos!$C$35-Pressupostos!$M$17),Balanço!E18-(Amortização!$D$83-Amortização!N93)+L11)</f>
        <v>438578.85278645268</v>
      </c>
    </row>
    <row r="17" spans="1:46" s="1244" customFormat="1" x14ac:dyDescent="0.2">
      <c r="A17" s="1302"/>
      <c r="B17" s="1312" t="s">
        <v>562</v>
      </c>
      <c r="C17" s="1414">
        <f t="shared" ref="C17:L17" si="4">C15+C16</f>
        <v>-264618.36321151239</v>
      </c>
      <c r="D17" s="1414">
        <f t="shared" si="4"/>
        <v>-55790.858277180865</v>
      </c>
      <c r="E17" s="1414">
        <f t="shared" si="4"/>
        <v>-26096.621074290313</v>
      </c>
      <c r="F17" s="1414">
        <f t="shared" si="4"/>
        <v>-14826.833613263136</v>
      </c>
      <c r="G17" s="1414">
        <f t="shared" si="4"/>
        <v>10859.83623342528</v>
      </c>
      <c r="H17" s="1414">
        <f t="shared" si="4"/>
        <v>13229.944915083866</v>
      </c>
      <c r="I17" s="1414">
        <f t="shared" si="4"/>
        <v>13035.726231055265</v>
      </c>
      <c r="J17" s="1414">
        <f t="shared" si="4"/>
        <v>14394.961130493033</v>
      </c>
      <c r="K17" s="1414">
        <f t="shared" si="4"/>
        <v>27210.181868502885</v>
      </c>
      <c r="L17" s="1415">
        <f t="shared" si="4"/>
        <v>464633.04206089542</v>
      </c>
      <c r="M17" s="1302"/>
      <c r="N17" s="1302"/>
      <c r="O17" s="1303"/>
      <c r="P17" s="1303"/>
      <c r="Q17" s="1303"/>
      <c r="R17" s="1303"/>
      <c r="S17" s="1303"/>
      <c r="T17" s="1303"/>
      <c r="U17" s="1303"/>
      <c r="V17" s="1303"/>
      <c r="W17" s="1303"/>
      <c r="X17" s="1303"/>
      <c r="Y17" s="1303"/>
      <c r="Z17" s="1303"/>
      <c r="AA17" s="1303"/>
      <c r="AB17" s="1303"/>
      <c r="AC17" s="1303"/>
      <c r="AD17" s="1303"/>
      <c r="AE17" s="1303"/>
      <c r="AF17" s="1303"/>
      <c r="AG17" s="1303"/>
      <c r="AH17" s="1303"/>
      <c r="AI17" s="1303"/>
      <c r="AJ17" s="1303"/>
      <c r="AK17" s="1303"/>
      <c r="AL17" s="1303"/>
      <c r="AM17" s="1303"/>
      <c r="AN17" s="1303"/>
      <c r="AO17" s="1303"/>
      <c r="AP17" s="1303"/>
      <c r="AQ17" s="1303"/>
      <c r="AR17" s="1303"/>
      <c r="AS17" s="1303"/>
      <c r="AT17" s="1303"/>
    </row>
    <row r="18" spans="1:46" s="1306" customFormat="1" x14ac:dyDescent="0.2">
      <c r="A18" s="1304"/>
      <c r="B18" s="1309" t="s">
        <v>640</v>
      </c>
      <c r="C18" s="1416">
        <f>1/((1+Pressupostos!$C$35)^(C$6-$C$6))</f>
        <v>1</v>
      </c>
      <c r="D18" s="1416">
        <f>1/((1+Pressupostos!$C$35)^(D$6-$C$6))</f>
        <v>0.93457943925233644</v>
      </c>
      <c r="E18" s="1416">
        <f>1/((1+Pressupostos!$C$35)^(E$6-$C$6))</f>
        <v>0.87343872827321156</v>
      </c>
      <c r="F18" s="1416">
        <f>1/((1+Pressupostos!$C$35)^(F$6-$C$6))</f>
        <v>0.81629787689085187</v>
      </c>
      <c r="G18" s="1416">
        <f>1/((1+Pressupostos!$C$35)^(G$6-$C$6))</f>
        <v>0.7628952120475252</v>
      </c>
      <c r="H18" s="1416">
        <f>1/((1+Pressupostos!$C$35)^(H$6-$C$6))</f>
        <v>0.71298617948366838</v>
      </c>
      <c r="I18" s="1416">
        <f>1/((1+Pressupostos!$C$35)^(I$6-$C$6))</f>
        <v>0.66634222381651254</v>
      </c>
      <c r="J18" s="1416">
        <f>1/((1+Pressupostos!$C$35)^(J$6-$C$6))</f>
        <v>0.62274974188459109</v>
      </c>
      <c r="K18" s="1416">
        <f>1/((1+Pressupostos!$C$35)^(K$6-$C$6))</f>
        <v>0.5820091045650384</v>
      </c>
      <c r="L18" s="1417">
        <f>1/((1+Pressupostos!$C$35)^(L$6-$C$6))</f>
        <v>0.54393374258414806</v>
      </c>
      <c r="M18" s="1304"/>
      <c r="N18" s="1304"/>
      <c r="O18" s="1305"/>
      <c r="P18" s="1305"/>
      <c r="Q18" s="1305"/>
      <c r="R18" s="1305"/>
      <c r="S18" s="1305"/>
      <c r="T18" s="1305"/>
      <c r="U18" s="1305"/>
      <c r="V18" s="1305"/>
      <c r="W18" s="1305"/>
      <c r="X18" s="1305"/>
      <c r="Y18" s="1305"/>
      <c r="Z18" s="1305"/>
      <c r="AA18" s="1305"/>
      <c r="AB18" s="1305"/>
      <c r="AC18" s="1305"/>
      <c r="AD18" s="1305"/>
      <c r="AE18" s="1305"/>
      <c r="AF18" s="1305"/>
      <c r="AG18" s="1305"/>
      <c r="AH18" s="1305"/>
      <c r="AI18" s="1305"/>
      <c r="AJ18" s="1305"/>
      <c r="AK18" s="1305"/>
      <c r="AL18" s="1305"/>
      <c r="AM18" s="1305"/>
      <c r="AN18" s="1305"/>
      <c r="AO18" s="1305"/>
      <c r="AP18" s="1305"/>
      <c r="AQ18" s="1305"/>
      <c r="AR18" s="1305"/>
      <c r="AS18" s="1305"/>
      <c r="AT18" s="1305"/>
    </row>
    <row r="19" spans="1:46" x14ac:dyDescent="0.2">
      <c r="B19" s="1310" t="s">
        <v>566</v>
      </c>
      <c r="C19" s="1418">
        <f t="shared" ref="C19:L19" si="5">C17*C18</f>
        <v>-264618.36321151239</v>
      </c>
      <c r="D19" s="1418">
        <f t="shared" si="5"/>
        <v>-52140.989044094269</v>
      </c>
      <c r="E19" s="1418">
        <f t="shared" si="5"/>
        <v>-22793.799523356021</v>
      </c>
      <c r="F19" s="1418">
        <f t="shared" si="5"/>
        <v>-12103.112799520615</v>
      </c>
      <c r="G19" s="1418">
        <f t="shared" si="5"/>
        <v>8284.9170661003755</v>
      </c>
      <c r="H19" s="1418">
        <f t="shared" si="5"/>
        <v>9432.7678797850313</v>
      </c>
      <c r="I19" s="1418">
        <f t="shared" si="5"/>
        <v>8686.2548058646116</v>
      </c>
      <c r="J19" s="1418">
        <f t="shared" si="5"/>
        <v>8964.4583284532582</v>
      </c>
      <c r="K19" s="1418">
        <f t="shared" si="5"/>
        <v>15836.573584339207</v>
      </c>
      <c r="L19" s="1419">
        <f t="shared" si="5"/>
        <v>252729.58949644072</v>
      </c>
    </row>
    <row r="20" spans="1:46" x14ac:dyDescent="0.2">
      <c r="B20" s="1393" t="s">
        <v>641</v>
      </c>
      <c r="C20" s="1394">
        <f>NPV(Pressupostos!$C$35,C17:L17)</f>
        <v>-44599.722820093688</v>
      </c>
      <c r="D20" s="1301"/>
      <c r="E20" s="1301"/>
      <c r="F20" s="1301"/>
      <c r="G20" s="1301"/>
      <c r="H20" s="1301"/>
      <c r="I20" s="1301"/>
      <c r="J20" s="1301"/>
      <c r="K20" s="1301"/>
      <c r="L20" s="1389"/>
    </row>
    <row r="21" spans="1:46" ht="12.75" thickBot="1" x14ac:dyDescent="0.25">
      <c r="B21" s="1390" t="s">
        <v>563</v>
      </c>
      <c r="C21" s="1391">
        <f>IFERROR(IRR(C17:L17),"-")</f>
        <v>5.1065910167123363E-2</v>
      </c>
      <c r="D21" s="1307"/>
      <c r="E21" s="1307"/>
      <c r="F21" s="1307"/>
      <c r="G21" s="1307"/>
      <c r="H21" s="1307"/>
      <c r="I21" s="1307"/>
      <c r="J21" s="1307"/>
      <c r="K21" s="1307"/>
      <c r="L21" s="1392"/>
    </row>
    <row r="22" spans="1:46" s="1289" customFormat="1" ht="12.75" thickTop="1" x14ac:dyDescent="0.2">
      <c r="O22" s="1290"/>
      <c r="P22" s="1290"/>
      <c r="Q22" s="1290"/>
      <c r="R22" s="1290"/>
      <c r="S22" s="1290"/>
      <c r="T22" s="1290"/>
      <c r="U22" s="1290"/>
      <c r="V22" s="1290"/>
      <c r="W22" s="1290"/>
      <c r="X22" s="1290"/>
      <c r="Y22" s="1290"/>
      <c r="Z22" s="1290"/>
      <c r="AA22" s="1290"/>
      <c r="AB22" s="1290"/>
      <c r="AC22" s="1290"/>
      <c r="AD22" s="1290"/>
      <c r="AE22" s="1290"/>
      <c r="AF22" s="1290"/>
      <c r="AG22" s="1290"/>
      <c r="AH22" s="1290"/>
      <c r="AI22" s="1290"/>
      <c r="AJ22" s="1290"/>
      <c r="AK22" s="1290"/>
      <c r="AL22" s="1290"/>
      <c r="AM22" s="1290"/>
      <c r="AN22" s="1290"/>
      <c r="AO22" s="1290"/>
      <c r="AP22" s="1290"/>
      <c r="AQ22" s="1290"/>
      <c r="AR22" s="1290"/>
      <c r="AS22" s="1290"/>
      <c r="AT22" s="1290"/>
    </row>
  </sheetData>
  <dataValidations count="1">
    <dataValidation type="list" allowBlank="1" showInputMessage="1" showErrorMessage="1" sqref="C4">
      <formula1>"Sim,Não"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0" sqref="O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32</vt:i4>
      </vt:variant>
      <vt:variant>
        <vt:lpstr>Intervalos com nome</vt:lpstr>
      </vt:variant>
      <vt:variant>
        <vt:i4>2</vt:i4>
      </vt:variant>
    </vt:vector>
  </HeadingPairs>
  <TitlesOfParts>
    <vt:vector size="34" baseType="lpstr">
      <vt:lpstr>Pressupostos</vt:lpstr>
      <vt:lpstr>DR</vt:lpstr>
      <vt:lpstr>Balanço</vt:lpstr>
      <vt:lpstr>Vendas+PrestServ</vt:lpstr>
      <vt:lpstr>CMVMC</vt:lpstr>
      <vt:lpstr>FSE</vt:lpstr>
      <vt:lpstr>RH</vt:lpstr>
      <vt:lpstr>Faturas</vt:lpstr>
      <vt:lpstr>PlanoInvest</vt:lpstr>
      <vt:lpstr>Amortização</vt:lpstr>
      <vt:lpstr>Relatório</vt:lpstr>
      <vt:lpstr>DR_Form</vt:lpstr>
      <vt:lpstr>Balanço_Form</vt:lpstr>
      <vt:lpstr>Mapa_Invest_Form</vt:lpstr>
      <vt:lpstr>TIR&amp;VAL_Empresa</vt:lpstr>
      <vt:lpstr>Rácios</vt:lpstr>
      <vt:lpstr>EstruturaFinanciamento</vt:lpstr>
      <vt:lpstr>DR Empresa</vt:lpstr>
      <vt:lpstr>Balanço Futuro</vt:lpstr>
      <vt:lpstr>DR_Projeto</vt:lpstr>
      <vt:lpstr>PlanoFinanciamento</vt:lpstr>
      <vt:lpstr>JurosSocios</vt:lpstr>
      <vt:lpstr>SerDividaAntiga</vt:lpstr>
      <vt:lpstr>SerNovaDivida_LP</vt:lpstr>
      <vt:lpstr>SaldosDivida</vt:lpstr>
      <vt:lpstr>IVA</vt:lpstr>
      <vt:lpstr>FM</vt:lpstr>
      <vt:lpstr>FluxosCaixa</vt:lpstr>
      <vt:lpstr>OrçTesouraria</vt:lpstr>
      <vt:lpstr>MOAF</vt:lpstr>
      <vt:lpstr>TIR&amp;VAL_Projeto</vt:lpstr>
      <vt:lpstr>Folha1</vt:lpstr>
      <vt:lpstr>'Balanço Futuro'!Área_de_Impressão</vt:lpstr>
      <vt:lpstr>'DR Empresa'!Área_de_Impressão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Gonçalves</dc:creator>
  <cp:lastModifiedBy>Luis</cp:lastModifiedBy>
  <cp:lastPrinted>2020-06-08T15:12:47Z</cp:lastPrinted>
  <dcterms:created xsi:type="dcterms:W3CDTF">2018-10-19T14:38:12Z</dcterms:created>
  <dcterms:modified xsi:type="dcterms:W3CDTF">2020-06-08T17:54:40Z</dcterms:modified>
</cp:coreProperties>
</file>