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ana\OneDrive\Ambiente de Trabalho\YELCO\Inovação Produtiva\Nova Candidatura\Business Plan\"/>
    </mc:Choice>
  </mc:AlternateContent>
  <xr:revisionPtr revIDLastSave="0" documentId="13_ncr:1_{9F4DB934-7E36-4D54-B02B-E873C91C094F}" xr6:coauthVersionLast="47" xr6:coauthVersionMax="47" xr10:uidLastSave="{00000000-0000-0000-0000-000000000000}"/>
  <bookViews>
    <workbookView xWindow="-108" yWindow="-108" windowWidth="23256" windowHeight="12576" tabRatio="832" firstSheet="1" activeTab="4" xr2:uid="{00000000-000D-0000-FFFF-FFFF00000000}"/>
  </bookViews>
  <sheets>
    <sheet name="Índice" sheetId="55" r:id="rId1"/>
    <sheet name="Pressupostos" sheetId="32" r:id="rId2"/>
    <sheet name="Previsão Receitas" sheetId="60" r:id="rId3"/>
    <sheet name="Fornecimento  Serviços Externos" sheetId="19" r:id="rId4"/>
    <sheet name="Capital Circulante" sheetId="25" r:id="rId5"/>
    <sheet name="63_G. Pess." sheetId="54" r:id="rId6"/>
    <sheet name="Amortizações" sheetId="61" r:id="rId7"/>
    <sheet name="Serviço da Divida Emp. Bancario" sheetId="40" r:id="rId8"/>
    <sheet name="Mov dos Impostos S Rendi" sheetId="37" r:id="rId9"/>
    <sheet name="MEIOS LIBERTOS PROJETO" sheetId="35" r:id="rId10"/>
    <sheet name="Plano Financeiro " sheetId="45" r:id="rId11"/>
    <sheet name="DR SNC" sheetId="57" r:id="rId12"/>
    <sheet name="Balanço SNC" sheetId="58" r:id="rId13"/>
    <sheet name="Avaliação Investimento" sheetId="44" r:id="rId14"/>
    <sheet name="MAPA INVESTIMENTOS" sheetId="62" r:id="rId15"/>
  </sheets>
  <externalReferences>
    <externalReference r:id="rId16"/>
  </externalReferences>
  <definedNames>
    <definedName name="a" localSheetId="6">#REF!</definedName>
    <definedName name="a">#REF!</definedName>
    <definedName name="_xlnm.Print_Area" localSheetId="5">'63_G. Pess.'!$A$1:$I$25</definedName>
    <definedName name="_xlnm.Print_Area" localSheetId="12">'Balanço SNC'!$A$1:$I$75</definedName>
    <definedName name="_xlnm.Print_Area" localSheetId="4">'Capital Circulante'!$A$1:$G$30</definedName>
    <definedName name="_xlnm.Print_Area" localSheetId="11">'DR SNC'!$A$1:$F$40</definedName>
    <definedName name="_xlnm.Print_Area" localSheetId="3">'Fornecimento  Serviços Externos'!$A$1:$H$13</definedName>
    <definedName name="_xlnm.Print_Area" localSheetId="9">'MEIOS LIBERTOS PROJETO'!$A$1:$F$26</definedName>
    <definedName name="_xlnm.Print_Area" localSheetId="1">Pressupostos!$A$1:$N$32</definedName>
    <definedName name="_xlnm.Print_Area" localSheetId="2">'Previsão Receitas'!$A$1:$L$8</definedName>
    <definedName name="ddd">#N/A</definedName>
    <definedName name="h" localSheetId="6">#REF!,#REF!</definedName>
    <definedName name="h">#REF!,#REF!</definedName>
    <definedName name="INDIC_ECOFIN" localSheetId="6">#REF!</definedName>
    <definedName name="INDIC_ECOF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5" i="54" l="1"/>
  <c r="H15" i="54"/>
  <c r="F15" i="54"/>
  <c r="N21" i="61"/>
  <c r="F20" i="57" s="1"/>
  <c r="D28" i="57"/>
  <c r="G20" i="57"/>
  <c r="H20" i="57"/>
  <c r="I20" i="57"/>
  <c r="J20" i="57"/>
  <c r="K20" i="57"/>
  <c r="L20" i="57"/>
  <c r="E20" i="57"/>
  <c r="E6" i="58"/>
  <c r="E6" i="44"/>
  <c r="C29" i="57"/>
  <c r="D3" i="44"/>
  <c r="D7" i="44"/>
  <c r="D21" i="61"/>
  <c r="C21" i="61"/>
  <c r="D3" i="60"/>
  <c r="O19" i="61"/>
  <c r="P19" i="61"/>
  <c r="N19" i="61"/>
  <c r="R11" i="61"/>
  <c r="O11" i="61"/>
  <c r="P11" i="61"/>
  <c r="Q11" i="61"/>
  <c r="N11" i="61"/>
  <c r="M11" i="61"/>
  <c r="N8" i="61"/>
  <c r="R8" i="61"/>
  <c r="Q8" i="61"/>
  <c r="P8" i="61"/>
  <c r="O8" i="61"/>
  <c r="M8" i="61"/>
  <c r="P7" i="61"/>
  <c r="Q7" i="61"/>
  <c r="R7" i="61"/>
  <c r="S7" i="61"/>
  <c r="T7" i="61"/>
  <c r="U7" i="61"/>
  <c r="V7" i="61"/>
  <c r="O7" i="61"/>
  <c r="N7" i="61"/>
  <c r="M7" i="61"/>
  <c r="R6" i="61"/>
  <c r="O6" i="61"/>
  <c r="N6" i="61"/>
  <c r="M6" i="61"/>
  <c r="F22" i="62" l="1"/>
  <c r="F32" i="58"/>
  <c r="P6" i="61"/>
  <c r="Q6" i="61"/>
  <c r="B24" i="60"/>
  <c r="J15" i="54"/>
  <c r="I15" i="54"/>
  <c r="H5" i="54"/>
  <c r="G5" i="54"/>
  <c r="G4" i="54"/>
  <c r="D13" i="25"/>
  <c r="L7" i="40"/>
  <c r="K7" i="40"/>
  <c r="J7" i="40"/>
  <c r="I7" i="40"/>
  <c r="H7" i="40"/>
  <c r="G7" i="40"/>
  <c r="G6" i="40"/>
  <c r="G5" i="40"/>
  <c r="F5" i="40"/>
  <c r="F7" i="40"/>
  <c r="B5" i="40"/>
  <c r="M2" i="19"/>
  <c r="L2" i="19"/>
  <c r="K2" i="19"/>
  <c r="J2" i="19"/>
  <c r="I2" i="19"/>
  <c r="H2" i="19"/>
  <c r="G2" i="19"/>
  <c r="F2" i="19"/>
  <c r="L18" i="25"/>
  <c r="K18" i="25"/>
  <c r="J18" i="25"/>
  <c r="I18" i="25"/>
  <c r="H18" i="25"/>
  <c r="G18" i="25"/>
  <c r="F18" i="25"/>
  <c r="E18" i="25"/>
  <c r="D18" i="25"/>
  <c r="D19" i="61" l="1"/>
  <c r="E11" i="61"/>
  <c r="F11" i="61"/>
  <c r="G11" i="61"/>
  <c r="H11" i="61"/>
  <c r="I11" i="61"/>
  <c r="J11" i="61"/>
  <c r="E10" i="61"/>
  <c r="F10" i="61"/>
  <c r="G10" i="61"/>
  <c r="H10" i="61"/>
  <c r="I10" i="61"/>
  <c r="J10" i="61"/>
  <c r="E9" i="61"/>
  <c r="F9" i="61"/>
  <c r="G9" i="61"/>
  <c r="H9" i="61"/>
  <c r="I9" i="61"/>
  <c r="J9" i="61"/>
  <c r="E8" i="61"/>
  <c r="F8" i="61"/>
  <c r="G8" i="61"/>
  <c r="H8" i="61"/>
  <c r="I8" i="61"/>
  <c r="J8" i="61"/>
  <c r="E7" i="61"/>
  <c r="F7" i="61"/>
  <c r="G7" i="61"/>
  <c r="H7" i="61"/>
  <c r="I7" i="61"/>
  <c r="J7" i="61"/>
  <c r="E6" i="61"/>
  <c r="F6" i="61"/>
  <c r="G6" i="61"/>
  <c r="H6" i="61"/>
  <c r="I6" i="61"/>
  <c r="J6" i="61"/>
  <c r="D7" i="61"/>
  <c r="D8" i="61"/>
  <c r="D9" i="61"/>
  <c r="D10" i="61"/>
  <c r="D11" i="61"/>
  <c r="D6" i="61"/>
  <c r="B7" i="61"/>
  <c r="B8" i="61"/>
  <c r="B9" i="61"/>
  <c r="B10" i="61"/>
  <c r="B11" i="61"/>
  <c r="B12" i="61"/>
  <c r="B6" i="61"/>
  <c r="C7" i="61"/>
  <c r="C8" i="61"/>
  <c r="C9" i="61"/>
  <c r="C10" i="61"/>
  <c r="C11" i="61"/>
  <c r="C12" i="61"/>
  <c r="C6" i="61"/>
  <c r="E10" i="19"/>
  <c r="F10" i="19"/>
  <c r="D10" i="19"/>
  <c r="E2" i="19"/>
  <c r="E18" i="19"/>
  <c r="E17" i="19"/>
  <c r="E15" i="57"/>
  <c r="D11" i="58"/>
  <c r="B25" i="62"/>
  <c r="E14" i="58"/>
  <c r="E15" i="58"/>
  <c r="E32" i="58"/>
  <c r="D23" i="62"/>
  <c r="C23" i="62"/>
  <c r="B23" i="62"/>
  <c r="D22" i="62"/>
  <c r="C22" i="62"/>
  <c r="B22" i="62"/>
  <c r="D20" i="62"/>
  <c r="C20" i="62"/>
  <c r="B20" i="62"/>
  <c r="G6" i="54" l="1"/>
  <c r="E15" i="54" s="1"/>
  <c r="E3" i="19"/>
  <c r="E19" i="60"/>
  <c r="E17" i="60"/>
  <c r="E18" i="60"/>
  <c r="E16" i="60"/>
  <c r="E15" i="60"/>
  <c r="E14" i="60"/>
  <c r="E13" i="60"/>
  <c r="E12" i="60"/>
  <c r="G3" i="60"/>
  <c r="F3" i="60"/>
  <c r="E3" i="60"/>
  <c r="D4" i="32"/>
  <c r="D4" i="60"/>
  <c r="E4" i="60" s="1"/>
  <c r="F4" i="60" s="1"/>
  <c r="G4" i="60" s="1"/>
  <c r="H4" i="60" s="1"/>
  <c r="I4" i="60" s="1"/>
  <c r="J4" i="60" s="1"/>
  <c r="K4" i="60" s="1"/>
  <c r="L4" i="60" s="1"/>
  <c r="D5" i="60"/>
  <c r="E5" i="60" s="1"/>
  <c r="F5" i="60" s="1"/>
  <c r="G5" i="60" s="1"/>
  <c r="H5" i="60" s="1"/>
  <c r="I5" i="60" s="1"/>
  <c r="J5" i="60" s="1"/>
  <c r="K5" i="60" s="1"/>
  <c r="L5" i="60" s="1"/>
  <c r="L15" i="54" l="1"/>
  <c r="M15" i="54"/>
  <c r="K15" i="54"/>
  <c r="H3" i="60"/>
  <c r="I3" i="60" s="1"/>
  <c r="J3" i="60" s="1"/>
  <c r="K3" i="60" s="1"/>
  <c r="L3" i="60" s="1"/>
  <c r="B17" i="62"/>
  <c r="J8" i="62"/>
  <c r="J2" i="62"/>
  <c r="J3" i="62"/>
  <c r="J4" i="62"/>
  <c r="J5" i="62"/>
  <c r="J6" i="62"/>
  <c r="J7" i="62"/>
  <c r="J9" i="62"/>
  <c r="J10" i="62"/>
  <c r="J11" i="62"/>
  <c r="J12" i="62"/>
  <c r="J1" i="62"/>
  <c r="L26" i="57" l="1"/>
  <c r="J29" i="57"/>
  <c r="K29" i="57"/>
  <c r="L29" i="57"/>
  <c r="I15" i="25"/>
  <c r="J15" i="25"/>
  <c r="K15" i="25"/>
  <c r="L15" i="25"/>
  <c r="E12" i="19" l="1"/>
  <c r="B8" i="35"/>
  <c r="L21" i="61"/>
  <c r="C15" i="61"/>
  <c r="B14" i="61"/>
  <c r="B13" i="61"/>
  <c r="F47" i="58"/>
  <c r="G47" i="58"/>
  <c r="H47" i="58"/>
  <c r="I47" i="58"/>
  <c r="J47" i="58"/>
  <c r="K47" i="58"/>
  <c r="E47" i="58"/>
  <c r="I29" i="57" l="1"/>
  <c r="H4" i="37" s="1"/>
  <c r="C14" i="61" l="1"/>
  <c r="D17" i="62"/>
  <c r="V10" i="61" l="1"/>
  <c r="T10" i="61"/>
  <c r="S10" i="61"/>
  <c r="U10" i="61"/>
  <c r="R10" i="61"/>
  <c r="V12" i="61"/>
  <c r="T12" i="61"/>
  <c r="S12" i="61"/>
  <c r="U12" i="61"/>
  <c r="Q12" i="61"/>
  <c r="R12" i="61"/>
  <c r="N12" i="61"/>
  <c r="D12" i="61"/>
  <c r="O12" i="61"/>
  <c r="M12" i="61"/>
  <c r="P12" i="61"/>
  <c r="V14" i="61"/>
  <c r="T14" i="61"/>
  <c r="S14" i="61"/>
  <c r="U14" i="61"/>
  <c r="O14" i="61"/>
  <c r="R14" i="61"/>
  <c r="P14" i="61"/>
  <c r="Q14" i="61"/>
  <c r="N14" i="61"/>
  <c r="E14" i="61"/>
  <c r="D15" i="62"/>
  <c r="D3" i="45"/>
  <c r="C19" i="61"/>
  <c r="E19" i="61"/>
  <c r="C3" i="45"/>
  <c r="E4" i="54"/>
  <c r="F4" i="54" s="1"/>
  <c r="E5" i="54"/>
  <c r="F5" i="54" s="1"/>
  <c r="E6" i="54"/>
  <c r="F6" i="54" s="1"/>
  <c r="E7" i="54"/>
  <c r="F7" i="54" s="1"/>
  <c r="E3" i="54"/>
  <c r="D3" i="54"/>
  <c r="V9" i="61" l="1"/>
  <c r="T9" i="61"/>
  <c r="U9" i="61"/>
  <c r="S9" i="61"/>
  <c r="R9" i="61"/>
  <c r="V19" i="61"/>
  <c r="U19" i="61"/>
  <c r="S19" i="61"/>
  <c r="T19" i="61"/>
  <c r="F14" i="61"/>
  <c r="G14" i="61" s="1"/>
  <c r="H14" i="61" s="1"/>
  <c r="I14" i="61" s="1"/>
  <c r="J14" i="61" s="1"/>
  <c r="E12" i="61"/>
  <c r="F12" i="61" s="1"/>
  <c r="G12" i="61" s="1"/>
  <c r="H12" i="61" s="1"/>
  <c r="I12" i="61" s="1"/>
  <c r="J12" i="61" s="1"/>
  <c r="C13" i="57"/>
  <c r="F3" i="54"/>
  <c r="Q19" i="61"/>
  <c r="R19" i="61"/>
  <c r="F19" i="61"/>
  <c r="N10" i="61"/>
  <c r="O10" i="61"/>
  <c r="P10" i="61"/>
  <c r="Q10" i="61"/>
  <c r="M10" i="61"/>
  <c r="N9" i="61"/>
  <c r="O9" i="61"/>
  <c r="P9" i="61"/>
  <c r="Q9" i="61"/>
  <c r="M9" i="61"/>
  <c r="C18" i="61"/>
  <c r="C11" i="58"/>
  <c r="G3" i="54" l="1"/>
  <c r="G11" i="54" s="1"/>
  <c r="D13" i="57"/>
  <c r="D11" i="45"/>
  <c r="D15" i="45"/>
  <c r="G15" i="57"/>
  <c r="E18" i="61"/>
  <c r="F7" i="58" s="1"/>
  <c r="F20" i="40"/>
  <c r="G20" i="40"/>
  <c r="H20" i="40"/>
  <c r="I20" i="40"/>
  <c r="J20" i="40"/>
  <c r="K20" i="40"/>
  <c r="L20" i="40"/>
  <c r="E20" i="40"/>
  <c r="C18" i="40"/>
  <c r="C21" i="40" s="1"/>
  <c r="D18" i="40" s="1"/>
  <c r="D25" i="62" l="1"/>
  <c r="E13" i="57"/>
  <c r="I8" i="60"/>
  <c r="D21" i="40"/>
  <c r="E18" i="40" s="1"/>
  <c r="E19" i="40" s="1"/>
  <c r="D19" i="40"/>
  <c r="C19" i="40"/>
  <c r="F3" i="19"/>
  <c r="G3" i="19" s="1"/>
  <c r="H3" i="19" s="1"/>
  <c r="I3" i="19" s="1"/>
  <c r="J3" i="19" s="1"/>
  <c r="K3" i="19" s="1"/>
  <c r="L3" i="19" s="1"/>
  <c r="M3" i="19" s="1"/>
  <c r="E9" i="19"/>
  <c r="F9" i="19" s="1"/>
  <c r="G9" i="19" s="1"/>
  <c r="H9" i="19" s="1"/>
  <c r="I9" i="19" s="1"/>
  <c r="J9" i="19" s="1"/>
  <c r="K9" i="19" s="1"/>
  <c r="L9" i="19" s="1"/>
  <c r="M9" i="19" s="1"/>
  <c r="E8" i="19"/>
  <c r="F8" i="19" s="1"/>
  <c r="G8" i="19" s="1"/>
  <c r="H8" i="19" s="1"/>
  <c r="I8" i="19" s="1"/>
  <c r="J8" i="19" s="1"/>
  <c r="K8" i="19" s="1"/>
  <c r="L8" i="19" s="1"/>
  <c r="M8" i="19" s="1"/>
  <c r="E7" i="19"/>
  <c r="F7" i="19" s="1"/>
  <c r="G7" i="19" s="1"/>
  <c r="H7" i="19" s="1"/>
  <c r="I7" i="19" s="1"/>
  <c r="J7" i="19" s="1"/>
  <c r="K7" i="19" s="1"/>
  <c r="L7" i="19" s="1"/>
  <c r="M7" i="19" s="1"/>
  <c r="E6" i="19"/>
  <c r="F6" i="19" s="1"/>
  <c r="G6" i="19" s="1"/>
  <c r="H6" i="19" s="1"/>
  <c r="I6" i="19" s="1"/>
  <c r="J6" i="19" s="1"/>
  <c r="K6" i="19" s="1"/>
  <c r="L6" i="19" s="1"/>
  <c r="M6" i="19" s="1"/>
  <c r="E5" i="19"/>
  <c r="F5" i="19" s="1"/>
  <c r="G5" i="19" s="1"/>
  <c r="H5" i="19" s="1"/>
  <c r="I5" i="19" s="1"/>
  <c r="J5" i="19" s="1"/>
  <c r="K5" i="19" s="1"/>
  <c r="L5" i="19" s="1"/>
  <c r="M5" i="19" s="1"/>
  <c r="E4" i="19"/>
  <c r="F4" i="19" s="1"/>
  <c r="G4" i="19" s="1"/>
  <c r="H4" i="19" s="1"/>
  <c r="I4" i="19" s="1"/>
  <c r="J4" i="19" s="1"/>
  <c r="K4" i="19" s="1"/>
  <c r="L4" i="19" s="1"/>
  <c r="M4" i="19" s="1"/>
  <c r="M12" i="19" l="1"/>
  <c r="L12" i="19"/>
  <c r="J8" i="60"/>
  <c r="E21" i="40"/>
  <c r="F18" i="40" s="1"/>
  <c r="J7" i="57"/>
  <c r="I3" i="25"/>
  <c r="F21" i="40"/>
  <c r="G18" i="40" s="1"/>
  <c r="F19" i="40"/>
  <c r="L8" i="60" l="1"/>
  <c r="K8" i="60"/>
  <c r="L12" i="57"/>
  <c r="J11" i="57"/>
  <c r="I13" i="25"/>
  <c r="K7" i="57"/>
  <c r="J3" i="25"/>
  <c r="G19" i="40"/>
  <c r="G21" i="40"/>
  <c r="H18" i="40" s="1"/>
  <c r="D16" i="40"/>
  <c r="E16" i="40" s="1"/>
  <c r="F16" i="40" s="1"/>
  <c r="G16" i="40" s="1"/>
  <c r="H16" i="40" s="1"/>
  <c r="I16" i="40" s="1"/>
  <c r="J16" i="40" s="1"/>
  <c r="K16" i="40" s="1"/>
  <c r="L16" i="40" s="1"/>
  <c r="K11" i="57" l="1"/>
  <c r="J13" i="25"/>
  <c r="L7" i="57"/>
  <c r="K3" i="25"/>
  <c r="L3" i="25"/>
  <c r="I16" i="25"/>
  <c r="I4" i="25"/>
  <c r="I2" i="25" s="1"/>
  <c r="H21" i="40"/>
  <c r="I18" i="40" s="1"/>
  <c r="H19" i="40"/>
  <c r="B5" i="45"/>
  <c r="C5" i="45"/>
  <c r="K13" i="25" l="1"/>
  <c r="L11" i="57"/>
  <c r="K6" i="25"/>
  <c r="K5" i="25" s="1"/>
  <c r="J16" i="25"/>
  <c r="J4" i="25"/>
  <c r="J2" i="25" s="1"/>
  <c r="L13" i="25"/>
  <c r="L6" i="25"/>
  <c r="L5" i="25" s="1"/>
  <c r="I21" i="40"/>
  <c r="J18" i="40" s="1"/>
  <c r="I19" i="40"/>
  <c r="D18" i="61"/>
  <c r="E7" i="58" s="1"/>
  <c r="C17" i="62"/>
  <c r="B11" i="58"/>
  <c r="L4" i="25" l="1"/>
  <c r="L2" i="25" s="1"/>
  <c r="L7" i="25" s="1"/>
  <c r="L16" i="25"/>
  <c r="K16" i="25"/>
  <c r="K4" i="25"/>
  <c r="K2" i="25" s="1"/>
  <c r="K7" i="25" s="1"/>
  <c r="J21" i="40"/>
  <c r="K18" i="40" s="1"/>
  <c r="J19" i="40"/>
  <c r="I26" i="57" s="1"/>
  <c r="B7" i="45"/>
  <c r="E8" i="60"/>
  <c r="C8" i="60"/>
  <c r="F8" i="60"/>
  <c r="G8" i="60"/>
  <c r="D8" i="60"/>
  <c r="H8" i="60"/>
  <c r="B22" i="58"/>
  <c r="B24" i="58" s="1"/>
  <c r="C22" i="58"/>
  <c r="C24" i="58" s="1"/>
  <c r="D22" i="58"/>
  <c r="B41" i="58"/>
  <c r="C41" i="58"/>
  <c r="B49" i="58"/>
  <c r="C49" i="58"/>
  <c r="D49" i="58"/>
  <c r="B57" i="58"/>
  <c r="C57" i="58"/>
  <c r="D57" i="58"/>
  <c r="C3" i="25" l="1"/>
  <c r="F15" i="58" s="1"/>
  <c r="L8" i="25"/>
  <c r="I11" i="57"/>
  <c r="I7" i="57"/>
  <c r="H3" i="35" s="1"/>
  <c r="H11" i="57"/>
  <c r="H7" i="57"/>
  <c r="G3" i="35" s="1"/>
  <c r="G11" i="57"/>
  <c r="G7" i="57"/>
  <c r="F3" i="35" s="1"/>
  <c r="D11" i="57"/>
  <c r="D7" i="57"/>
  <c r="C3" i="35" s="1"/>
  <c r="F11" i="57"/>
  <c r="F7" i="57"/>
  <c r="E3" i="35" s="1"/>
  <c r="E11" i="57"/>
  <c r="E7" i="57"/>
  <c r="D3" i="35" s="1"/>
  <c r="G3" i="25"/>
  <c r="J15" i="58" s="1"/>
  <c r="H3" i="25"/>
  <c r="K15" i="58" s="1"/>
  <c r="E3" i="25"/>
  <c r="H15" i="58" s="1"/>
  <c r="F3" i="25"/>
  <c r="I15" i="58" s="1"/>
  <c r="D3" i="25"/>
  <c r="G15" i="58" s="1"/>
  <c r="K21" i="40"/>
  <c r="L18" i="40" s="1"/>
  <c r="K19" i="40"/>
  <c r="J26" i="57" s="1"/>
  <c r="B60" i="58"/>
  <c r="B63" i="58" s="1"/>
  <c r="B65" i="58" s="1"/>
  <c r="C7" i="45"/>
  <c r="D41" i="58"/>
  <c r="C66" i="58"/>
  <c r="D60" i="58"/>
  <c r="B66" i="58"/>
  <c r="C60" i="58"/>
  <c r="C63" i="58" s="1"/>
  <c r="C65" i="58" s="1"/>
  <c r="D24" i="58"/>
  <c r="E13" i="25" l="1"/>
  <c r="G13" i="25"/>
  <c r="H13" i="25"/>
  <c r="F13" i="25"/>
  <c r="C13" i="25"/>
  <c r="D63" i="58"/>
  <c r="D65" i="58" s="1"/>
  <c r="L21" i="40"/>
  <c r="L19" i="40"/>
  <c r="K26" i="57" s="1"/>
  <c r="D66" i="58"/>
  <c r="D7" i="45"/>
  <c r="D3" i="40"/>
  <c r="E3" i="40" s="1"/>
  <c r="F3" i="40" s="1"/>
  <c r="G3" i="40" s="1"/>
  <c r="H3" i="40" s="1"/>
  <c r="I3" i="40" s="1"/>
  <c r="J3" i="40" s="1"/>
  <c r="K3" i="40" s="1"/>
  <c r="L3" i="40" s="1"/>
  <c r="E21" i="61"/>
  <c r="E2" i="61"/>
  <c r="E26" i="57" l="1"/>
  <c r="E7" i="45"/>
  <c r="H12" i="19"/>
  <c r="I12" i="19"/>
  <c r="J12" i="19"/>
  <c r="K12" i="19"/>
  <c r="G12" i="19"/>
  <c r="F12" i="19"/>
  <c r="C6" i="25" l="1"/>
  <c r="F51" i="58" s="1"/>
  <c r="C8" i="35"/>
  <c r="H6" i="25"/>
  <c r="K51" i="58" s="1"/>
  <c r="H8" i="35"/>
  <c r="G6" i="25"/>
  <c r="J51" i="58" s="1"/>
  <c r="G8" i="35"/>
  <c r="E6" i="25"/>
  <c r="H51" i="58" s="1"/>
  <c r="E8" i="35"/>
  <c r="F6" i="25"/>
  <c r="I51" i="58" s="1"/>
  <c r="F8" i="35"/>
  <c r="D6" i="25"/>
  <c r="G51" i="58" s="1"/>
  <c r="D8" i="35"/>
  <c r="J12" i="57"/>
  <c r="I6" i="25"/>
  <c r="I5" i="25" s="1"/>
  <c r="I7" i="25" s="1"/>
  <c r="K12" i="57"/>
  <c r="J6" i="25"/>
  <c r="J5" i="25" s="1"/>
  <c r="J7" i="25" s="1"/>
  <c r="E12" i="57"/>
  <c r="F12" i="57"/>
  <c r="I12" i="57"/>
  <c r="H12" i="57"/>
  <c r="G12" i="57"/>
  <c r="D12" i="57"/>
  <c r="C12" i="57"/>
  <c r="B8" i="60"/>
  <c r="F26" i="57"/>
  <c r="F7" i="45"/>
  <c r="C7" i="57" l="1"/>
  <c r="B3" i="35" s="1"/>
  <c r="B6" i="25"/>
  <c r="J8" i="25"/>
  <c r="K8" i="25"/>
  <c r="F21" i="61"/>
  <c r="F18" i="61"/>
  <c r="G7" i="58" s="1"/>
  <c r="G26" i="57"/>
  <c r="G7" i="45"/>
  <c r="G19" i="61"/>
  <c r="B13" i="25" l="1"/>
  <c r="C11" i="57"/>
  <c r="G21" i="61"/>
  <c r="G18" i="61"/>
  <c r="H7" i="58" s="1"/>
  <c r="H26" i="57"/>
  <c r="H7" i="45"/>
  <c r="H19" i="61"/>
  <c r="H21" i="61" l="1"/>
  <c r="H18" i="61"/>
  <c r="I7" i="58" s="1"/>
  <c r="I19" i="61"/>
  <c r="C15" i="62"/>
  <c r="F15" i="57" l="1"/>
  <c r="I21" i="61"/>
  <c r="I18" i="61"/>
  <c r="J7" i="58" s="1"/>
  <c r="J19" i="61"/>
  <c r="J18" i="61" s="1"/>
  <c r="K7" i="58" s="1"/>
  <c r="C11" i="45" l="1"/>
  <c r="C15" i="45"/>
  <c r="C25" i="62" l="1"/>
  <c r="G29" i="57"/>
  <c r="F4" i="37" s="1"/>
  <c r="H29" i="57"/>
  <c r="G4" i="37" s="1"/>
  <c r="B11" i="54" l="1"/>
  <c r="F2" i="61"/>
  <c r="G2" i="61" s="1"/>
  <c r="H2" i="61" s="1"/>
  <c r="I2" i="61" s="1"/>
  <c r="J2" i="61" s="1"/>
  <c r="B3" i="25" l="1"/>
  <c r="D11" i="54"/>
  <c r="C11" i="54"/>
  <c r="D6" i="35" l="1"/>
  <c r="B6" i="35"/>
  <c r="C6" i="35"/>
  <c r="G4" i="35" l="1"/>
  <c r="E6" i="35"/>
  <c r="F6" i="35"/>
  <c r="D1" i="44"/>
  <c r="E1" i="44" s="1"/>
  <c r="F1" i="44" s="1"/>
  <c r="G1" i="44" s="1"/>
  <c r="H1" i="44" s="1"/>
  <c r="I1" i="44" s="1"/>
  <c r="J1" i="44" s="1"/>
  <c r="K1" i="44" s="1"/>
  <c r="L1" i="44" s="1"/>
  <c r="C4" i="37"/>
  <c r="E29" i="57"/>
  <c r="D4" i="37" s="1"/>
  <c r="F29" i="57"/>
  <c r="E4" i="37" s="1"/>
  <c r="G15" i="25"/>
  <c r="G16" i="25" s="1"/>
  <c r="H15" i="25"/>
  <c r="H16" i="25" s="1"/>
  <c r="G4" i="25"/>
  <c r="J14" i="58" s="1"/>
  <c r="H4" i="25"/>
  <c r="K14" i="58" s="1"/>
  <c r="G6" i="35" l="1"/>
  <c r="D14" i="54"/>
  <c r="E14" i="54" s="1"/>
  <c r="F14" i="54" s="1"/>
  <c r="G14" i="54" s="1"/>
  <c r="H14" i="54" s="1"/>
  <c r="I14" i="54" s="1"/>
  <c r="J14" i="54" s="1"/>
  <c r="K14" i="54" s="1"/>
  <c r="L14" i="54" s="1"/>
  <c r="M14" i="54" s="1"/>
  <c r="D1" i="19"/>
  <c r="E1" i="19" s="1"/>
  <c r="F1" i="19" s="1"/>
  <c r="G1" i="19" s="1"/>
  <c r="H1" i="19" s="1"/>
  <c r="I1" i="19" s="1"/>
  <c r="J1" i="19" s="1"/>
  <c r="K1" i="19" s="1"/>
  <c r="L1" i="19" s="1"/>
  <c r="M1" i="19" s="1"/>
  <c r="C1" i="60"/>
  <c r="H6" i="35" l="1"/>
  <c r="H4" i="35"/>
  <c r="G2" i="25" l="1"/>
  <c r="E11" i="54"/>
  <c r="H2" i="25" l="1"/>
  <c r="E15" i="45"/>
  <c r="F15" i="45"/>
  <c r="C3" i="44" l="1"/>
  <c r="M2" i="61"/>
  <c r="N2" i="61" s="1"/>
  <c r="O2" i="61" s="1"/>
  <c r="P2" i="61" s="1"/>
  <c r="Q2" i="61" s="1"/>
  <c r="R2" i="61" s="1"/>
  <c r="S2" i="61" s="1"/>
  <c r="T2" i="61" s="1"/>
  <c r="U2" i="61" s="1"/>
  <c r="V2" i="61" s="1"/>
  <c r="D1" i="60" l="1"/>
  <c r="E1" i="60" s="1"/>
  <c r="F1" i="60" s="1"/>
  <c r="G1" i="60" s="1"/>
  <c r="H1" i="60" s="1"/>
  <c r="I1" i="60" s="1"/>
  <c r="J1" i="60" s="1"/>
  <c r="K1" i="60" s="1"/>
  <c r="L1" i="60" s="1"/>
  <c r="F11" i="54" l="1"/>
  <c r="J13" i="57" l="1"/>
  <c r="J18" i="57" s="1"/>
  <c r="K13" i="57"/>
  <c r="K18" i="57" s="1"/>
  <c r="L13" i="57"/>
  <c r="L18" i="57" s="1"/>
  <c r="I13" i="57"/>
  <c r="I18" i="57" s="1"/>
  <c r="F13" i="57"/>
  <c r="H13" i="57"/>
  <c r="G13" i="57"/>
  <c r="B7" i="35"/>
  <c r="H12" i="45" l="1"/>
  <c r="H7" i="35"/>
  <c r="G7" i="35"/>
  <c r="C7" i="35"/>
  <c r="E7" i="35"/>
  <c r="F7" i="35"/>
  <c r="D7" i="35"/>
  <c r="F2" i="58"/>
  <c r="G2" i="58" s="1"/>
  <c r="H2" i="58" s="1"/>
  <c r="I2" i="58" s="1"/>
  <c r="J2" i="58" s="1"/>
  <c r="K2" i="58" s="1"/>
  <c r="C3" i="37" l="1"/>
  <c r="D3" i="37" s="1"/>
  <c r="E3" i="37" s="1"/>
  <c r="F3" i="37" s="1"/>
  <c r="G3" i="37" s="1"/>
  <c r="H3" i="37" s="1"/>
  <c r="B4" i="35" l="1"/>
  <c r="C1" i="35"/>
  <c r="D1" i="35" s="1"/>
  <c r="F15" i="25" l="1"/>
  <c r="E15" i="25"/>
  <c r="D15" i="25"/>
  <c r="C15" i="25"/>
  <c r="C12" i="25"/>
  <c r="C1" i="25" l="1"/>
  <c r="D3" i="32" l="1"/>
  <c r="D2" i="32"/>
  <c r="B16" i="25" l="1"/>
  <c r="B4" i="25"/>
  <c r="B2" i="25" l="1"/>
  <c r="D1" i="25" l="1"/>
  <c r="E1" i="25" s="1"/>
  <c r="F1" i="25" s="1"/>
  <c r="G1" i="25" s="1"/>
  <c r="H1" i="25" s="1"/>
  <c r="I1" i="25" s="1"/>
  <c r="J1" i="25" s="1"/>
  <c r="K1" i="25" s="1"/>
  <c r="L1" i="25" s="1"/>
  <c r="D12" i="25"/>
  <c r="E12" i="25" s="1"/>
  <c r="F12" i="25" s="1"/>
  <c r="G12" i="25" s="1"/>
  <c r="H12" i="25" s="1"/>
  <c r="I12" i="25" s="1"/>
  <c r="J12" i="25" s="1"/>
  <c r="K12" i="25" s="1"/>
  <c r="L12" i="25" s="1"/>
  <c r="B4" i="37" l="1"/>
  <c r="C1" i="45" l="1"/>
  <c r="D1" i="45" s="1"/>
  <c r="E1" i="45" s="1"/>
  <c r="F1" i="45" s="1"/>
  <c r="G1" i="45" s="1"/>
  <c r="H1" i="45" s="1"/>
  <c r="E3" i="32" l="1"/>
  <c r="F3" i="32" s="1"/>
  <c r="K3" i="32" s="1"/>
  <c r="L3" i="32" s="1"/>
  <c r="M3" i="32" s="1"/>
  <c r="N3" i="32" s="1"/>
  <c r="O3" i="32" s="1"/>
  <c r="P3" i="32" s="1"/>
  <c r="Q3" i="32" s="1"/>
  <c r="E2" i="32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E4" i="32" l="1"/>
  <c r="F4" i="32" l="1"/>
  <c r="G4" i="32" l="1"/>
  <c r="H4" i="32" s="1"/>
  <c r="D18" i="57" l="1"/>
  <c r="F4" i="35"/>
  <c r="I4" i="32"/>
  <c r="D16" i="25"/>
  <c r="D4" i="25"/>
  <c r="G14" i="58" s="1"/>
  <c r="C12" i="45" l="1"/>
  <c r="E18" i="57"/>
  <c r="J4" i="32"/>
  <c r="E4" i="35"/>
  <c r="E16" i="25"/>
  <c r="D2" i="25"/>
  <c r="D4" i="35"/>
  <c r="D12" i="45" l="1"/>
  <c r="G18" i="57"/>
  <c r="F12" i="45" s="1"/>
  <c r="J57" i="58"/>
  <c r="F18" i="57"/>
  <c r="K4" i="32"/>
  <c r="E4" i="25"/>
  <c r="H14" i="58" s="1"/>
  <c r="E12" i="45" l="1"/>
  <c r="E2" i="25"/>
  <c r="H18" i="57"/>
  <c r="K57" i="58"/>
  <c r="G5" i="25"/>
  <c r="L4" i="32"/>
  <c r="G7" i="25" l="1"/>
  <c r="G12" i="45"/>
  <c r="H5" i="25"/>
  <c r="M4" i="32"/>
  <c r="N4" i="32" s="1"/>
  <c r="O4" i="32" s="1"/>
  <c r="P4" i="32" s="1"/>
  <c r="Q4" i="32" s="1"/>
  <c r="F4" i="25"/>
  <c r="I14" i="58" s="1"/>
  <c r="F16" i="25"/>
  <c r="H7" i="25" l="1"/>
  <c r="F2" i="25"/>
  <c r="E1" i="35"/>
  <c r="F1" i="35" s="1"/>
  <c r="G1" i="35" s="1"/>
  <c r="H1" i="35" s="1"/>
  <c r="H8" i="25" l="1"/>
  <c r="H13" i="45" s="1"/>
  <c r="H16" i="45" s="1"/>
  <c r="I8" i="25"/>
  <c r="H4" i="45" l="1"/>
  <c r="F5" i="25"/>
  <c r="H57" i="58"/>
  <c r="F7" i="25" l="1"/>
  <c r="I57" i="58"/>
  <c r="E5" i="25"/>
  <c r="E7" i="25" s="1"/>
  <c r="F8" i="25" l="1"/>
  <c r="F13" i="45" s="1"/>
  <c r="G8" i="25"/>
  <c r="G13" i="45" l="1"/>
  <c r="G16" i="45" s="1"/>
  <c r="G4" i="45"/>
  <c r="F16" i="45"/>
  <c r="F4" i="45"/>
  <c r="C4" i="35" l="1"/>
  <c r="C16" i="25" l="1"/>
  <c r="C4" i="25"/>
  <c r="F14" i="58" s="1"/>
  <c r="C2" i="25" l="1"/>
  <c r="G57" i="58"/>
  <c r="D5" i="25"/>
  <c r="D7" i="25" s="1"/>
  <c r="E8" i="25" l="1"/>
  <c r="E13" i="45" s="1"/>
  <c r="E51" i="58"/>
  <c r="E57" i="58" s="1"/>
  <c r="B5" i="25"/>
  <c r="B7" i="25" s="1"/>
  <c r="B8" i="25" l="1"/>
  <c r="B4" i="45" s="1"/>
  <c r="E16" i="45"/>
  <c r="E4" i="45"/>
  <c r="B13" i="45" l="1"/>
  <c r="B4" i="44" l="1"/>
  <c r="F57" i="58"/>
  <c r="C5" i="25"/>
  <c r="C7" i="25" s="1"/>
  <c r="C8" i="25" l="1"/>
  <c r="C13" i="45" s="1"/>
  <c r="D8" i="25"/>
  <c r="D13" i="45" s="1"/>
  <c r="D16" i="45" l="1"/>
  <c r="D4" i="45"/>
  <c r="C4" i="45"/>
  <c r="C16" i="45" l="1"/>
  <c r="E15" i="62"/>
  <c r="C13" i="61"/>
  <c r="B15" i="62"/>
  <c r="B11" i="45" l="1"/>
  <c r="E22" i="62"/>
  <c r="S13" i="61"/>
  <c r="S21" i="61" s="1"/>
  <c r="R13" i="61"/>
  <c r="R21" i="61" s="1"/>
  <c r="M13" i="61"/>
  <c r="M21" i="61" s="1"/>
  <c r="V13" i="61"/>
  <c r="V21" i="61" s="1"/>
  <c r="U13" i="61"/>
  <c r="U21" i="61" s="1"/>
  <c r="O13" i="61"/>
  <c r="O21" i="61" s="1"/>
  <c r="P13" i="61"/>
  <c r="P21" i="61" s="1"/>
  <c r="C5" i="61"/>
  <c r="T13" i="61"/>
  <c r="T21" i="61" s="1"/>
  <c r="Q13" i="61"/>
  <c r="Q21" i="61" s="1"/>
  <c r="N13" i="61"/>
  <c r="D13" i="61"/>
  <c r="B19" i="62"/>
  <c r="B3" i="45"/>
  <c r="D6" i="44" l="1"/>
  <c r="D8" i="44" s="1"/>
  <c r="K3" i="44"/>
  <c r="K23" i="57"/>
  <c r="K28" i="57" s="1"/>
  <c r="D5" i="61"/>
  <c r="E11" i="58" s="1"/>
  <c r="E13" i="61"/>
  <c r="H23" i="57"/>
  <c r="H28" i="57" s="1"/>
  <c r="H3" i="44"/>
  <c r="E3" i="44"/>
  <c r="E23" i="57"/>
  <c r="E28" i="57" s="1"/>
  <c r="G23" i="57"/>
  <c r="G28" i="57" s="1"/>
  <c r="G3" i="44"/>
  <c r="D23" i="57"/>
  <c r="E20" i="62"/>
  <c r="F23" i="57"/>
  <c r="F28" i="57" s="1"/>
  <c r="F3" i="44"/>
  <c r="I3" i="44"/>
  <c r="I23" i="57"/>
  <c r="I28" i="57" s="1"/>
  <c r="L3" i="44"/>
  <c r="L23" i="57"/>
  <c r="L28" i="57" s="1"/>
  <c r="J3" i="44"/>
  <c r="J23" i="57"/>
  <c r="J28" i="57" s="1"/>
  <c r="F30" i="57" l="1"/>
  <c r="E5" i="37" s="1"/>
  <c r="E6" i="37" s="1"/>
  <c r="J30" i="57"/>
  <c r="J31" i="57" s="1"/>
  <c r="J2" i="44" s="1"/>
  <c r="J4" i="44" s="1"/>
  <c r="J7" i="44" s="1"/>
  <c r="I30" i="57"/>
  <c r="H5" i="37" s="1"/>
  <c r="H6" i="37" s="1"/>
  <c r="G30" i="57"/>
  <c r="F5" i="37" s="1"/>
  <c r="F6" i="37" s="1"/>
  <c r="H30" i="57"/>
  <c r="G5" i="37" s="1"/>
  <c r="G6" i="37" s="1"/>
  <c r="B15" i="45"/>
  <c r="E24" i="62"/>
  <c r="C5" i="40"/>
  <c r="C5" i="37"/>
  <c r="C6" i="37" s="1"/>
  <c r="E30" i="57"/>
  <c r="D5" i="37" s="1"/>
  <c r="D6" i="37" s="1"/>
  <c r="G32" i="58"/>
  <c r="H32" i="58" s="1"/>
  <c r="K30" i="57"/>
  <c r="K31" i="57" s="1"/>
  <c r="K2" i="44" s="1"/>
  <c r="K4" i="44" s="1"/>
  <c r="K7" i="44" s="1"/>
  <c r="L30" i="57"/>
  <c r="L31" i="57" s="1"/>
  <c r="L2" i="44" s="1"/>
  <c r="L4" i="44" s="1"/>
  <c r="L7" i="44" s="1"/>
  <c r="E23" i="62"/>
  <c r="C18" i="57"/>
  <c r="E5" i="61"/>
  <c r="F6" i="58" s="1"/>
  <c r="F11" i="58" s="1"/>
  <c r="F13" i="61"/>
  <c r="E25" i="62" l="1"/>
  <c r="G31" i="57"/>
  <c r="I38" i="58" s="1"/>
  <c r="D31" i="57"/>
  <c r="F38" i="58" s="1"/>
  <c r="H31" i="57"/>
  <c r="J38" i="58" s="1"/>
  <c r="C6" i="45"/>
  <c r="C8" i="45" s="1"/>
  <c r="C17" i="45" s="1"/>
  <c r="C10" i="35"/>
  <c r="G2" i="44"/>
  <c r="G4" i="44" s="1"/>
  <c r="G7" i="44" s="1"/>
  <c r="B12" i="45"/>
  <c r="B16" i="45" s="1"/>
  <c r="C23" i="57"/>
  <c r="C28" i="57" s="1"/>
  <c r="G6" i="45"/>
  <c r="G10" i="35"/>
  <c r="I31" i="57"/>
  <c r="D10" i="35"/>
  <c r="D6" i="45"/>
  <c r="C6" i="40"/>
  <c r="B9" i="35" s="1"/>
  <c r="C8" i="40"/>
  <c r="E46" i="58" s="1"/>
  <c r="E49" i="58" s="1"/>
  <c r="E60" i="58" s="1"/>
  <c r="D5" i="40"/>
  <c r="H6" i="45"/>
  <c r="H10" i="35"/>
  <c r="E10" i="35"/>
  <c r="E6" i="45"/>
  <c r="G13" i="61"/>
  <c r="F5" i="61"/>
  <c r="G6" i="58" s="1"/>
  <c r="G11" i="58" s="1"/>
  <c r="E31" i="57"/>
  <c r="G5" i="45"/>
  <c r="H5" i="45"/>
  <c r="D5" i="45"/>
  <c r="E5" i="45"/>
  <c r="F5" i="45"/>
  <c r="F10" i="35"/>
  <c r="F6" i="45"/>
  <c r="F31" i="57"/>
  <c r="H2" i="44" l="1"/>
  <c r="H4" i="44" s="1"/>
  <c r="H7" i="44" s="1"/>
  <c r="G8" i="45"/>
  <c r="G17" i="45" s="1"/>
  <c r="H8" i="45"/>
  <c r="H17" i="45" s="1"/>
  <c r="D2" i="44"/>
  <c r="D4" i="44" s="1"/>
  <c r="E7" i="44" s="1"/>
  <c r="E8" i="45"/>
  <c r="E17" i="45" s="1"/>
  <c r="D8" i="45"/>
  <c r="D17" i="45" s="1"/>
  <c r="E2" i="44"/>
  <c r="E4" i="44" s="1"/>
  <c r="G38" i="58"/>
  <c r="C30" i="57"/>
  <c r="B5" i="37" s="1"/>
  <c r="B6" i="37" s="1"/>
  <c r="D9" i="35"/>
  <c r="D11" i="35" s="1"/>
  <c r="D12" i="35" s="1"/>
  <c r="D8" i="40"/>
  <c r="F46" i="58" s="1"/>
  <c r="F49" i="58" s="1"/>
  <c r="F60" i="58" s="1"/>
  <c r="D6" i="40"/>
  <c r="C9" i="35" s="1"/>
  <c r="C11" i="35" s="1"/>
  <c r="C12" i="35" s="1"/>
  <c r="I32" i="58"/>
  <c r="H38" i="58"/>
  <c r="F2" i="44"/>
  <c r="F4" i="44" s="1"/>
  <c r="F7" i="44" s="1"/>
  <c r="F8" i="45"/>
  <c r="F17" i="45" s="1"/>
  <c r="G5" i="61"/>
  <c r="H6" i="58" s="1"/>
  <c r="H11" i="58" s="1"/>
  <c r="H13" i="61"/>
  <c r="K38" i="58"/>
  <c r="I2" i="44"/>
  <c r="I4" i="44" s="1"/>
  <c r="I7" i="44" s="1"/>
  <c r="B10" i="44" l="1"/>
  <c r="B11" i="44"/>
  <c r="C31" i="57"/>
  <c r="J32" i="58"/>
  <c r="B6" i="45"/>
  <c r="B8" i="45" s="1"/>
  <c r="B17" i="45" s="1"/>
  <c r="B19" i="45" s="1"/>
  <c r="E21" i="58" s="1"/>
  <c r="E22" i="58" s="1"/>
  <c r="B10" i="35"/>
  <c r="B11" i="35" s="1"/>
  <c r="B12" i="35" s="1"/>
  <c r="G46" i="58"/>
  <c r="G49" i="58" s="1"/>
  <c r="G60" i="58" s="1"/>
  <c r="H5" i="61"/>
  <c r="I6" i="58" s="1"/>
  <c r="I11" i="58" s="1"/>
  <c r="I13" i="61"/>
  <c r="C2" i="44" l="1"/>
  <c r="E38" i="58"/>
  <c r="F35" i="58" s="1"/>
  <c r="J13" i="61"/>
  <c r="J5" i="61" s="1"/>
  <c r="K6" i="58" s="1"/>
  <c r="K11" i="58" s="1"/>
  <c r="I5" i="61"/>
  <c r="J6" i="58" s="1"/>
  <c r="J11" i="58" s="1"/>
  <c r="E24" i="58"/>
  <c r="C18" i="45"/>
  <c r="C19" i="45" s="1"/>
  <c r="K32" i="58"/>
  <c r="F6" i="40"/>
  <c r="E9" i="35" s="1"/>
  <c r="E11" i="35" s="1"/>
  <c r="E12" i="35" s="1"/>
  <c r="F8" i="40"/>
  <c r="E41" i="58"/>
  <c r="C4" i="44" l="1"/>
  <c r="E66" i="58"/>
  <c r="H46" i="58"/>
  <c r="H49" i="58" s="1"/>
  <c r="H60" i="58" s="1"/>
  <c r="F21" i="58"/>
  <c r="F22" i="58" s="1"/>
  <c r="F24" i="58" s="1"/>
  <c r="D18" i="45"/>
  <c r="D19" i="45" s="1"/>
  <c r="E63" i="58"/>
  <c r="E65" i="58" s="1"/>
  <c r="G35" i="58"/>
  <c r="F41" i="58"/>
  <c r="E8" i="44" l="1"/>
  <c r="F8" i="44" s="1"/>
  <c r="G8" i="44" s="1"/>
  <c r="H8" i="44" s="1"/>
  <c r="I8" i="44" s="1"/>
  <c r="J8" i="44" s="1"/>
  <c r="K8" i="44" s="1"/>
  <c r="L8" i="44" s="1"/>
  <c r="E18" i="45"/>
  <c r="E19" i="45" s="1"/>
  <c r="G21" i="58"/>
  <c r="G22" i="58" s="1"/>
  <c r="G24" i="58" s="1"/>
  <c r="F9" i="35"/>
  <c r="F11" i="35" s="1"/>
  <c r="F12" i="35" s="1"/>
  <c r="G8" i="40"/>
  <c r="F63" i="58"/>
  <c r="F65" i="58" s="1"/>
  <c r="F66" i="58"/>
  <c r="H35" i="58"/>
  <c r="G41" i="58"/>
  <c r="H21" i="58" l="1"/>
  <c r="H22" i="58" s="1"/>
  <c r="H24" i="58" s="1"/>
  <c r="F18" i="45"/>
  <c r="F19" i="45" s="1"/>
  <c r="I35" i="58"/>
  <c r="H41" i="58"/>
  <c r="G63" i="58"/>
  <c r="G65" i="58" s="1"/>
  <c r="G66" i="58"/>
  <c r="H5" i="40"/>
  <c r="I46" i="58"/>
  <c r="I49" i="58" s="1"/>
  <c r="I60" i="58" s="1"/>
  <c r="H8" i="40" l="1"/>
  <c r="H6" i="40"/>
  <c r="G9" i="35" s="1"/>
  <c r="G11" i="35" s="1"/>
  <c r="G12" i="35" s="1"/>
  <c r="J35" i="58"/>
  <c r="I41" i="58"/>
  <c r="I21" i="58"/>
  <c r="I22" i="58" s="1"/>
  <c r="I24" i="58" s="1"/>
  <c r="G18" i="45"/>
  <c r="G19" i="45" s="1"/>
  <c r="H63" i="58"/>
  <c r="H65" i="58" s="1"/>
  <c r="H66" i="58"/>
  <c r="J21" i="58" l="1"/>
  <c r="J22" i="58" s="1"/>
  <c r="J24" i="58" s="1"/>
  <c r="H18" i="45"/>
  <c r="H19" i="45" s="1"/>
  <c r="K21" i="58" s="1"/>
  <c r="K22" i="58" s="1"/>
  <c r="K24" i="58" s="1"/>
  <c r="J46" i="58"/>
  <c r="J49" i="58" s="1"/>
  <c r="J60" i="58" s="1"/>
  <c r="I5" i="40"/>
  <c r="I66" i="58"/>
  <c r="I63" i="58"/>
  <c r="I65" i="58" s="1"/>
  <c r="K35" i="58"/>
  <c r="K41" i="58" s="1"/>
  <c r="J41" i="58"/>
  <c r="K66" i="58" l="1"/>
  <c r="I8" i="40"/>
  <c r="I6" i="40"/>
  <c r="H9" i="35" s="1"/>
  <c r="H11" i="35" s="1"/>
  <c r="H12" i="35" s="1"/>
  <c r="J66" i="58"/>
  <c r="J63" i="58"/>
  <c r="J65" i="58" s="1"/>
  <c r="J5" i="40" l="1"/>
  <c r="K46" i="58"/>
  <c r="K49" i="58" s="1"/>
  <c r="K60" i="58" s="1"/>
  <c r="K63" i="58" s="1"/>
  <c r="K65" i="58" s="1"/>
  <c r="J6" i="40" l="1"/>
  <c r="J8" i="40"/>
  <c r="K5" i="40" s="1"/>
  <c r="K6" i="40" l="1"/>
  <c r="K8" i="40"/>
  <c r="L5" i="40" s="1"/>
  <c r="L8" i="40" l="1"/>
  <c r="L6" i="40"/>
  <c r="B19" i="6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(Prestação de Serviços)/12*PMR
</t>
        </r>
      </text>
    </comment>
    <comment ref="A4" authorId="0" shapeId="0" xr:uid="{00000000-0006-0000-0400-000002000000}">
      <text>
        <r>
          <rPr>
            <sz val="8"/>
            <color indexed="81"/>
            <rFont val="Tahoma"/>
            <family val="2"/>
          </rPr>
          <t>CMVMC/12*DME</t>
        </r>
      </text>
    </comment>
    <comment ref="A6" authorId="0" shapeId="0" xr:uid="{00000000-0006-0000-0400-000003000000}">
      <text>
        <r>
          <rPr>
            <sz val="8"/>
            <color indexed="81"/>
            <rFont val="Tahoma"/>
            <family val="2"/>
          </rPr>
          <t>(Compras + FSE)/12*PMP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10" authorId="0" shapeId="0" xr:uid="{00000000-0006-0000-0A00-000001000000}">
      <text>
        <r>
          <rPr>
            <sz val="8"/>
            <color indexed="81"/>
            <rFont val="Tahoma"/>
            <family val="2"/>
          </rPr>
          <t>Capital Próprio do Balanço</t>
        </r>
      </text>
    </comment>
  </commentList>
</comments>
</file>

<file path=xl/sharedStrings.xml><?xml version="1.0" encoding="utf-8"?>
<sst xmlns="http://schemas.openxmlformats.org/spreadsheetml/2006/main" count="233" uniqueCount="197">
  <si>
    <t>Total</t>
  </si>
  <si>
    <t>Clientes</t>
  </si>
  <si>
    <t>Total do Activo</t>
  </si>
  <si>
    <t>ACTIVO</t>
  </si>
  <si>
    <t>Fornecedores</t>
  </si>
  <si>
    <t>EBITDA</t>
  </si>
  <si>
    <t>Investimento em Imobilizado</t>
  </si>
  <si>
    <t>Saldo Anual</t>
  </si>
  <si>
    <t>CMVMC</t>
  </si>
  <si>
    <t>Descrição</t>
  </si>
  <si>
    <t>Inflação</t>
  </si>
  <si>
    <t>Necessidades Financeiras de Exploração</t>
  </si>
  <si>
    <t>Existências</t>
  </si>
  <si>
    <t>Recursos Financeiros de Exploração</t>
  </si>
  <si>
    <t>Mapa das Compras</t>
  </si>
  <si>
    <t>+ Existências Finais</t>
  </si>
  <si>
    <t>- Existências Iniciais</t>
  </si>
  <si>
    <t>Compras</t>
  </si>
  <si>
    <t>TIR</t>
  </si>
  <si>
    <t>Índice Acumulado Inflação</t>
  </si>
  <si>
    <t>Fundo Maneio</t>
  </si>
  <si>
    <t>Variação Fundo Maneio</t>
  </si>
  <si>
    <t>Rubricas</t>
  </si>
  <si>
    <t>Recebimentos do Ano</t>
  </si>
  <si>
    <t>Vendas do Ano</t>
  </si>
  <si>
    <t>(+) Total dos Recebimentos</t>
  </si>
  <si>
    <t>Pagamentos do Ano</t>
  </si>
  <si>
    <t>Compras pagas no ano</t>
  </si>
  <si>
    <t>Encargos com Pessoal</t>
  </si>
  <si>
    <t>Fornecimentos e Serviços externos</t>
  </si>
  <si>
    <t>Imposto sobre o Rendimento</t>
  </si>
  <si>
    <t>(-) Total dos Pagamentos</t>
  </si>
  <si>
    <t>(=) Saldo do Ano</t>
  </si>
  <si>
    <t>Provisão para Impostos</t>
  </si>
  <si>
    <t>Capital em dívida (início período)</t>
  </si>
  <si>
    <t>Juro Anual</t>
  </si>
  <si>
    <t>Reembolso Anual</t>
  </si>
  <si>
    <t>Valor em dívida</t>
  </si>
  <si>
    <t>Taxa de juro associada</t>
  </si>
  <si>
    <t>Amortizações</t>
  </si>
  <si>
    <t>Resultado Liquido</t>
  </si>
  <si>
    <t>Investimento em Fundo Maneio</t>
  </si>
  <si>
    <t>Investimento em Capital Fixo</t>
  </si>
  <si>
    <t>VAL</t>
  </si>
  <si>
    <t>Unidade monetária</t>
  </si>
  <si>
    <t>Euros</t>
  </si>
  <si>
    <t>1º Ano actividade</t>
  </si>
  <si>
    <t>Taxa de IVA - Prestação Serviços</t>
  </si>
  <si>
    <t>Taxa de IVA - CMVMC</t>
  </si>
  <si>
    <t>Taxa de IVA - FSE</t>
  </si>
  <si>
    <t>Taxa de IVA - Investimento</t>
  </si>
  <si>
    <t>Taxa de IRC</t>
  </si>
  <si>
    <t xml:space="preserve">Prazo médio de Recebimento (dias) </t>
  </si>
  <si>
    <t xml:space="preserve">Prazo médio de Pagamento (dias) </t>
  </si>
  <si>
    <t xml:space="preserve">Prazo médio de Stock (dias) </t>
  </si>
  <si>
    <t>%</t>
  </si>
  <si>
    <t>Prazo Médio EOEP</t>
  </si>
  <si>
    <t>Cash Flow de Exploração</t>
  </si>
  <si>
    <t>Cash Flow Total</t>
  </si>
  <si>
    <t>Necessidades Financeiras</t>
  </si>
  <si>
    <t>Reembolso de Empréstimos MLP</t>
  </si>
  <si>
    <t xml:space="preserve">   IRC</t>
  </si>
  <si>
    <t>Recursos Financeiros</t>
  </si>
  <si>
    <t>Aumento de Capital</t>
  </si>
  <si>
    <t>Disponibilidades Iniciais</t>
  </si>
  <si>
    <t>Disponibilidades Finais</t>
  </si>
  <si>
    <t>Desinvestimento em Fundo Maneio</t>
  </si>
  <si>
    <t>Cash Flow Acumulado</t>
  </si>
  <si>
    <t>Taxa de Aplicações Sem Risco (Rf)</t>
  </si>
  <si>
    <t>Taxa de Rendibilidade do Mercado Accionista (Rm)</t>
  </si>
  <si>
    <t>Beta Negócio Sem Efeito de Alavanca (Bu)</t>
  </si>
  <si>
    <t>Taxa Rendibilidade Desejada (Keu)</t>
  </si>
  <si>
    <t>Investimento em Capital Circulante</t>
  </si>
  <si>
    <t>TSU - Entidade - órgãos sociais</t>
  </si>
  <si>
    <t>TSU- Entidade - colaboradores</t>
  </si>
  <si>
    <t>TSU - Pessoal - órgãos sociais</t>
  </si>
  <si>
    <t>TSU - Pessoal - colaboradores</t>
  </si>
  <si>
    <t xml:space="preserve">   Juros de Empréstimos MLP</t>
  </si>
  <si>
    <t>TOTAL €</t>
  </si>
  <si>
    <t>Colecta de IRC 17%</t>
  </si>
  <si>
    <t>Colecta de IRC 21%</t>
  </si>
  <si>
    <t>RUBRICAS</t>
  </si>
  <si>
    <t>RENDIMENTOS E GASTOS</t>
  </si>
  <si>
    <t>Resultado operacional (antes de gastos de financiamento e impostos)</t>
  </si>
  <si>
    <t>Resultado antes de impostos</t>
  </si>
  <si>
    <t>Resultado líquido do período</t>
  </si>
  <si>
    <t>Ganhos/perdas imputados de subsidiárias, associadas e empreend</t>
  </si>
  <si>
    <t>Vendas e serviços prestados</t>
  </si>
  <si>
    <t>Subsídios à exploração</t>
  </si>
  <si>
    <t>Variação nos inventários da produção</t>
  </si>
  <si>
    <t>Custo das mercadorias vendidas e das matérias consumidas</t>
  </si>
  <si>
    <t>Fornecimentos e serviços externos</t>
  </si>
  <si>
    <t>Gastos com o pessoal</t>
  </si>
  <si>
    <t>Imparidade de inventários (perdas/reversões)</t>
  </si>
  <si>
    <t>Outros rendimentos e ganhos</t>
  </si>
  <si>
    <t>Outros gastos e perdas</t>
  </si>
  <si>
    <t>Gastos/reversões de depreciação e de amortização</t>
  </si>
  <si>
    <t>Juros e rendimentos similares obtidos</t>
  </si>
  <si>
    <t>Juros e gastos similares suportados</t>
  </si>
  <si>
    <t>Imposto sobre o rendimento do período</t>
  </si>
  <si>
    <t>Activo não corrente:</t>
  </si>
  <si>
    <t>Activo corrente:</t>
  </si>
  <si>
    <t>CAPITAL PRÓPRIO E PASSIVO</t>
  </si>
  <si>
    <t>Capital próprio:</t>
  </si>
  <si>
    <t>Total do capital próprio</t>
  </si>
  <si>
    <t>Passivo</t>
  </si>
  <si>
    <t>Passivo não corrente:</t>
  </si>
  <si>
    <t>Passivo corrente:</t>
  </si>
  <si>
    <t>Total do passivo</t>
  </si>
  <si>
    <t>Total do Capital Próprio e do Passivo</t>
  </si>
  <si>
    <t>Activos fixos tangíveis</t>
  </si>
  <si>
    <t>Activos intangíveis</t>
  </si>
  <si>
    <t>Inventários</t>
  </si>
  <si>
    <t>Estado e outros entes públicos</t>
  </si>
  <si>
    <t>Diferimentos</t>
  </si>
  <si>
    <t>Caixa e depósitos bancários</t>
  </si>
  <si>
    <t>Capital realizado</t>
  </si>
  <si>
    <t>Acções (quotas) próprias</t>
  </si>
  <si>
    <t>Outros instrumentos de capital próprio</t>
  </si>
  <si>
    <t>Reservas legais</t>
  </si>
  <si>
    <t>Outras reservas</t>
  </si>
  <si>
    <t>Resultados transitados</t>
  </si>
  <si>
    <t>Interesses minoritários</t>
  </si>
  <si>
    <t>Financiamentos obtidos</t>
  </si>
  <si>
    <t>Outras contas a pagar</t>
  </si>
  <si>
    <t>Ativo +  Capital Próprio e Passivo</t>
  </si>
  <si>
    <t>DESIGNAÇÃO</t>
  </si>
  <si>
    <t>Nº</t>
  </si>
  <si>
    <t xml:space="preserve">N </t>
  </si>
  <si>
    <t>Encargos Totais Com o Pessoal</t>
  </si>
  <si>
    <t>Encargos Mensais  pessoal</t>
  </si>
  <si>
    <t>Índice</t>
  </si>
  <si>
    <t xml:space="preserve">Recursos Humanos </t>
  </si>
  <si>
    <t>Investimento</t>
  </si>
  <si>
    <t>Mapa Amortizações</t>
  </si>
  <si>
    <t>Rúbricas</t>
  </si>
  <si>
    <t>Resultados antes de deprec, gastos de finan e impostos</t>
  </si>
  <si>
    <t>Imparidade de invest depreciáveis/amortizáveis (perdas/reversões)</t>
  </si>
  <si>
    <t>Exercício</t>
  </si>
  <si>
    <t>Vencimento
Base</t>
  </si>
  <si>
    <t>Encargos
Sociais</t>
  </si>
  <si>
    <t>Sub
Almoço</t>
  </si>
  <si>
    <t>Valor
Ano</t>
  </si>
  <si>
    <t>Prestações Suplementares</t>
  </si>
  <si>
    <t>Encargos Financeiros
 ( Juros + Amort Capital)</t>
  </si>
  <si>
    <t>TOTAL</t>
  </si>
  <si>
    <t>Designação</t>
  </si>
  <si>
    <t>INVESTIMENTO TOTAL</t>
  </si>
  <si>
    <t>CAPITAIS PRÓPRIOS</t>
  </si>
  <si>
    <t>SUB TOTAL FES´S</t>
  </si>
  <si>
    <t>Mercado Nacional</t>
  </si>
  <si>
    <t xml:space="preserve">FINANCIAMENTO P2020 GLOBAL </t>
  </si>
  <si>
    <t>FINANCIAMENTO P2020 REEMBOLSÁVEL  50% DO VALOR GLOBAL</t>
  </si>
  <si>
    <t>TOTAL FINANCIAMENTO</t>
  </si>
  <si>
    <t>ATIVO TANGÍVEL</t>
  </si>
  <si>
    <t>ATIVO INTANGÍVEL</t>
  </si>
  <si>
    <t>Empréstimos MLP P2020</t>
  </si>
  <si>
    <t>Nº DE ANOS REEMBOLSO</t>
  </si>
  <si>
    <t>62- FSE´s Projeto</t>
  </si>
  <si>
    <t>FSE´s PROJETO</t>
  </si>
  <si>
    <t>Valor Mês</t>
  </si>
  <si>
    <t>Participações Financeiras - Outros Métodos</t>
  </si>
  <si>
    <t>Adiantamentos a Fornecedores</t>
  </si>
  <si>
    <t>Estado E Outras Entes Públicas</t>
  </si>
  <si>
    <t>Outras Contas a Receber</t>
  </si>
  <si>
    <t>AUTONOMINA FINANCEIRA</t>
  </si>
  <si>
    <t xml:space="preserve">Adiantamento de Clientes </t>
  </si>
  <si>
    <t>RECURSOS HUMANOS ATUAIS</t>
  </si>
  <si>
    <t>Alemanha</t>
  </si>
  <si>
    <t>FINANCIAMENTO EXISTENTE NA EMPRESA</t>
  </si>
  <si>
    <t>Outros Serviços</t>
  </si>
  <si>
    <t>Serviços especializados e RH related</t>
  </si>
  <si>
    <t>Investimentos Financeiros</t>
  </si>
  <si>
    <t xml:space="preserve">TOTAL </t>
  </si>
  <si>
    <t>VOLUME DE NEGÓCIOS POR MERCADO 2022</t>
  </si>
  <si>
    <t>França</t>
  </si>
  <si>
    <t>Espanha</t>
  </si>
  <si>
    <t>INVESTIMENTO
2022</t>
  </si>
  <si>
    <t xml:space="preserve">Suprimentos Sócios </t>
  </si>
  <si>
    <t>Eslóvenia</t>
  </si>
  <si>
    <t>Inglaterra</t>
  </si>
  <si>
    <t>Dinamarca</t>
  </si>
  <si>
    <t>Equipamento Básico</t>
  </si>
  <si>
    <t>Máquinas</t>
  </si>
  <si>
    <t>Obras</t>
  </si>
  <si>
    <t>Prestação de serviços</t>
  </si>
  <si>
    <t>Ferramentas</t>
  </si>
  <si>
    <t>Eq Informático</t>
  </si>
  <si>
    <t>Software</t>
  </si>
  <si>
    <t>INVESTIMENTO
2023</t>
  </si>
  <si>
    <t>INVESTIMENTO
2024</t>
  </si>
  <si>
    <t>FINANCIAMENTO P2020 FUNDO PERDIDO 100% DO VALOR GLOBAL</t>
  </si>
  <si>
    <t>Ativos financeiros detidos para negociação</t>
  </si>
  <si>
    <t xml:space="preserve">Tecnico </t>
  </si>
  <si>
    <t>Eng Telecom</t>
  </si>
  <si>
    <t>FINANCIAMENTO BANCO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</si>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</sst>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 * #,##0_)_€_ ;_ * \(#,##0\)_€_ ;_ * &quot;-&quot;_)_€_ ;_ @_ "/>
    <numFmt numFmtId="165" formatCode="#,##0\ &quot;€&quot;"/>
    <numFmt numFmtId="166" formatCode="0.0"/>
    <numFmt numFmtId="167" formatCode="_(* #,##0_);_(* \(#,##0\);_(* &quot;-&quot;_);_(@_)"/>
    <numFmt numFmtId="168" formatCode="#,###.00;\(#,###.00\);"/>
    <numFmt numFmtId="169" formatCode="_-* #,##0.0000\ &quot;€&quot;_-;\-* #,##0.0000\ &quot;€&quot;_-;_-* &quot;-&quot;??\ &quot;€&quot;_-;_-@_-"/>
    <numFmt numFmtId="170" formatCode="_-* #,##0.000\ &quot;€&quot;_-;\-* #,##0.000\ &quot;€&quot;_-;_-* &quot;-&quot;??\ &quot;€&quot;_-;_-@_-"/>
    <numFmt numFmtId="171" formatCode="0.0000000%"/>
    <numFmt numFmtId="172" formatCode="#,##0.00\ &quot;€&quot;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i/>
      <sz val="8"/>
      <name val="Verdana"/>
      <family val="2"/>
    </font>
    <font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1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Verdana"/>
      <family val="2"/>
    </font>
    <font>
      <b/>
      <sz val="12"/>
      <name val="Arial"/>
      <family val="2"/>
    </font>
    <font>
      <i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2"/>
      <name val="Lintel"/>
      <family val="3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7">
    <xf numFmtId="0" fontId="0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4" fillId="0" borderId="0"/>
    <xf numFmtId="44" fontId="14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9" fillId="0" borderId="0"/>
    <xf numFmtId="9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7" fillId="0" borderId="0"/>
    <xf numFmtId="0" fontId="14" fillId="0" borderId="0"/>
    <xf numFmtId="0" fontId="6" fillId="0" borderId="0"/>
    <xf numFmtId="44" fontId="6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8" fillId="0" borderId="0">
      <protection locked="0"/>
    </xf>
    <xf numFmtId="0" fontId="9" fillId="0" borderId="0">
      <protection locked="0"/>
    </xf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44" fontId="2" fillId="0" borderId="0" applyFont="0" applyFill="0" applyBorder="0" applyAlignment="0" applyProtection="0"/>
    <xf numFmtId="0" fontId="9" fillId="0" borderId="0">
      <protection locked="0"/>
    </xf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463">
    <xf numFmtId="0" fontId="0" fillId="0" borderId="0" xfId="0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/>
    <xf numFmtId="0" fontId="12" fillId="0" borderId="0" xfId="0" applyFont="1"/>
    <xf numFmtId="0" fontId="12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8" fillId="0" borderId="9" xfId="0" applyFont="1" applyBorder="1"/>
    <xf numFmtId="0" fontId="18" fillId="0" borderId="7" xfId="0" applyFont="1" applyBorder="1"/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4" borderId="0" xfId="0" applyFont="1" applyFill="1" applyProtection="1">
      <protection hidden="1"/>
    </xf>
    <xf numFmtId="0" fontId="20" fillId="0" borderId="0" xfId="0" applyFont="1" applyAlignment="1" applyProtection="1">
      <alignment wrapText="1"/>
      <protection hidden="1"/>
    </xf>
    <xf numFmtId="0" fontId="21" fillId="2" borderId="0" xfId="0" applyFont="1" applyFill="1" applyAlignment="1">
      <alignment vertical="center"/>
    </xf>
    <xf numFmtId="0" fontId="19" fillId="4" borderId="5" xfId="0" applyFont="1" applyFill="1" applyBorder="1" applyProtection="1">
      <protection hidden="1"/>
    </xf>
    <xf numFmtId="6" fontId="19" fillId="0" borderId="14" xfId="0" applyNumberFormat="1" applyFont="1" applyBorder="1" applyAlignment="1">
      <alignment vertical="center"/>
    </xf>
    <xf numFmtId="0" fontId="19" fillId="0" borderId="14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9" fillId="5" borderId="5" xfId="0" applyFont="1" applyFill="1" applyBorder="1" applyAlignment="1">
      <alignment horizontal="left" vertical="center" indent="1"/>
    </xf>
    <xf numFmtId="0" fontId="18" fillId="0" borderId="14" xfId="0" applyFont="1" applyBorder="1" applyAlignment="1">
      <alignment vertical="center"/>
    </xf>
    <xf numFmtId="44" fontId="19" fillId="0" borderId="14" xfId="2" applyFont="1" applyBorder="1" applyAlignment="1">
      <alignment vertical="center"/>
    </xf>
    <xf numFmtId="0" fontId="9" fillId="0" borderId="0" xfId="12"/>
    <xf numFmtId="3" fontId="9" fillId="0" borderId="0" xfId="12" applyNumberFormat="1"/>
    <xf numFmtId="0" fontId="19" fillId="4" borderId="14" xfId="0" applyFont="1" applyFill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/>
    </xf>
    <xf numFmtId="0" fontId="19" fillId="4" borderId="7" xfId="0" applyFont="1" applyFill="1" applyBorder="1" applyAlignment="1">
      <alignment horizontal="left" vertical="center"/>
    </xf>
    <xf numFmtId="0" fontId="18" fillId="0" borderId="0" xfId="0" applyFont="1" applyAlignment="1">
      <alignment horizontal="center"/>
    </xf>
    <xf numFmtId="0" fontId="19" fillId="2" borderId="0" xfId="0" applyFont="1" applyFill="1"/>
    <xf numFmtId="10" fontId="22" fillId="0" borderId="9" xfId="4" applyNumberFormat="1" applyFont="1" applyBorder="1" applyAlignment="1">
      <alignment horizontal="center"/>
    </xf>
    <xf numFmtId="10" fontId="22" fillId="0" borderId="10" xfId="4" applyNumberFormat="1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2" fontId="19" fillId="0" borderId="11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4" fontId="19" fillId="0" borderId="0" xfId="0" applyNumberFormat="1" applyFont="1" applyAlignment="1">
      <alignment vertical="center"/>
    </xf>
    <xf numFmtId="0" fontId="19" fillId="0" borderId="5" xfId="0" applyFont="1" applyBorder="1" applyAlignment="1" applyProtection="1">
      <alignment horizontal="right"/>
      <protection hidden="1"/>
    </xf>
    <xf numFmtId="9" fontId="19" fillId="0" borderId="0" xfId="3" applyFont="1" applyProtection="1">
      <protection hidden="1"/>
    </xf>
    <xf numFmtId="2" fontId="19" fillId="0" borderId="0" xfId="3" applyNumberFormat="1" applyFont="1" applyProtection="1">
      <protection hidden="1"/>
    </xf>
    <xf numFmtId="0" fontId="19" fillId="0" borderId="0" xfId="0" applyFont="1" applyAlignment="1" applyProtection="1">
      <alignment wrapText="1"/>
      <protection hidden="1"/>
    </xf>
    <xf numFmtId="0" fontId="19" fillId="0" borderId="5" xfId="0" applyFont="1" applyBorder="1" applyAlignment="1" applyProtection="1">
      <alignment horizontal="right"/>
      <protection locked="0"/>
    </xf>
    <xf numFmtId="0" fontId="19" fillId="0" borderId="0" xfId="0" applyFont="1" applyAlignment="1" applyProtection="1">
      <alignment horizontal="right"/>
      <protection locked="0"/>
    </xf>
    <xf numFmtId="0" fontId="19" fillId="0" borderId="0" xfId="0" applyFont="1" applyAlignment="1" applyProtection="1">
      <alignment horizontal="right"/>
      <protection hidden="1"/>
    </xf>
    <xf numFmtId="166" fontId="25" fillId="0" borderId="0" xfId="0" applyNumberFormat="1" applyFont="1" applyAlignment="1" applyProtection="1">
      <alignment horizontal="right"/>
      <protection hidden="1"/>
    </xf>
    <xf numFmtId="0" fontId="19" fillId="0" borderId="5" xfId="0" applyFont="1" applyBorder="1" applyProtection="1">
      <protection locked="0"/>
    </xf>
    <xf numFmtId="0" fontId="19" fillId="0" borderId="0" xfId="0" applyFont="1" applyProtection="1">
      <protection locked="0"/>
    </xf>
    <xf numFmtId="9" fontId="19" fillId="0" borderId="5" xfId="0" applyNumberFormat="1" applyFont="1" applyBorder="1" applyProtection="1">
      <protection locked="0"/>
    </xf>
    <xf numFmtId="0" fontId="19" fillId="0" borderId="0" xfId="0" applyFont="1" applyProtection="1">
      <protection hidden="1"/>
    </xf>
    <xf numFmtId="9" fontId="25" fillId="0" borderId="0" xfId="3" applyFont="1" applyAlignment="1" applyProtection="1">
      <alignment horizontal="left" indent="1"/>
      <protection hidden="1"/>
    </xf>
    <xf numFmtId="9" fontId="19" fillId="0" borderId="0" xfId="0" applyNumberFormat="1" applyFont="1" applyProtection="1">
      <protection locked="0"/>
    </xf>
    <xf numFmtId="10" fontId="19" fillId="0" borderId="5" xfId="0" applyNumberFormat="1" applyFont="1" applyBorder="1" applyProtection="1">
      <protection locked="0"/>
    </xf>
    <xf numFmtId="10" fontId="19" fillId="0" borderId="0" xfId="0" applyNumberFormat="1" applyFont="1" applyProtection="1">
      <protection locked="0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0" fontId="27" fillId="0" borderId="0" xfId="0" applyFont="1" applyAlignment="1" applyProtection="1">
      <alignment wrapText="1"/>
      <protection hidden="1"/>
    </xf>
    <xf numFmtId="0" fontId="19" fillId="2" borderId="0" xfId="0" applyFont="1" applyFill="1" applyAlignment="1">
      <alignment horizontal="left" vertical="center" wrapText="1"/>
    </xf>
    <xf numFmtId="165" fontId="19" fillId="2" borderId="0" xfId="0" applyNumberFormat="1" applyFont="1" applyFill="1" applyAlignment="1">
      <alignment horizontal="left" vertical="center" wrapText="1"/>
    </xf>
    <xf numFmtId="0" fontId="19" fillId="2" borderId="0" xfId="0" applyFont="1" applyFill="1" applyAlignment="1">
      <alignment vertical="center" wrapText="1"/>
    </xf>
    <xf numFmtId="3" fontId="19" fillId="6" borderId="0" xfId="12" applyNumberFormat="1" applyFont="1" applyFill="1"/>
    <xf numFmtId="3" fontId="19" fillId="0" borderId="0" xfId="12" applyNumberFormat="1" applyFont="1"/>
    <xf numFmtId="3" fontId="19" fillId="6" borderId="0" xfId="12" applyNumberFormat="1" applyFont="1" applyFill="1" applyAlignment="1">
      <alignment vertical="center"/>
    </xf>
    <xf numFmtId="6" fontId="19" fillId="0" borderId="14" xfId="2" applyNumberFormat="1" applyFont="1" applyBorder="1" applyAlignment="1">
      <alignment vertical="center"/>
    </xf>
    <xf numFmtId="44" fontId="19" fillId="0" borderId="14" xfId="2" applyFont="1" applyBorder="1" applyAlignment="1">
      <alignment horizontal="left" vertical="center"/>
    </xf>
    <xf numFmtId="44" fontId="18" fillId="0" borderId="14" xfId="0" applyNumberFormat="1" applyFont="1" applyBorder="1" applyAlignment="1">
      <alignment horizontal="left" vertical="center"/>
    </xf>
    <xf numFmtId="44" fontId="19" fillId="4" borderId="14" xfId="2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13" xfId="0" applyFont="1" applyFill="1" applyBorder="1" applyAlignment="1">
      <alignment horizontal="left" vertical="center" indent="1"/>
    </xf>
    <xf numFmtId="6" fontId="19" fillId="4" borderId="14" xfId="0" applyNumberFormat="1" applyFont="1" applyFill="1" applyBorder="1" applyAlignment="1">
      <alignment vertical="center"/>
    </xf>
    <xf numFmtId="0" fontId="19" fillId="4" borderId="13" xfId="0" applyFont="1" applyFill="1" applyBorder="1" applyAlignment="1">
      <alignment vertical="center"/>
    </xf>
    <xf numFmtId="0" fontId="19" fillId="4" borderId="13" xfId="0" applyFont="1" applyFill="1" applyBorder="1" applyAlignment="1">
      <alignment horizontal="left" vertical="center"/>
    </xf>
    <xf numFmtId="6" fontId="18" fillId="4" borderId="14" xfId="0" applyNumberFormat="1" applyFont="1" applyFill="1" applyBorder="1" applyAlignment="1">
      <alignment vertical="center"/>
    </xf>
    <xf numFmtId="44" fontId="19" fillId="4" borderId="14" xfId="0" applyNumberFormat="1" applyFont="1" applyFill="1" applyBorder="1" applyAlignment="1">
      <alignment vertical="center"/>
    </xf>
    <xf numFmtId="6" fontId="18" fillId="4" borderId="5" xfId="0" applyNumberFormat="1" applyFont="1" applyFill="1" applyBorder="1" applyAlignment="1">
      <alignment vertical="center"/>
    </xf>
    <xf numFmtId="0" fontId="19" fillId="4" borderId="9" xfId="0" applyFont="1" applyFill="1" applyBorder="1" applyAlignment="1">
      <alignment vertical="center"/>
    </xf>
    <xf numFmtId="44" fontId="19" fillId="4" borderId="9" xfId="0" applyNumberFormat="1" applyFont="1" applyFill="1" applyBorder="1" applyAlignment="1">
      <alignment vertical="center"/>
    </xf>
    <xf numFmtId="44" fontId="19" fillId="4" borderId="14" xfId="2" applyFont="1" applyFill="1" applyBorder="1" applyAlignment="1">
      <alignment horizontal="left" vertical="center" indent="1"/>
    </xf>
    <xf numFmtId="44" fontId="18" fillId="4" borderId="14" xfId="2" applyFont="1" applyFill="1" applyBorder="1" applyAlignment="1">
      <alignment vertical="center"/>
    </xf>
    <xf numFmtId="44" fontId="18" fillId="4" borderId="14" xfId="2" applyFont="1" applyFill="1" applyBorder="1" applyAlignment="1">
      <alignment horizontal="left" vertical="center"/>
    </xf>
    <xf numFmtId="44" fontId="19" fillId="4" borderId="7" xfId="2" applyFont="1" applyFill="1" applyBorder="1" applyAlignment="1">
      <alignment horizontal="left" vertical="center"/>
    </xf>
    <xf numFmtId="44" fontId="19" fillId="4" borderId="0" xfId="2" applyFont="1" applyFill="1" applyAlignment="1">
      <alignment vertical="center"/>
    </xf>
    <xf numFmtId="0" fontId="28" fillId="0" borderId="0" xfId="20" applyProtection="1"/>
    <xf numFmtId="0" fontId="9" fillId="0" borderId="0" xfId="21" applyProtection="1"/>
    <xf numFmtId="3" fontId="32" fillId="0" borderId="0" xfId="12" applyNumberFormat="1" applyFont="1" applyAlignment="1">
      <alignment horizontal="center"/>
    </xf>
    <xf numFmtId="3" fontId="18" fillId="4" borderId="37" xfId="12" applyNumberFormat="1" applyFont="1" applyFill="1" applyBorder="1" applyAlignment="1">
      <alignment vertical="center"/>
    </xf>
    <xf numFmtId="3" fontId="31" fillId="4" borderId="37" xfId="12" applyNumberFormat="1" applyFont="1" applyFill="1" applyBorder="1" applyAlignment="1">
      <alignment horizontal="center" vertical="center"/>
    </xf>
    <xf numFmtId="0" fontId="31" fillId="0" borderId="0" xfId="22" applyFont="1"/>
    <xf numFmtId="0" fontId="5" fillId="0" borderId="0" xfId="22"/>
    <xf numFmtId="0" fontId="5" fillId="0" borderId="0" xfId="22" applyAlignment="1">
      <alignment horizontal="left"/>
    </xf>
    <xf numFmtId="0" fontId="9" fillId="0" borderId="0" xfId="20" applyFont="1" applyAlignment="1" applyProtection="1">
      <alignment horizontal="right"/>
    </xf>
    <xf numFmtId="4" fontId="28" fillId="0" borderId="0" xfId="20" applyNumberFormat="1" applyProtection="1"/>
    <xf numFmtId="44" fontId="15" fillId="2" borderId="0" xfId="0" applyNumberFormat="1" applyFont="1" applyFill="1" applyAlignment="1">
      <alignment vertical="center"/>
    </xf>
    <xf numFmtId="44" fontId="19" fillId="4" borderId="41" xfId="2" applyFont="1" applyFill="1" applyBorder="1" applyAlignment="1">
      <alignment vertical="center"/>
    </xf>
    <xf numFmtId="3" fontId="18" fillId="0" borderId="0" xfId="12" applyNumberFormat="1" applyFont="1" applyAlignment="1">
      <alignment vertical="center"/>
    </xf>
    <xf numFmtId="0" fontId="9" fillId="0" borderId="0" xfId="21" applyAlignment="1" applyProtection="1">
      <alignment horizontal="left"/>
    </xf>
    <xf numFmtId="0" fontId="33" fillId="2" borderId="0" xfId="0" applyFont="1" applyFill="1" applyAlignment="1">
      <alignment vertical="center"/>
    </xf>
    <xf numFmtId="10" fontId="18" fillId="2" borderId="30" xfId="3" applyNumberFormat="1" applyFont="1" applyFill="1" applyBorder="1" applyAlignment="1">
      <alignment horizontal="right" vertical="center"/>
    </xf>
    <xf numFmtId="44" fontId="19" fillId="5" borderId="5" xfId="2" applyFont="1" applyFill="1" applyBorder="1" applyAlignment="1">
      <alignment vertical="center"/>
    </xf>
    <xf numFmtId="44" fontId="18" fillId="4" borderId="14" xfId="0" applyNumberFormat="1" applyFont="1" applyFill="1" applyBorder="1" applyAlignment="1">
      <alignment vertical="center"/>
    </xf>
    <xf numFmtId="0" fontId="9" fillId="0" borderId="0" xfId="0" applyFont="1"/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5" xfId="0" applyFont="1" applyFill="1" applyBorder="1" applyAlignment="1" applyProtection="1">
      <alignment horizontal="center" wrapText="1"/>
      <protection hidden="1"/>
    </xf>
    <xf numFmtId="0" fontId="34" fillId="7" borderId="0" xfId="19" applyFont="1" applyFill="1" applyAlignment="1" applyProtection="1">
      <alignment horizontal="center" vertical="center"/>
    </xf>
    <xf numFmtId="44" fontId="4" fillId="4" borderId="41" xfId="2" applyFont="1" applyFill="1" applyBorder="1" applyAlignment="1">
      <alignment vertical="center"/>
    </xf>
    <xf numFmtId="44" fontId="4" fillId="4" borderId="37" xfId="2" applyFont="1" applyFill="1" applyBorder="1" applyAlignment="1">
      <alignment vertical="center"/>
    </xf>
    <xf numFmtId="3" fontId="31" fillId="0" borderId="0" xfId="12" applyNumberFormat="1" applyFont="1" applyAlignment="1">
      <alignment horizontal="center"/>
    </xf>
    <xf numFmtId="44" fontId="19" fillId="0" borderId="26" xfId="2" applyFont="1" applyBorder="1"/>
    <xf numFmtId="3" fontId="35" fillId="0" borderId="0" xfId="12" applyNumberFormat="1" applyFont="1"/>
    <xf numFmtId="0" fontId="19" fillId="0" borderId="0" xfId="12" applyFont="1"/>
    <xf numFmtId="44" fontId="19" fillId="0" borderId="14" xfId="2" applyFont="1" applyBorder="1"/>
    <xf numFmtId="0" fontId="18" fillId="8" borderId="21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0" fontId="19" fillId="8" borderId="31" xfId="0" applyFont="1" applyFill="1" applyBorder="1" applyAlignment="1">
      <alignment vertical="center"/>
    </xf>
    <xf numFmtId="0" fontId="18" fillId="8" borderId="25" xfId="0" applyFont="1" applyFill="1" applyBorder="1" applyAlignment="1">
      <alignment horizontal="center" vertical="center"/>
    </xf>
    <xf numFmtId="0" fontId="18" fillId="4" borderId="42" xfId="0" applyFont="1" applyFill="1" applyBorder="1" applyAlignment="1">
      <alignment vertical="center"/>
    </xf>
    <xf numFmtId="0" fontId="19" fillId="4" borderId="32" xfId="0" applyFont="1" applyFill="1" applyBorder="1" applyAlignment="1">
      <alignment horizontal="left" vertical="center" indent="1"/>
    </xf>
    <xf numFmtId="0" fontId="18" fillId="4" borderId="32" xfId="0" applyFont="1" applyFill="1" applyBorder="1" applyAlignment="1">
      <alignment vertical="center"/>
    </xf>
    <xf numFmtId="0" fontId="18" fillId="3" borderId="32" xfId="0" applyFont="1" applyFill="1" applyBorder="1" applyAlignment="1">
      <alignment horizontal="right" vertical="center"/>
    </xf>
    <xf numFmtId="0" fontId="18" fillId="8" borderId="43" xfId="0" applyFont="1" applyFill="1" applyBorder="1" applyAlignment="1">
      <alignment horizontal="right" vertical="center"/>
    </xf>
    <xf numFmtId="0" fontId="18" fillId="8" borderId="3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1" xfId="0" quotePrefix="1" applyFont="1" applyFill="1" applyBorder="1" applyAlignment="1">
      <alignment horizontal="left" vertical="center"/>
    </xf>
    <xf numFmtId="0" fontId="18" fillId="3" borderId="26" xfId="0" applyFont="1" applyFill="1" applyBorder="1" applyAlignment="1">
      <alignment horizontal="right" vertical="center"/>
    </xf>
    <xf numFmtId="1" fontId="31" fillId="9" borderId="35" xfId="12" applyNumberFormat="1" applyFont="1" applyFill="1" applyBorder="1" applyAlignment="1">
      <alignment horizontal="center" vertical="center"/>
    </xf>
    <xf numFmtId="3" fontId="18" fillId="8" borderId="24" xfId="12" applyNumberFormat="1" applyFont="1" applyFill="1" applyBorder="1" applyAlignment="1">
      <alignment horizontal="right" vertical="center"/>
    </xf>
    <xf numFmtId="3" fontId="31" fillId="8" borderId="34" xfId="2" applyNumberFormat="1" applyFont="1" applyFill="1" applyBorder="1" applyAlignment="1">
      <alignment horizontal="center" vertical="center"/>
    </xf>
    <xf numFmtId="44" fontId="18" fillId="8" borderId="29" xfId="2" applyFont="1" applyFill="1" applyBorder="1" applyAlignment="1">
      <alignment horizontal="right" vertical="center"/>
    </xf>
    <xf numFmtId="44" fontId="18" fillId="8" borderId="33" xfId="2" applyFont="1" applyFill="1" applyBorder="1" applyAlignment="1">
      <alignment horizontal="right" vertical="center"/>
    </xf>
    <xf numFmtId="3" fontId="18" fillId="8" borderId="20" xfId="12" applyNumberFormat="1" applyFont="1" applyFill="1" applyBorder="1" applyAlignment="1">
      <alignment horizontal="center" vertical="center"/>
    </xf>
    <xf numFmtId="44" fontId="24" fillId="3" borderId="5" xfId="2" applyFont="1" applyFill="1" applyBorder="1" applyAlignment="1">
      <alignment horizontal="left" vertical="center" indent="1"/>
    </xf>
    <xf numFmtId="0" fontId="18" fillId="8" borderId="35" xfId="0" applyFont="1" applyFill="1" applyBorder="1" applyAlignment="1">
      <alignment vertical="center"/>
    </xf>
    <xf numFmtId="0" fontId="18" fillId="3" borderId="5" xfId="0" applyFont="1" applyFill="1" applyBorder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6" fontId="18" fillId="3" borderId="27" xfId="2" applyNumberFormat="1" applyFont="1" applyFill="1" applyBorder="1" applyAlignment="1">
      <alignment vertical="center"/>
    </xf>
    <xf numFmtId="0" fontId="18" fillId="8" borderId="5" xfId="0" applyFont="1" applyFill="1" applyBorder="1" applyAlignment="1">
      <alignment vertical="center"/>
    </xf>
    <xf numFmtId="0" fontId="18" fillId="3" borderId="5" xfId="0" applyFont="1" applyFill="1" applyBorder="1" applyAlignment="1">
      <alignment vertical="center"/>
    </xf>
    <xf numFmtId="44" fontId="18" fillId="3" borderId="5" xfId="0" applyNumberFormat="1" applyFont="1" applyFill="1" applyBorder="1" applyAlignment="1">
      <alignment horizontal="right" vertical="center"/>
    </xf>
    <xf numFmtId="44" fontId="18" fillId="3" borderId="5" xfId="2" applyFont="1" applyFill="1" applyBorder="1" applyAlignment="1">
      <alignment horizontal="left" vertical="center" indent="1"/>
    </xf>
    <xf numFmtId="0" fontId="18" fillId="8" borderId="5" xfId="0" applyFont="1" applyFill="1" applyBorder="1" applyAlignment="1">
      <alignment horizontal="right" vertical="center"/>
    </xf>
    <xf numFmtId="0" fontId="19" fillId="8" borderId="16" xfId="0" applyFont="1" applyFill="1" applyBorder="1" applyAlignment="1">
      <alignment vertical="center"/>
    </xf>
    <xf numFmtId="0" fontId="18" fillId="4" borderId="5" xfId="0" applyFont="1" applyFill="1" applyBorder="1" applyAlignment="1">
      <alignment horizontal="right" vertical="center"/>
    </xf>
    <xf numFmtId="6" fontId="19" fillId="3" borderId="5" xfId="0" applyNumberFormat="1" applyFont="1" applyFill="1" applyBorder="1" applyAlignment="1">
      <alignment vertical="center"/>
    </xf>
    <xf numFmtId="6" fontId="18" fillId="8" borderId="5" xfId="0" applyNumberFormat="1" applyFont="1" applyFill="1" applyBorder="1" applyAlignment="1">
      <alignment vertical="center"/>
    </xf>
    <xf numFmtId="0" fontId="18" fillId="0" borderId="1" xfId="20" applyFont="1" applyBorder="1" applyProtection="1"/>
    <xf numFmtId="0" fontId="19" fillId="0" borderId="14" xfId="20" applyFont="1" applyBorder="1" applyProtection="1"/>
    <xf numFmtId="0" fontId="18" fillId="0" borderId="1" xfId="20" applyFont="1" applyBorder="1" applyAlignment="1" applyProtection="1">
      <alignment horizontal="center"/>
    </xf>
    <xf numFmtId="0" fontId="19" fillId="0" borderId="1" xfId="20" applyFont="1" applyBorder="1" applyProtection="1"/>
    <xf numFmtId="44" fontId="19" fillId="0" borderId="14" xfId="20" applyNumberFormat="1" applyFont="1" applyBorder="1" applyProtection="1"/>
    <xf numFmtId="168" fontId="19" fillId="0" borderId="14" xfId="20" applyNumberFormat="1" applyFont="1" applyBorder="1" applyProtection="1"/>
    <xf numFmtId="0" fontId="19" fillId="0" borderId="1" xfId="20" applyFont="1" applyBorder="1" applyAlignment="1" applyProtection="1">
      <alignment horizontal="left"/>
    </xf>
    <xf numFmtId="0" fontId="18" fillId="0" borderId="1" xfId="20" applyFont="1" applyBorder="1" applyAlignment="1" applyProtection="1">
      <alignment horizontal="left" wrapText="1"/>
    </xf>
    <xf numFmtId="168" fontId="18" fillId="0" borderId="14" xfId="20" applyNumberFormat="1" applyFont="1" applyBorder="1" applyAlignment="1" applyProtection="1">
      <alignment horizontal="right" vertical="center"/>
    </xf>
    <xf numFmtId="0" fontId="18" fillId="0" borderId="1" xfId="20" applyFont="1" applyBorder="1" applyAlignment="1" applyProtection="1">
      <alignment horizontal="right"/>
    </xf>
    <xf numFmtId="168" fontId="18" fillId="0" borderId="14" xfId="20" applyNumberFormat="1" applyFont="1" applyBorder="1" applyAlignment="1" applyProtection="1">
      <alignment horizontal="right"/>
    </xf>
    <xf numFmtId="9" fontId="18" fillId="0" borderId="1" xfId="20" applyNumberFormat="1" applyFont="1" applyBorder="1" applyAlignment="1" applyProtection="1">
      <alignment horizontal="center"/>
    </xf>
    <xf numFmtId="0" fontId="19" fillId="0" borderId="1" xfId="20" applyFont="1" applyBorder="1" applyAlignment="1" applyProtection="1">
      <alignment horizontal="right"/>
    </xf>
    <xf numFmtId="0" fontId="18" fillId="0" borderId="13" xfId="21" applyFont="1" applyBorder="1" applyAlignment="1" applyProtection="1">
      <alignment horizontal="left"/>
    </xf>
    <xf numFmtId="0" fontId="19" fillId="0" borderId="13" xfId="21" applyFont="1" applyBorder="1" applyAlignment="1" applyProtection="1">
      <alignment horizontal="left"/>
    </xf>
    <xf numFmtId="0" fontId="19" fillId="0" borderId="15" xfId="21" applyFont="1" applyBorder="1" applyAlignment="1" applyProtection="1">
      <alignment horizontal="left"/>
    </xf>
    <xf numFmtId="0" fontId="18" fillId="0" borderId="15" xfId="21" applyFont="1" applyBorder="1" applyAlignment="1" applyProtection="1">
      <alignment horizontal="left"/>
    </xf>
    <xf numFmtId="0" fontId="26" fillId="0" borderId="13" xfId="21" applyFont="1" applyBorder="1" applyAlignment="1" applyProtection="1">
      <alignment horizontal="left"/>
    </xf>
    <xf numFmtId="0" fontId="18" fillId="8" borderId="16" xfId="0" applyFont="1" applyFill="1" applyBorder="1" applyAlignment="1">
      <alignment vertical="center"/>
    </xf>
    <xf numFmtId="0" fontId="18" fillId="8" borderId="13" xfId="0" applyFont="1" applyFill="1" applyBorder="1" applyAlignment="1">
      <alignment horizontal="right" vertical="center"/>
    </xf>
    <xf numFmtId="0" fontId="18" fillId="8" borderId="15" xfId="0" applyFont="1" applyFill="1" applyBorder="1" applyAlignment="1">
      <alignment horizontal="right" vertical="center"/>
    </xf>
    <xf numFmtId="44" fontId="18" fillId="8" borderId="5" xfId="2" applyFont="1" applyFill="1" applyBorder="1" applyAlignment="1">
      <alignment horizontal="left" vertical="center" indent="1"/>
    </xf>
    <xf numFmtId="0" fontId="18" fillId="8" borderId="5" xfId="21" applyFont="1" applyFill="1" applyBorder="1" applyAlignment="1" applyProtection="1">
      <alignment horizontal="center" vertical="center"/>
    </xf>
    <xf numFmtId="0" fontId="18" fillId="8" borderId="5" xfId="0" applyFont="1" applyFill="1" applyBorder="1" applyAlignment="1">
      <alignment horizontal="center" vertical="center" wrapText="1"/>
    </xf>
    <xf numFmtId="3" fontId="31" fillId="9" borderId="3" xfId="12" applyNumberFormat="1" applyFont="1" applyFill="1" applyBorder="1" applyAlignment="1">
      <alignment horizontal="center" vertical="center"/>
    </xf>
    <xf numFmtId="3" fontId="18" fillId="9" borderId="24" xfId="12" applyNumberFormat="1" applyFont="1" applyFill="1" applyBorder="1" applyAlignment="1">
      <alignment horizontal="center" vertical="center" wrapText="1"/>
    </xf>
    <xf numFmtId="3" fontId="18" fillId="9" borderId="29" xfId="12" applyNumberFormat="1" applyFont="1" applyFill="1" applyBorder="1" applyAlignment="1">
      <alignment horizontal="center" vertical="center" wrapText="1"/>
    </xf>
    <xf numFmtId="3" fontId="18" fillId="9" borderId="30" xfId="12" applyNumberFormat="1" applyFont="1" applyFill="1" applyBorder="1" applyAlignment="1">
      <alignment horizontal="center" vertical="center"/>
    </xf>
    <xf numFmtId="3" fontId="18" fillId="9" borderId="33" xfId="12" applyNumberFormat="1" applyFont="1" applyFill="1" applyBorder="1" applyAlignment="1">
      <alignment horizontal="center" vertical="center" wrapText="1"/>
    </xf>
    <xf numFmtId="168" fontId="22" fillId="0" borderId="14" xfId="20" applyNumberFormat="1" applyFont="1" applyBorder="1" applyAlignment="1" applyProtection="1">
      <alignment horizontal="right"/>
    </xf>
    <xf numFmtId="44" fontId="19" fillId="4" borderId="9" xfId="0" applyNumberFormat="1" applyFont="1" applyFill="1" applyBorder="1" applyAlignment="1">
      <alignment horizontal="center" vertical="center"/>
    </xf>
    <xf numFmtId="44" fontId="19" fillId="4" borderId="14" xfId="0" applyNumberFormat="1" applyFont="1" applyFill="1" applyBorder="1" applyAlignment="1">
      <alignment horizontal="center" vertical="center"/>
    </xf>
    <xf numFmtId="44" fontId="18" fillId="4" borderId="14" xfId="0" applyNumberFormat="1" applyFont="1" applyFill="1" applyBorder="1" applyAlignment="1">
      <alignment horizontal="center" vertical="center"/>
    </xf>
    <xf numFmtId="44" fontId="19" fillId="4" borderId="14" xfId="2" applyFont="1" applyFill="1" applyBorder="1" applyAlignment="1">
      <alignment horizontal="center" vertical="center"/>
    </xf>
    <xf numFmtId="44" fontId="18" fillId="4" borderId="14" xfId="2" applyFont="1" applyFill="1" applyBorder="1" applyAlignment="1">
      <alignment horizontal="center" vertical="center"/>
    </xf>
    <xf numFmtId="44" fontId="19" fillId="4" borderId="7" xfId="2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0" fontId="19" fillId="0" borderId="9" xfId="0" applyNumberFormat="1" applyFont="1" applyBorder="1" applyAlignment="1">
      <alignment horizontal="center" vertical="center"/>
    </xf>
    <xf numFmtId="10" fontId="19" fillId="0" borderId="14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10" fontId="18" fillId="3" borderId="5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1" fillId="0" borderId="0" xfId="22" applyFont="1" applyAlignment="1">
      <alignment horizontal="left"/>
    </xf>
    <xf numFmtId="3" fontId="18" fillId="4" borderId="44" xfId="12" applyNumberFormat="1" applyFont="1" applyFill="1" applyBorder="1" applyAlignment="1">
      <alignment vertical="center"/>
    </xf>
    <xf numFmtId="3" fontId="31" fillId="4" borderId="44" xfId="12" applyNumberFormat="1" applyFont="1" applyFill="1" applyBorder="1" applyAlignment="1">
      <alignment horizontal="center" vertical="center"/>
    </xf>
    <xf numFmtId="44" fontId="4" fillId="4" borderId="44" xfId="2" applyFont="1" applyFill="1" applyBorder="1" applyAlignment="1">
      <alignment vertical="center"/>
    </xf>
    <xf numFmtId="44" fontId="4" fillId="4" borderId="45" xfId="2" applyFont="1" applyFill="1" applyBorder="1" applyAlignment="1">
      <alignment vertical="center"/>
    </xf>
    <xf numFmtId="44" fontId="19" fillId="4" borderId="45" xfId="2" applyFont="1" applyFill="1" applyBorder="1" applyAlignment="1">
      <alignment vertical="center"/>
    </xf>
    <xf numFmtId="44" fontId="19" fillId="6" borderId="14" xfId="2" applyFont="1" applyFill="1" applyBorder="1" applyAlignment="1">
      <alignment vertical="center"/>
    </xf>
    <xf numFmtId="44" fontId="19" fillId="6" borderId="7" xfId="2" applyFont="1" applyFill="1" applyBorder="1" applyAlignment="1">
      <alignment vertical="center"/>
    </xf>
    <xf numFmtId="0" fontId="18" fillId="6" borderId="13" xfId="12" applyFont="1" applyFill="1" applyBorder="1" applyAlignment="1">
      <alignment horizontal="center" vertical="center"/>
    </xf>
    <xf numFmtId="0" fontId="19" fillId="6" borderId="14" xfId="12" applyFont="1" applyFill="1" applyBorder="1" applyAlignment="1">
      <alignment vertical="center"/>
    </xf>
    <xf numFmtId="0" fontId="19" fillId="6" borderId="7" xfId="12" applyFont="1" applyFill="1" applyBorder="1" applyAlignment="1">
      <alignment vertical="center"/>
    </xf>
    <xf numFmtId="0" fontId="19" fillId="6" borderId="15" xfId="12" applyFont="1" applyFill="1" applyBorder="1" applyAlignment="1">
      <alignment vertical="center"/>
    </xf>
    <xf numFmtId="0" fontId="18" fillId="9" borderId="5" xfId="12" applyFont="1" applyFill="1" applyBorder="1" applyAlignment="1">
      <alignment vertical="center"/>
    </xf>
    <xf numFmtId="44" fontId="18" fillId="9" borderId="5" xfId="12" applyNumberFormat="1" applyFont="1" applyFill="1" applyBorder="1" applyAlignment="1">
      <alignment vertical="center"/>
    </xf>
    <xf numFmtId="44" fontId="19" fillId="6" borderId="13" xfId="2" applyFont="1" applyFill="1" applyBorder="1" applyAlignment="1">
      <alignment vertical="center"/>
    </xf>
    <xf numFmtId="44" fontId="19" fillId="6" borderId="15" xfId="2" applyFont="1" applyFill="1" applyBorder="1" applyAlignment="1">
      <alignment vertical="center"/>
    </xf>
    <xf numFmtId="44" fontId="19" fillId="0" borderId="7" xfId="2" applyFont="1" applyBorder="1"/>
    <xf numFmtId="44" fontId="18" fillId="11" borderId="7" xfId="2" applyFont="1" applyFill="1" applyBorder="1"/>
    <xf numFmtId="44" fontId="18" fillId="4" borderId="5" xfId="2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44" fontId="11" fillId="2" borderId="5" xfId="2" applyFont="1" applyFill="1" applyBorder="1" applyAlignment="1">
      <alignment horizontal="left" vertical="center"/>
    </xf>
    <xf numFmtId="0" fontId="12" fillId="11" borderId="5" xfId="0" applyFont="1" applyFill="1" applyBorder="1" applyAlignment="1">
      <alignment horizontal="left" vertical="center"/>
    </xf>
    <xf numFmtId="44" fontId="11" fillId="11" borderId="5" xfId="2" applyFont="1" applyFill="1" applyBorder="1" applyAlignment="1">
      <alignment horizontal="left" vertical="center"/>
    </xf>
    <xf numFmtId="168" fontId="19" fillId="0" borderId="38" xfId="21" applyNumberFormat="1" applyFont="1" applyBorder="1" applyAlignment="1" applyProtection="1">
      <alignment horizontal="center"/>
    </xf>
    <xf numFmtId="0" fontId="19" fillId="13" borderId="14" xfId="0" applyFont="1" applyFill="1" applyBorder="1" applyAlignment="1">
      <alignment vertical="center" wrapText="1"/>
    </xf>
    <xf numFmtId="44" fontId="19" fillId="13" borderId="14" xfId="2" applyFont="1" applyFill="1" applyBorder="1" applyAlignment="1">
      <alignment vertical="center"/>
    </xf>
    <xf numFmtId="0" fontId="18" fillId="4" borderId="5" xfId="22" applyFont="1" applyFill="1" applyBorder="1" applyAlignment="1">
      <alignment horizontal="center" vertical="center"/>
    </xf>
    <xf numFmtId="44" fontId="31" fillId="0" borderId="0" xfId="2" applyFont="1" applyAlignment="1">
      <alignment horizontal="center"/>
    </xf>
    <xf numFmtId="0" fontId="5" fillId="0" borderId="0" xfId="22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44" fontId="16" fillId="5" borderId="5" xfId="2" applyFont="1" applyFill="1" applyBorder="1" applyAlignment="1">
      <alignment horizontal="center" vertical="center" wrapText="1"/>
    </xf>
    <xf numFmtId="44" fontId="0" fillId="0" borderId="0" xfId="0" applyNumberFormat="1"/>
    <xf numFmtId="0" fontId="37" fillId="5" borderId="0" xfId="0" applyFont="1" applyFill="1" applyAlignment="1">
      <alignment vertical="center"/>
    </xf>
    <xf numFmtId="44" fontId="16" fillId="5" borderId="0" xfId="0" applyNumberFormat="1" applyFont="1" applyFill="1"/>
    <xf numFmtId="0" fontId="37" fillId="14" borderId="0" xfId="0" applyFont="1" applyFill="1" applyAlignment="1">
      <alignment vertical="center"/>
    </xf>
    <xf numFmtId="44" fontId="16" fillId="14" borderId="0" xfId="2" applyFont="1" applyFill="1"/>
    <xf numFmtId="0" fontId="37" fillId="8" borderId="0" xfId="0" applyFont="1" applyFill="1" applyAlignment="1">
      <alignment vertical="center"/>
    </xf>
    <xf numFmtId="44" fontId="16" fillId="8" borderId="0" xfId="2" applyFont="1" applyFill="1"/>
    <xf numFmtId="0" fontId="37" fillId="10" borderId="0" xfId="0" applyFont="1" applyFill="1" applyAlignment="1">
      <alignment vertical="center"/>
    </xf>
    <xf numFmtId="44" fontId="16" fillId="10" borderId="0" xfId="0" applyNumberFormat="1" applyFont="1" applyFill="1"/>
    <xf numFmtId="44" fontId="16" fillId="8" borderId="5" xfId="2" applyFont="1" applyFill="1" applyBorder="1" applyAlignment="1">
      <alignment vertical="center"/>
    </xf>
    <xf numFmtId="0" fontId="31" fillId="11" borderId="5" xfId="22" applyFont="1" applyFill="1" applyBorder="1" applyAlignment="1">
      <alignment horizontal="right"/>
    </xf>
    <xf numFmtId="0" fontId="18" fillId="11" borderId="5" xfId="22" applyFont="1" applyFill="1" applyBorder="1" applyAlignment="1">
      <alignment horizontal="center" vertical="center"/>
    </xf>
    <xf numFmtId="44" fontId="31" fillId="11" borderId="5" xfId="2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 vertical="center"/>
    </xf>
    <xf numFmtId="44" fontId="9" fillId="0" borderId="47" xfId="2" applyBorder="1"/>
    <xf numFmtId="44" fontId="9" fillId="0" borderId="48" xfId="2" applyBorder="1"/>
    <xf numFmtId="0" fontId="36" fillId="0" borderId="49" xfId="0" applyFont="1" applyBorder="1" applyAlignment="1">
      <alignment vertical="center"/>
    </xf>
    <xf numFmtId="0" fontId="16" fillId="8" borderId="16" xfId="0" applyFont="1" applyFill="1" applyBorder="1" applyAlignment="1">
      <alignment vertical="center"/>
    </xf>
    <xf numFmtId="44" fontId="16" fillId="5" borderId="8" xfId="2" applyFont="1" applyFill="1" applyBorder="1" applyAlignment="1">
      <alignment horizontal="center" vertical="center" wrapText="1"/>
    </xf>
    <xf numFmtId="44" fontId="0" fillId="0" borderId="50" xfId="2" applyFont="1" applyBorder="1"/>
    <xf numFmtId="44" fontId="0" fillId="0" borderId="51" xfId="2" applyFont="1" applyBorder="1"/>
    <xf numFmtId="0" fontId="37" fillId="4" borderId="0" xfId="0" applyFont="1" applyFill="1" applyAlignment="1">
      <alignment vertical="center"/>
    </xf>
    <xf numFmtId="44" fontId="16" fillId="4" borderId="0" xfId="2" applyFont="1" applyFill="1"/>
    <xf numFmtId="0" fontId="37" fillId="15" borderId="0" xfId="0" applyFont="1" applyFill="1" applyAlignment="1">
      <alignment vertical="center"/>
    </xf>
    <xf numFmtId="44" fontId="16" fillId="15" borderId="0" xfId="2" applyFont="1" applyFill="1"/>
    <xf numFmtId="0" fontId="16" fillId="10" borderId="0" xfId="0" applyFont="1" applyFill="1"/>
    <xf numFmtId="0" fontId="18" fillId="8" borderId="0" xfId="12" applyFont="1" applyFill="1" applyAlignment="1">
      <alignment horizontal="center" vertical="center"/>
    </xf>
    <xf numFmtId="44" fontId="18" fillId="9" borderId="7" xfId="12" applyNumberFormat="1" applyFont="1" applyFill="1" applyBorder="1" applyAlignment="1">
      <alignment vertical="center"/>
    </xf>
    <xf numFmtId="44" fontId="19" fillId="10" borderId="9" xfId="2" applyFont="1" applyFill="1" applyBorder="1"/>
    <xf numFmtId="0" fontId="18" fillId="10" borderId="8" xfId="12" applyFont="1" applyFill="1" applyBorder="1" applyAlignment="1">
      <alignment horizontal="center" vertical="center"/>
    </xf>
    <xf numFmtId="44" fontId="19" fillId="10" borderId="5" xfId="2" applyFont="1" applyFill="1" applyBorder="1"/>
    <xf numFmtId="0" fontId="19" fillId="10" borderId="24" xfId="0" applyFont="1" applyFill="1" applyBorder="1" applyAlignment="1">
      <alignment horizontal="center" vertical="center"/>
    </xf>
    <xf numFmtId="0" fontId="19" fillId="10" borderId="30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6" fontId="19" fillId="0" borderId="9" xfId="0" applyNumberFormat="1" applyFont="1" applyBorder="1" applyAlignment="1">
      <alignment vertical="center"/>
    </xf>
    <xf numFmtId="0" fontId="19" fillId="5" borderId="5" xfId="0" applyFont="1" applyFill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 indent="1"/>
    </xf>
    <xf numFmtId="44" fontId="19" fillId="0" borderId="7" xfId="2" applyFont="1" applyBorder="1" applyAlignment="1">
      <alignment vertical="center"/>
    </xf>
    <xf numFmtId="6" fontId="19" fillId="0" borderId="12" xfId="0" applyNumberFormat="1" applyFont="1" applyBorder="1" applyAlignment="1">
      <alignment vertical="center"/>
    </xf>
    <xf numFmtId="44" fontId="19" fillId="0" borderId="13" xfId="2" applyFont="1" applyBorder="1" applyAlignment="1">
      <alignment vertical="center"/>
    </xf>
    <xf numFmtId="44" fontId="19" fillId="5" borderId="16" xfId="2" applyFont="1" applyFill="1" applyBorder="1" applyAlignment="1">
      <alignment vertical="center"/>
    </xf>
    <xf numFmtId="44" fontId="19" fillId="0" borderId="15" xfId="2" applyFont="1" applyBorder="1" applyAlignment="1">
      <alignment vertical="center"/>
    </xf>
    <xf numFmtId="44" fontId="19" fillId="5" borderId="8" xfId="2" applyFont="1" applyFill="1" applyBorder="1" applyAlignment="1">
      <alignment vertical="center"/>
    </xf>
    <xf numFmtId="6" fontId="19" fillId="0" borderId="10" xfId="0" applyNumberFormat="1" applyFont="1" applyBorder="1" applyAlignment="1">
      <alignment vertical="center"/>
    </xf>
    <xf numFmtId="44" fontId="19" fillId="0" borderId="2" xfId="2" applyFont="1" applyBorder="1" applyAlignment="1">
      <alignment vertical="center"/>
    </xf>
    <xf numFmtId="44" fontId="19" fillId="0" borderId="11" xfId="2" applyFont="1" applyBorder="1" applyAlignment="1">
      <alignment vertical="center"/>
    </xf>
    <xf numFmtId="9" fontId="18" fillId="4" borderId="5" xfId="0" applyNumberFormat="1" applyFont="1" applyFill="1" applyBorder="1" applyAlignment="1">
      <alignment horizontal="left" vertical="center"/>
    </xf>
    <xf numFmtId="44" fontId="18" fillId="4" borderId="5" xfId="2" applyFont="1" applyFill="1" applyBorder="1" applyAlignment="1">
      <alignment horizontal="left" vertical="center"/>
    </xf>
    <xf numFmtId="0" fontId="9" fillId="0" borderId="0" xfId="21" applyAlignment="1" applyProtection="1">
      <alignment horizontal="center"/>
    </xf>
    <xf numFmtId="0" fontId="16" fillId="0" borderId="0" xfId="21" applyFont="1" applyAlignment="1" applyProtection="1">
      <alignment horizontal="center"/>
    </xf>
    <xf numFmtId="168" fontId="19" fillId="0" borderId="14" xfId="20" applyNumberFormat="1" applyFont="1" applyBorder="1" applyAlignment="1" applyProtection="1">
      <alignment horizontal="center" vertical="center"/>
    </xf>
    <xf numFmtId="0" fontId="19" fillId="0" borderId="39" xfId="21" applyFont="1" applyBorder="1" applyAlignment="1" applyProtection="1">
      <alignment horizontal="center"/>
    </xf>
    <xf numFmtId="0" fontId="19" fillId="0" borderId="38" xfId="21" applyFont="1" applyBorder="1" applyAlignment="1" applyProtection="1">
      <alignment horizontal="center"/>
    </xf>
    <xf numFmtId="168" fontId="19" fillId="0" borderId="52" xfId="21" applyNumberFormat="1" applyFont="1" applyBorder="1" applyAlignment="1" applyProtection="1">
      <alignment horizontal="center"/>
    </xf>
    <xf numFmtId="168" fontId="19" fillId="0" borderId="40" xfId="21" applyNumberFormat="1" applyFont="1" applyBorder="1" applyAlignment="1" applyProtection="1">
      <alignment horizontal="center"/>
    </xf>
    <xf numFmtId="44" fontId="19" fillId="0" borderId="38" xfId="2" applyFont="1" applyBorder="1" applyAlignment="1">
      <alignment horizontal="center"/>
    </xf>
    <xf numFmtId="168" fontId="18" fillId="0" borderId="38" xfId="21" applyNumberFormat="1" applyFont="1" applyBorder="1" applyAlignment="1" applyProtection="1">
      <alignment horizontal="center"/>
    </xf>
    <xf numFmtId="0" fontId="19" fillId="0" borderId="40" xfId="21" applyFont="1" applyBorder="1" applyAlignment="1" applyProtection="1">
      <alignment horizontal="center"/>
    </xf>
    <xf numFmtId="4" fontId="19" fillId="0" borderId="38" xfId="21" applyNumberFormat="1" applyFont="1" applyBorder="1" applyAlignment="1" applyProtection="1">
      <alignment horizontal="center"/>
    </xf>
    <xf numFmtId="168" fontId="18" fillId="0" borderId="40" xfId="21" applyNumberFormat="1" applyFont="1" applyBorder="1" applyAlignment="1" applyProtection="1">
      <alignment horizontal="center"/>
    </xf>
    <xf numFmtId="168" fontId="26" fillId="0" borderId="38" xfId="21" applyNumberFormat="1" applyFont="1" applyBorder="1" applyAlignment="1" applyProtection="1">
      <alignment horizontal="center"/>
    </xf>
    <xf numFmtId="44" fontId="19" fillId="0" borderId="40" xfId="2" applyFont="1" applyBorder="1" applyAlignment="1">
      <alignment horizontal="center"/>
    </xf>
    <xf numFmtId="169" fontId="19" fillId="0" borderId="40" xfId="2" applyNumberFormat="1" applyFont="1" applyBorder="1" applyAlignment="1">
      <alignment horizontal="center"/>
    </xf>
    <xf numFmtId="168" fontId="22" fillId="0" borderId="39" xfId="21" applyNumberFormat="1" applyFont="1" applyBorder="1" applyAlignment="1" applyProtection="1">
      <alignment horizontal="center"/>
    </xf>
    <xf numFmtId="0" fontId="16" fillId="11" borderId="0" xfId="21" applyFont="1" applyFill="1" applyAlignment="1" applyProtection="1">
      <alignment horizontal="center"/>
    </xf>
    <xf numFmtId="10" fontId="16" fillId="11" borderId="0" xfId="3" applyNumberFormat="1" applyFont="1" applyFill="1" applyAlignment="1">
      <alignment horizontal="center"/>
    </xf>
    <xf numFmtId="44" fontId="18" fillId="4" borderId="5" xfId="22" applyNumberFormat="1" applyFont="1" applyFill="1" applyBorder="1" applyAlignment="1">
      <alignment horizontal="center" vertical="center"/>
    </xf>
    <xf numFmtId="9" fontId="5" fillId="0" borderId="0" xfId="3" applyFont="1"/>
    <xf numFmtId="0" fontId="39" fillId="0" borderId="0" xfId="0" applyFont="1" applyAlignment="1">
      <alignment horizontal="left" vertical="center" indent="1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170" fontId="19" fillId="0" borderId="40" xfId="2" applyNumberFormat="1" applyFont="1" applyBorder="1" applyAlignment="1">
      <alignment horizontal="center"/>
    </xf>
    <xf numFmtId="0" fontId="18" fillId="16" borderId="5" xfId="21" applyFont="1" applyFill="1" applyBorder="1" applyAlignment="1" applyProtection="1">
      <alignment horizontal="center" vertical="center"/>
    </xf>
    <xf numFmtId="0" fontId="19" fillId="16" borderId="39" xfId="21" applyFont="1" applyFill="1" applyBorder="1" applyAlignment="1" applyProtection="1">
      <alignment horizontal="center"/>
    </xf>
    <xf numFmtId="168" fontId="19" fillId="16" borderId="38" xfId="21" applyNumberFormat="1" applyFont="1" applyFill="1" applyBorder="1" applyAlignment="1" applyProtection="1">
      <alignment horizontal="center"/>
    </xf>
    <xf numFmtId="168" fontId="19" fillId="16" borderId="40" xfId="21" applyNumberFormat="1" applyFont="1" applyFill="1" applyBorder="1" applyAlignment="1" applyProtection="1">
      <alignment horizontal="center"/>
    </xf>
    <xf numFmtId="168" fontId="19" fillId="16" borderId="39" xfId="21" applyNumberFormat="1" applyFont="1" applyFill="1" applyBorder="1" applyAlignment="1" applyProtection="1">
      <alignment horizontal="center"/>
    </xf>
    <xf numFmtId="168" fontId="18" fillId="16" borderId="38" xfId="21" applyNumberFormat="1" applyFont="1" applyFill="1" applyBorder="1" applyAlignment="1" applyProtection="1">
      <alignment horizontal="center"/>
    </xf>
    <xf numFmtId="0" fontId="19" fillId="16" borderId="40" xfId="21" applyFont="1" applyFill="1" applyBorder="1" applyAlignment="1" applyProtection="1">
      <alignment horizontal="center"/>
    </xf>
    <xf numFmtId="168" fontId="22" fillId="16" borderId="38" xfId="21" applyNumberFormat="1" applyFont="1" applyFill="1" applyBorder="1" applyAlignment="1" applyProtection="1">
      <alignment horizontal="center"/>
    </xf>
    <xf numFmtId="168" fontId="18" fillId="16" borderId="40" xfId="21" applyNumberFormat="1" applyFont="1" applyFill="1" applyBorder="1" applyAlignment="1" applyProtection="1">
      <alignment horizontal="center"/>
    </xf>
    <xf numFmtId="0" fontId="19" fillId="16" borderId="13" xfId="21" applyFont="1" applyFill="1" applyBorder="1" applyAlignment="1" applyProtection="1">
      <alignment horizontal="center"/>
    </xf>
    <xf numFmtId="168" fontId="26" fillId="16" borderId="38" xfId="21" applyNumberFormat="1" applyFont="1" applyFill="1" applyBorder="1" applyAlignment="1" applyProtection="1">
      <alignment horizontal="center"/>
    </xf>
    <xf numFmtId="44" fontId="19" fillId="16" borderId="40" xfId="2" applyFont="1" applyFill="1" applyBorder="1" applyAlignment="1">
      <alignment horizontal="center"/>
    </xf>
    <xf numFmtId="10" fontId="16" fillId="16" borderId="0" xfId="3" applyNumberFormat="1" applyFont="1" applyFill="1" applyAlignment="1">
      <alignment horizontal="center"/>
    </xf>
    <xf numFmtId="0" fontId="9" fillId="16" borderId="0" xfId="21" applyFill="1" applyAlignment="1" applyProtection="1">
      <alignment horizontal="center"/>
    </xf>
    <xf numFmtId="0" fontId="9" fillId="4" borderId="0" xfId="21" applyFill="1" applyAlignment="1" applyProtection="1">
      <alignment horizontal="center"/>
    </xf>
    <xf numFmtId="0" fontId="34" fillId="4" borderId="0" xfId="19" applyFont="1" applyFill="1" applyAlignment="1" applyProtection="1">
      <alignment horizontal="center" vertical="center"/>
    </xf>
    <xf numFmtId="44" fontId="18" fillId="17" borderId="5" xfId="2" applyFont="1" applyFill="1" applyBorder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0" fontId="18" fillId="8" borderId="55" xfId="0" applyFont="1" applyFill="1" applyBorder="1" applyAlignment="1">
      <alignment horizontal="center" vertical="center"/>
    </xf>
    <xf numFmtId="0" fontId="18" fillId="8" borderId="53" xfId="0" applyFont="1" applyFill="1" applyBorder="1" applyAlignment="1">
      <alignment horizontal="center" vertical="center"/>
    </xf>
    <xf numFmtId="0" fontId="18" fillId="8" borderId="58" xfId="0" applyFont="1" applyFill="1" applyBorder="1" applyAlignment="1">
      <alignment horizontal="center" vertical="center"/>
    </xf>
    <xf numFmtId="0" fontId="18" fillId="8" borderId="60" xfId="0" applyFont="1" applyFill="1" applyBorder="1" applyAlignment="1">
      <alignment horizontal="center" vertical="center"/>
    </xf>
    <xf numFmtId="168" fontId="19" fillId="16" borderId="52" xfId="21" applyNumberFormat="1" applyFont="1" applyFill="1" applyBorder="1" applyAlignment="1" applyProtection="1">
      <alignment horizontal="center"/>
    </xf>
    <xf numFmtId="0" fontId="18" fillId="10" borderId="13" xfId="12" applyFont="1" applyFill="1" applyBorder="1" applyAlignment="1">
      <alignment horizontal="center" vertical="center"/>
    </xf>
    <xf numFmtId="44" fontId="19" fillId="10" borderId="14" xfId="2" applyFont="1" applyFill="1" applyBorder="1"/>
    <xf numFmtId="0" fontId="18" fillId="10" borderId="5" xfId="12" applyFont="1" applyFill="1" applyBorder="1" applyAlignment="1">
      <alignment horizontal="center" vertical="center"/>
    </xf>
    <xf numFmtId="44" fontId="18" fillId="10" borderId="5" xfId="12" applyNumberFormat="1" applyFont="1" applyFill="1" applyBorder="1" applyAlignment="1">
      <alignment horizontal="center" vertical="center"/>
    </xf>
    <xf numFmtId="168" fontId="19" fillId="7" borderId="38" xfId="21" applyNumberFormat="1" applyFont="1" applyFill="1" applyBorder="1" applyAlignment="1" applyProtection="1">
      <alignment horizontal="center"/>
    </xf>
    <xf numFmtId="8" fontId="19" fillId="0" borderId="0" xfId="0" applyNumberFormat="1" applyFont="1" applyAlignment="1">
      <alignment horizontal="center" vertical="center"/>
    </xf>
    <xf numFmtId="10" fontId="18" fillId="3" borderId="13" xfId="2" applyNumberFormat="1" applyFont="1" applyFill="1" applyBorder="1" applyAlignment="1">
      <alignment horizontal="center" vertical="center"/>
    </xf>
    <xf numFmtId="8" fontId="18" fillId="3" borderId="15" xfId="2" applyNumberFormat="1" applyFont="1" applyFill="1" applyBorder="1" applyAlignment="1">
      <alignment horizontal="center" vertical="center"/>
    </xf>
    <xf numFmtId="10" fontId="19" fillId="0" borderId="14" xfId="3" applyNumberFormat="1" applyFont="1" applyBorder="1" applyProtection="1"/>
    <xf numFmtId="171" fontId="19" fillId="0" borderId="14" xfId="3" applyNumberFormat="1" applyFont="1" applyBorder="1" applyProtection="1"/>
    <xf numFmtId="44" fontId="0" fillId="0" borderId="0" xfId="2" applyFont="1"/>
    <xf numFmtId="44" fontId="9" fillId="4" borderId="47" xfId="2" applyFill="1" applyBorder="1"/>
    <xf numFmtId="44" fontId="0" fillId="4" borderId="50" xfId="2" applyFont="1" applyFill="1" applyBorder="1"/>
    <xf numFmtId="44" fontId="9" fillId="4" borderId="48" xfId="2" applyFill="1" applyBorder="1"/>
    <xf numFmtId="44" fontId="0" fillId="4" borderId="51" xfId="2" applyFont="1" applyFill="1" applyBorder="1"/>
    <xf numFmtId="44" fontId="0" fillId="0" borderId="61" xfId="2" applyFont="1" applyBorder="1"/>
    <xf numFmtId="44" fontId="0" fillId="18" borderId="0" xfId="2" applyFont="1" applyFill="1"/>
    <xf numFmtId="168" fontId="19" fillId="4" borderId="38" xfId="21" applyNumberFormat="1" applyFont="1" applyFill="1" applyBorder="1" applyAlignment="1" applyProtection="1">
      <alignment horizontal="center"/>
    </xf>
    <xf numFmtId="0" fontId="18" fillId="14" borderId="5" xfId="22" applyFont="1" applyFill="1" applyBorder="1" applyAlignment="1">
      <alignment horizontal="center" vertical="center"/>
    </xf>
    <xf numFmtId="172" fontId="18" fillId="8" borderId="29" xfId="2" applyNumberFormat="1" applyFont="1" applyFill="1" applyBorder="1" applyAlignment="1">
      <alignment vertical="center"/>
    </xf>
    <xf numFmtId="172" fontId="18" fillId="0" borderId="9" xfId="0" applyNumberFormat="1" applyFont="1" applyBorder="1" applyAlignment="1">
      <alignment vertical="center"/>
    </xf>
    <xf numFmtId="172" fontId="18" fillId="0" borderId="12" xfId="0" applyNumberFormat="1" applyFont="1" applyBorder="1" applyAlignment="1">
      <alignment vertical="center"/>
    </xf>
    <xf numFmtId="172" fontId="18" fillId="0" borderId="59" xfId="0" applyNumberFormat="1" applyFont="1" applyBorder="1" applyAlignment="1">
      <alignment vertical="center"/>
    </xf>
    <xf numFmtId="172" fontId="19" fillId="0" borderId="14" xfId="0" applyNumberFormat="1" applyFont="1" applyBorder="1" applyAlignment="1">
      <alignment vertical="center"/>
    </xf>
    <xf numFmtId="172" fontId="19" fillId="0" borderId="17" xfId="0" applyNumberFormat="1" applyFont="1" applyBorder="1" applyAlignment="1">
      <alignment vertical="center"/>
    </xf>
    <xf numFmtId="172" fontId="19" fillId="0" borderId="13" xfId="0" applyNumberFormat="1" applyFont="1" applyBorder="1" applyAlignment="1">
      <alignment vertical="center"/>
    </xf>
    <xf numFmtId="172" fontId="19" fillId="0" borderId="56" xfId="0" applyNumberFormat="1" applyFont="1" applyBorder="1" applyAlignment="1">
      <alignment vertical="center"/>
    </xf>
    <xf numFmtId="172" fontId="18" fillId="0" borderId="14" xfId="0" applyNumberFormat="1" applyFont="1" applyBorder="1" applyAlignment="1">
      <alignment vertical="center"/>
    </xf>
    <xf numFmtId="172" fontId="18" fillId="0" borderId="13" xfId="0" applyNumberFormat="1" applyFont="1" applyBorder="1" applyAlignment="1">
      <alignment vertical="center"/>
    </xf>
    <xf numFmtId="172" fontId="18" fillId="0" borderId="56" xfId="0" applyNumberFormat="1" applyFont="1" applyBorder="1" applyAlignment="1">
      <alignment vertical="center"/>
    </xf>
    <xf numFmtId="172" fontId="18" fillId="3" borderId="14" xfId="0" applyNumberFormat="1" applyFont="1" applyFill="1" applyBorder="1" applyAlignment="1">
      <alignment vertical="center"/>
    </xf>
    <xf numFmtId="172" fontId="18" fillId="8" borderId="27" xfId="0" applyNumberFormat="1" applyFont="1" applyFill="1" applyBorder="1" applyAlignment="1">
      <alignment vertical="center"/>
    </xf>
    <xf numFmtId="172" fontId="18" fillId="3" borderId="27" xfId="0" applyNumberFormat="1" applyFont="1" applyFill="1" applyBorder="1" applyAlignment="1">
      <alignment vertical="center"/>
    </xf>
    <xf numFmtId="172" fontId="18" fillId="3" borderId="54" xfId="0" applyNumberFormat="1" applyFont="1" applyFill="1" applyBorder="1" applyAlignment="1">
      <alignment vertical="center"/>
    </xf>
    <xf numFmtId="172" fontId="18" fillId="3" borderId="57" xfId="0" applyNumberFormat="1" applyFont="1" applyFill="1" applyBorder="1" applyAlignment="1">
      <alignment vertical="center"/>
    </xf>
    <xf numFmtId="0" fontId="19" fillId="0" borderId="13" xfId="20" applyFont="1" applyBorder="1" applyProtection="1"/>
    <xf numFmtId="10" fontId="19" fillId="0" borderId="13" xfId="3" applyNumberFormat="1" applyFont="1" applyBorder="1" applyProtection="1"/>
    <xf numFmtId="168" fontId="19" fillId="0" borderId="13" xfId="20" applyNumberFormat="1" applyFont="1" applyBorder="1" applyAlignment="1" applyProtection="1">
      <alignment horizontal="center" vertical="center"/>
    </xf>
    <xf numFmtId="44" fontId="19" fillId="0" borderId="13" xfId="20" applyNumberFormat="1" applyFont="1" applyBorder="1" applyProtection="1"/>
    <xf numFmtId="168" fontId="22" fillId="0" borderId="13" xfId="20" applyNumberFormat="1" applyFont="1" applyBorder="1" applyAlignment="1" applyProtection="1">
      <alignment horizontal="right"/>
    </xf>
    <xf numFmtId="168" fontId="19" fillId="0" borderId="13" xfId="20" applyNumberFormat="1" applyFont="1" applyBorder="1" applyProtection="1"/>
    <xf numFmtId="168" fontId="18" fillId="0" borderId="13" xfId="20" applyNumberFormat="1" applyFont="1" applyBorder="1" applyAlignment="1" applyProtection="1">
      <alignment horizontal="right" vertical="center"/>
    </xf>
    <xf numFmtId="168" fontId="18" fillId="0" borderId="13" xfId="20" applyNumberFormat="1" applyFont="1" applyBorder="1" applyAlignment="1" applyProtection="1">
      <alignment horizontal="right"/>
    </xf>
    <xf numFmtId="0" fontId="18" fillId="8" borderId="5" xfId="20" applyFont="1" applyFill="1" applyBorder="1" applyAlignment="1" applyProtection="1">
      <alignment horizontal="center" vertical="center"/>
    </xf>
    <xf numFmtId="0" fontId="30" fillId="0" borderId="7" xfId="20" applyFont="1" applyBorder="1" applyProtection="1"/>
    <xf numFmtId="0" fontId="18" fillId="8" borderId="62" xfId="20" applyFont="1" applyFill="1" applyBorder="1" applyAlignment="1" applyProtection="1">
      <alignment horizontal="center" vertical="center"/>
    </xf>
    <xf numFmtId="0" fontId="19" fillId="8" borderId="63" xfId="20" applyFont="1" applyFill="1" applyBorder="1" applyAlignment="1" applyProtection="1">
      <alignment vertical="center"/>
    </xf>
    <xf numFmtId="0" fontId="18" fillId="0" borderId="13" xfId="20" applyFont="1" applyBorder="1" applyProtection="1"/>
    <xf numFmtId="0" fontId="18" fillId="0" borderId="13" xfId="20" applyFont="1" applyBorder="1" applyAlignment="1" applyProtection="1">
      <alignment horizontal="center"/>
    </xf>
    <xf numFmtId="0" fontId="19" fillId="0" borderId="13" xfId="20" applyFont="1" applyBorder="1" applyAlignment="1" applyProtection="1">
      <alignment horizontal="left"/>
    </xf>
    <xf numFmtId="0" fontId="18" fillId="0" borderId="13" xfId="20" applyFont="1" applyBorder="1" applyAlignment="1" applyProtection="1">
      <alignment horizontal="left" wrapText="1"/>
    </xf>
    <xf numFmtId="0" fontId="18" fillId="0" borderId="13" xfId="20" applyFont="1" applyBorder="1" applyAlignment="1" applyProtection="1">
      <alignment horizontal="right"/>
    </xf>
    <xf numFmtId="0" fontId="29" fillId="0" borderId="15" xfId="20" applyFont="1" applyBorder="1" applyAlignment="1" applyProtection="1">
      <alignment horizontal="left"/>
    </xf>
    <xf numFmtId="0" fontId="29" fillId="0" borderId="64" xfId="20" applyFont="1" applyBorder="1" applyAlignment="1" applyProtection="1">
      <alignment horizontal="left"/>
    </xf>
    <xf numFmtId="0" fontId="30" fillId="0" borderId="15" xfId="20" applyFont="1" applyBorder="1" applyProtection="1"/>
    <xf numFmtId="6" fontId="19" fillId="0" borderId="5" xfId="2" applyNumberFormat="1" applyFont="1" applyBorder="1" applyAlignment="1">
      <alignment vertical="center"/>
    </xf>
    <xf numFmtId="0" fontId="18" fillId="8" borderId="20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3" borderId="26" xfId="0" applyFont="1" applyFill="1" applyBorder="1" applyAlignment="1">
      <alignment horizontal="left" vertical="center"/>
    </xf>
    <xf numFmtId="8" fontId="19" fillId="0" borderId="5" xfId="2" applyNumberFormat="1" applyFont="1" applyBorder="1" applyAlignment="1">
      <alignment vertical="center"/>
    </xf>
    <xf numFmtId="8" fontId="19" fillId="0" borderId="62" xfId="2" applyNumberFormat="1" applyFont="1" applyBorder="1" applyAlignment="1">
      <alignment vertical="center"/>
    </xf>
    <xf numFmtId="8" fontId="18" fillId="3" borderId="27" xfId="2" applyNumberFormat="1" applyFont="1" applyFill="1" applyBorder="1" applyAlignment="1">
      <alignment vertical="center"/>
    </xf>
    <xf numFmtId="8" fontId="18" fillId="3" borderId="28" xfId="2" applyNumberFormat="1" applyFont="1" applyFill="1" applyBorder="1" applyAlignment="1">
      <alignment vertical="center"/>
    </xf>
    <xf numFmtId="44" fontId="19" fillId="6" borderId="14" xfId="12" applyNumberFormat="1" applyFont="1" applyFill="1" applyBorder="1" applyAlignment="1">
      <alignment vertical="center"/>
    </xf>
    <xf numFmtId="0" fontId="18" fillId="5" borderId="13" xfId="12" applyFont="1" applyFill="1" applyBorder="1" applyAlignment="1">
      <alignment horizontal="center" vertical="center"/>
    </xf>
    <xf numFmtId="44" fontId="19" fillId="5" borderId="14" xfId="12" applyNumberFormat="1" applyFont="1" applyFill="1" applyBorder="1" applyAlignment="1">
      <alignment vertical="center"/>
    </xf>
    <xf numFmtId="44" fontId="19" fillId="5" borderId="14" xfId="2" applyFont="1" applyFill="1" applyBorder="1" applyAlignment="1">
      <alignment vertical="center"/>
    </xf>
    <xf numFmtId="44" fontId="19" fillId="5" borderId="14" xfId="2" applyFont="1" applyFill="1" applyBorder="1"/>
    <xf numFmtId="0" fontId="19" fillId="5" borderId="0" xfId="12" applyFont="1" applyFill="1"/>
    <xf numFmtId="10" fontId="18" fillId="10" borderId="9" xfId="12" applyNumberFormat="1" applyFont="1" applyFill="1" applyBorder="1" applyAlignment="1">
      <alignment horizontal="center"/>
    </xf>
    <xf numFmtId="10" fontId="18" fillId="10" borderId="2" xfId="12" applyNumberFormat="1" applyFont="1" applyFill="1" applyBorder="1" applyAlignment="1">
      <alignment horizontal="center"/>
    </xf>
    <xf numFmtId="10" fontId="18" fillId="5" borderId="14" xfId="12" applyNumberFormat="1" applyFont="1" applyFill="1" applyBorder="1" applyAlignment="1">
      <alignment horizontal="center"/>
    </xf>
    <xf numFmtId="10" fontId="18" fillId="0" borderId="14" xfId="12" applyNumberFormat="1" applyFont="1" applyBorder="1" applyAlignment="1">
      <alignment horizontal="center"/>
    </xf>
    <xf numFmtId="10" fontId="18" fillId="10" borderId="5" xfId="12" applyNumberFormat="1" applyFont="1" applyFill="1" applyBorder="1" applyAlignment="1">
      <alignment horizontal="center"/>
    </xf>
    <xf numFmtId="10" fontId="18" fillId="10" borderId="14" xfId="12" applyNumberFormat="1" applyFont="1" applyFill="1" applyBorder="1" applyAlignment="1">
      <alignment horizontal="center"/>
    </xf>
    <xf numFmtId="10" fontId="18" fillId="0" borderId="7" xfId="12" applyNumberFormat="1" applyFont="1" applyBorder="1" applyAlignment="1">
      <alignment horizontal="center"/>
    </xf>
    <xf numFmtId="10" fontId="18" fillId="11" borderId="7" xfId="12" applyNumberFormat="1" applyFont="1" applyFill="1" applyBorder="1" applyAlignment="1">
      <alignment horizontal="center"/>
    </xf>
    <xf numFmtId="10" fontId="18" fillId="0" borderId="0" xfId="12" applyNumberFormat="1" applyFont="1" applyAlignment="1">
      <alignment horizontal="center"/>
    </xf>
    <xf numFmtId="10" fontId="16" fillId="0" borderId="0" xfId="12" applyNumberFormat="1" applyFont="1" applyAlignment="1">
      <alignment horizontal="center"/>
    </xf>
    <xf numFmtId="0" fontId="18" fillId="8" borderId="13" xfId="12" applyFont="1" applyFill="1" applyBorder="1" applyAlignment="1">
      <alignment horizontal="center" vertical="center"/>
    </xf>
    <xf numFmtId="44" fontId="19" fillId="8" borderId="14" xfId="12" applyNumberFormat="1" applyFont="1" applyFill="1" applyBorder="1" applyAlignment="1">
      <alignment vertical="center"/>
    </xf>
    <xf numFmtId="44" fontId="19" fillId="8" borderId="14" xfId="2" applyFont="1" applyFill="1" applyBorder="1" applyAlignment="1">
      <alignment vertical="center"/>
    </xf>
    <xf numFmtId="10" fontId="18" fillId="8" borderId="14" xfId="12" applyNumberFormat="1" applyFont="1" applyFill="1" applyBorder="1" applyAlignment="1">
      <alignment horizontal="center"/>
    </xf>
    <xf numFmtId="44" fontId="19" fillId="8" borderId="14" xfId="2" applyFont="1" applyFill="1" applyBorder="1"/>
    <xf numFmtId="0" fontId="19" fillId="8" borderId="0" xfId="12" applyFont="1" applyFill="1"/>
    <xf numFmtId="8" fontId="19" fillId="4" borderId="14" xfId="0" applyNumberFormat="1" applyFont="1" applyFill="1" applyBorder="1" applyAlignment="1">
      <alignment vertical="center"/>
    </xf>
    <xf numFmtId="9" fontId="19" fillId="2" borderId="0" xfId="3" applyFont="1" applyFill="1" applyAlignment="1">
      <alignment vertical="center"/>
    </xf>
    <xf numFmtId="0" fontId="1" fillId="0" borderId="0" xfId="22" applyFont="1" applyAlignment="1">
      <alignment horizontal="center"/>
    </xf>
    <xf numFmtId="4" fontId="19" fillId="16" borderId="39" xfId="21" applyNumberFormat="1" applyFont="1" applyFill="1" applyBorder="1" applyAlignment="1" applyProtection="1">
      <alignment horizontal="center"/>
    </xf>
    <xf numFmtId="2" fontId="12" fillId="2" borderId="0" xfId="0" applyNumberFormat="1" applyFont="1" applyFill="1" applyAlignment="1">
      <alignment horizontal="left" vertical="center"/>
    </xf>
    <xf numFmtId="9" fontId="31" fillId="0" borderId="0" xfId="22" applyNumberFormat="1" applyFont="1" applyAlignment="1">
      <alignment horizontal="center"/>
    </xf>
    <xf numFmtId="44" fontId="31" fillId="0" borderId="0" xfId="2" applyFont="1" applyBorder="1" applyAlignment="1">
      <alignment horizontal="center"/>
    </xf>
    <xf numFmtId="44" fontId="31" fillId="14" borderId="0" xfId="22" applyNumberFormat="1" applyFont="1" applyFill="1" applyAlignment="1">
      <alignment horizontal="center"/>
    </xf>
    <xf numFmtId="0" fontId="24" fillId="4" borderId="9" xfId="0" applyFont="1" applyFill="1" applyBorder="1" applyAlignment="1">
      <alignment horizontal="center"/>
    </xf>
    <xf numFmtId="0" fontId="24" fillId="4" borderId="14" xfId="0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44" fontId="18" fillId="4" borderId="9" xfId="2" applyFont="1" applyFill="1" applyBorder="1" applyAlignment="1">
      <alignment horizontal="center" vertical="center"/>
    </xf>
    <xf numFmtId="44" fontId="18" fillId="4" borderId="14" xfId="2" applyFont="1" applyFill="1" applyBorder="1" applyAlignment="1">
      <alignment horizontal="center" vertical="center"/>
    </xf>
    <xf numFmtId="44" fontId="18" fillId="4" borderId="7" xfId="2" applyFont="1" applyFill="1" applyBorder="1" applyAlignment="1">
      <alignment horizontal="center" vertical="center"/>
    </xf>
    <xf numFmtId="0" fontId="31" fillId="11" borderId="0" xfId="22" applyFont="1" applyFill="1" applyAlignment="1">
      <alignment horizontal="center"/>
    </xf>
    <xf numFmtId="1" fontId="18" fillId="9" borderId="31" xfId="12" applyNumberFormat="1" applyFont="1" applyFill="1" applyBorder="1" applyAlignment="1">
      <alignment horizontal="center" vertical="center" wrapText="1"/>
    </xf>
    <xf numFmtId="1" fontId="18" fillId="9" borderId="6" xfId="12" applyNumberFormat="1" applyFont="1" applyFill="1" applyBorder="1" applyAlignment="1">
      <alignment horizontal="center" vertical="center"/>
    </xf>
    <xf numFmtId="3" fontId="31" fillId="0" borderId="0" xfId="12" applyNumberFormat="1" applyFont="1" applyAlignment="1">
      <alignment horizontal="right"/>
    </xf>
    <xf numFmtId="1" fontId="18" fillId="9" borderId="35" xfId="12" applyNumberFormat="1" applyFont="1" applyFill="1" applyBorder="1" applyAlignment="1">
      <alignment horizontal="center" vertical="center"/>
    </xf>
    <xf numFmtId="1" fontId="18" fillId="9" borderId="4" xfId="12" applyNumberFormat="1" applyFont="1" applyFill="1" applyBorder="1" applyAlignment="1">
      <alignment horizontal="center" vertical="center"/>
    </xf>
    <xf numFmtId="1" fontId="18" fillId="9" borderId="36" xfId="12" applyNumberFormat="1" applyFont="1" applyFill="1" applyBorder="1" applyAlignment="1">
      <alignment horizontal="center" vertical="center"/>
    </xf>
    <xf numFmtId="3" fontId="18" fillId="9" borderId="31" xfId="12" applyNumberFormat="1" applyFont="1" applyFill="1" applyBorder="1" applyAlignment="1">
      <alignment horizontal="center" vertical="center"/>
    </xf>
    <xf numFmtId="3" fontId="18" fillId="9" borderId="6" xfId="12" applyNumberFormat="1" applyFont="1" applyFill="1" applyBorder="1" applyAlignment="1">
      <alignment horizontal="center" vertical="center"/>
    </xf>
    <xf numFmtId="0" fontId="18" fillId="12" borderId="9" xfId="12" applyFont="1" applyFill="1" applyBorder="1" applyAlignment="1">
      <alignment horizontal="center" vertical="center"/>
    </xf>
    <xf numFmtId="0" fontId="18" fillId="12" borderId="14" xfId="12" applyFont="1" applyFill="1" applyBorder="1" applyAlignment="1">
      <alignment horizontal="center" vertical="center"/>
    </xf>
    <xf numFmtId="1" fontId="18" fillId="9" borderId="9" xfId="12" applyNumberFormat="1" applyFont="1" applyFill="1" applyBorder="1" applyAlignment="1">
      <alignment horizontal="center" vertical="center"/>
    </xf>
    <xf numFmtId="1" fontId="18" fillId="9" borderId="7" xfId="12" applyNumberFormat="1" applyFont="1" applyFill="1" applyBorder="1" applyAlignment="1">
      <alignment horizontal="center" vertical="center"/>
    </xf>
    <xf numFmtId="1" fontId="18" fillId="9" borderId="12" xfId="12" applyNumberFormat="1" applyFont="1" applyFill="1" applyBorder="1" applyAlignment="1">
      <alignment horizontal="center" vertical="center"/>
    </xf>
    <xf numFmtId="1" fontId="18" fillId="9" borderId="15" xfId="12" applyNumberFormat="1" applyFont="1" applyFill="1" applyBorder="1" applyAlignment="1">
      <alignment horizontal="center" vertical="center"/>
    </xf>
    <xf numFmtId="10" fontId="18" fillId="12" borderId="9" xfId="12" applyNumberFormat="1" applyFont="1" applyFill="1" applyBorder="1" applyAlignment="1">
      <alignment horizontal="center" vertical="center"/>
    </xf>
    <xf numFmtId="10" fontId="18" fillId="11" borderId="14" xfId="12" applyNumberFormat="1" applyFont="1" applyFill="1" applyBorder="1" applyAlignment="1">
      <alignment horizontal="center" vertical="center"/>
    </xf>
    <xf numFmtId="0" fontId="34" fillId="7" borderId="0" xfId="19" applyFont="1" applyFill="1" applyAlignment="1" applyProtection="1">
      <alignment horizontal="center" vertical="center"/>
    </xf>
    <xf numFmtId="0" fontId="18" fillId="8" borderId="12" xfId="12" applyFont="1" applyFill="1" applyBorder="1" applyAlignment="1">
      <alignment horizontal="center" vertical="center"/>
    </xf>
    <xf numFmtId="0" fontId="18" fillId="8" borderId="19" xfId="12" applyFont="1" applyFill="1" applyBorder="1" applyAlignment="1">
      <alignment horizontal="center" vertical="center"/>
    </xf>
    <xf numFmtId="0" fontId="26" fillId="9" borderId="9" xfId="19" applyFont="1" applyFill="1" applyBorder="1" applyAlignment="1" applyProtection="1">
      <alignment horizontal="center" vertical="center"/>
    </xf>
    <xf numFmtId="0" fontId="18" fillId="9" borderId="7" xfId="12" applyFont="1" applyFill="1" applyBorder="1" applyAlignment="1">
      <alignment horizontal="center" vertical="center"/>
    </xf>
    <xf numFmtId="0" fontId="26" fillId="9" borderId="10" xfId="19" applyFont="1" applyFill="1" applyBorder="1" applyAlignment="1" applyProtection="1">
      <alignment horizontal="center" vertical="center"/>
    </xf>
    <xf numFmtId="0" fontId="18" fillId="9" borderId="11" xfId="12" applyFont="1" applyFill="1" applyBorder="1" applyAlignment="1">
      <alignment horizontal="center" vertical="center"/>
    </xf>
    <xf numFmtId="1" fontId="18" fillId="9" borderId="5" xfId="12" applyNumberFormat="1" applyFont="1" applyFill="1" applyBorder="1" applyAlignment="1">
      <alignment horizontal="center" vertical="center"/>
    </xf>
    <xf numFmtId="1" fontId="19" fillId="8" borderId="5" xfId="12" applyNumberFormat="1" applyFont="1" applyFill="1" applyBorder="1" applyAlignment="1">
      <alignment horizontal="center" vertical="center"/>
    </xf>
    <xf numFmtId="0" fontId="18" fillId="10" borderId="16" xfId="12" applyFont="1" applyFill="1" applyBorder="1" applyAlignment="1">
      <alignment horizontal="center" vertical="center"/>
    </xf>
    <xf numFmtId="0" fontId="18" fillId="10" borderId="18" xfId="12" applyFont="1" applyFill="1" applyBorder="1" applyAlignment="1">
      <alignment horizontal="center" vertical="center"/>
    </xf>
    <xf numFmtId="0" fontId="18" fillId="10" borderId="8" xfId="12" applyFont="1" applyFill="1" applyBorder="1" applyAlignment="1">
      <alignment horizontal="center" vertical="center"/>
    </xf>
    <xf numFmtId="0" fontId="26" fillId="9" borderId="7" xfId="19" applyFont="1" applyFill="1" applyBorder="1" applyAlignment="1" applyProtection="1">
      <alignment horizontal="center" vertical="center"/>
    </xf>
    <xf numFmtId="0" fontId="18" fillId="10" borderId="12" xfId="12" applyFont="1" applyFill="1" applyBorder="1" applyAlignment="1">
      <alignment horizontal="center" vertical="center"/>
    </xf>
    <xf numFmtId="0" fontId="18" fillId="10" borderId="19" xfId="12" applyFont="1" applyFill="1" applyBorder="1" applyAlignment="1">
      <alignment horizontal="center" vertical="center"/>
    </xf>
    <xf numFmtId="0" fontId="18" fillId="11" borderId="15" xfId="12" applyFont="1" applyFill="1" applyBorder="1" applyAlignment="1">
      <alignment horizontal="center" vertical="center"/>
    </xf>
    <xf numFmtId="0" fontId="18" fillId="11" borderId="46" xfId="12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0" fontId="11" fillId="10" borderId="46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8" fillId="8" borderId="5" xfId="21" applyFont="1" applyFill="1" applyBorder="1" applyAlignment="1" applyProtection="1">
      <alignment horizontal="left" vertical="center"/>
    </xf>
    <xf numFmtId="0" fontId="19" fillId="8" borderId="5" xfId="21" applyFont="1" applyFill="1" applyBorder="1" applyAlignment="1" applyProtection="1">
      <alignment horizontal="left" vertical="center"/>
    </xf>
    <xf numFmtId="0" fontId="18" fillId="8" borderId="15" xfId="21" applyFont="1" applyFill="1" applyBorder="1" applyAlignment="1" applyProtection="1">
      <alignment horizontal="center" vertical="center"/>
    </xf>
    <xf numFmtId="0" fontId="18" fillId="8" borderId="46" xfId="21" applyFont="1" applyFill="1" applyBorder="1" applyAlignment="1" applyProtection="1">
      <alignment horizontal="center" vertical="center"/>
    </xf>
  </cellXfs>
  <cellStyles count="47">
    <cellStyle name="Euro" xfId="1" xr:uid="{00000000-0005-0000-0000-000001000000}"/>
    <cellStyle name="Hiperligação" xfId="19" builtinId="8"/>
    <cellStyle name="Moeda" xfId="2" builtinId="4"/>
    <cellStyle name="Moeda 2" xfId="6" xr:uid="{00000000-0005-0000-0000-000004000000}"/>
    <cellStyle name="Moeda 2 2" xfId="29" xr:uid="{0F097DDC-40CB-49B5-863E-C1411E822DCB}"/>
    <cellStyle name="Moeda 3" xfId="8" xr:uid="{00000000-0005-0000-0000-000005000000}"/>
    <cellStyle name="Moeda 3 2" xfId="31" xr:uid="{27AF1046-A619-4BE1-ABB0-71869C71E400}"/>
    <cellStyle name="Moeda 4" xfId="11" xr:uid="{00000000-0005-0000-0000-000006000000}"/>
    <cellStyle name="Moeda 4 2" xfId="34" xr:uid="{A7A0832E-6A0A-442F-80D1-E6E3D6D49276}"/>
    <cellStyle name="Moeda 5" xfId="18" xr:uid="{00000000-0005-0000-0000-000007000000}"/>
    <cellStyle name="Moeda 5 2" xfId="40" xr:uid="{31CF87E5-7CB9-436C-AF23-CC7ACE2C9A97}"/>
    <cellStyle name="Moeda 6" xfId="24" xr:uid="{00000000-0005-0000-0000-000008000000}"/>
    <cellStyle name="Moeda 6 2" xfId="44" xr:uid="{E7243F54-5612-49AC-82D5-C3B7B6803325}"/>
    <cellStyle name="Moeda 7" xfId="26" xr:uid="{6DCE2330-74B6-4C31-816A-DD92666889B6}"/>
    <cellStyle name="Moeda 7 2" xfId="46" xr:uid="{544CC3FB-4BE7-4388-81F4-BAF65A0A4EAF}"/>
    <cellStyle name="Normal" xfId="0" builtinId="0"/>
    <cellStyle name="Normal 2" xfId="5" xr:uid="{00000000-0005-0000-0000-00000A000000}"/>
    <cellStyle name="Normal 2 2" xfId="15" xr:uid="{00000000-0005-0000-0000-00000B000000}"/>
    <cellStyle name="Normal 2 2 2" xfId="37" xr:uid="{6D2BE09B-7D24-4DB4-ADC1-09D555DD79F5}"/>
    <cellStyle name="Normal 2 3" xfId="28" xr:uid="{F769887F-8342-4ECB-AFFE-28602CB06EC8}"/>
    <cellStyle name="Normal 3" xfId="7" xr:uid="{00000000-0005-0000-0000-00000C000000}"/>
    <cellStyle name="Normal 3 2" xfId="12" xr:uid="{00000000-0005-0000-0000-00000D000000}"/>
    <cellStyle name="Normal 3 3" xfId="16" xr:uid="{00000000-0005-0000-0000-00000E000000}"/>
    <cellStyle name="Normal 3 3 2" xfId="38" xr:uid="{07BC0036-9397-4091-AF1A-F7D2737DF17B}"/>
    <cellStyle name="Normal 3 4" xfId="30" xr:uid="{3D5A26B3-889F-45A9-8FFA-15E63FD3C404}"/>
    <cellStyle name="Normal 4" xfId="10" xr:uid="{00000000-0005-0000-0000-00000F000000}"/>
    <cellStyle name="Normal 4 2" xfId="33" xr:uid="{659589C5-C7B7-40C7-8874-F9CFEBF76031}"/>
    <cellStyle name="Normal 5" xfId="17" xr:uid="{00000000-0005-0000-0000-000010000000}"/>
    <cellStyle name="Normal 5 2" xfId="39" xr:uid="{FCF68361-28BA-4FF8-B372-84DF558F02AA}"/>
    <cellStyle name="Normal 6" xfId="20" xr:uid="{00000000-0005-0000-0000-000011000000}"/>
    <cellStyle name="Normal 6 2" xfId="41" xr:uid="{3590849D-A391-4020-9CF7-408EAA8C29C1}"/>
    <cellStyle name="Normal 7" xfId="21" xr:uid="{00000000-0005-0000-0000-000012000000}"/>
    <cellStyle name="Normal 8" xfId="22" xr:uid="{00000000-0005-0000-0000-000013000000}"/>
    <cellStyle name="Normal 8 2" xfId="42" xr:uid="{E96D56CD-E88D-4267-BDE3-2970264BFBB7}"/>
    <cellStyle name="Normal 9" xfId="25" xr:uid="{3A009D24-7A4C-4EBE-A794-CE21466BD4A8}"/>
    <cellStyle name="Normal 9 2" xfId="45" xr:uid="{7B2E5CFB-1EE4-4825-BFE1-A36C7045775C}"/>
    <cellStyle name="Percentagem" xfId="3" builtinId="5"/>
    <cellStyle name="Percentagem 2" xfId="4" xr:uid="{00000000-0005-0000-0000-000015000000}"/>
    <cellStyle name="Percentagem 2 2" xfId="13" xr:uid="{00000000-0005-0000-0000-000016000000}"/>
    <cellStyle name="Percentagem 2 2 2" xfId="35" xr:uid="{AAFC1421-FD49-4B83-B721-338F79C6A8CA}"/>
    <cellStyle name="Percentagem 2 3" xfId="27" xr:uid="{B90A3931-0984-4437-AD48-9B2AF10B491A}"/>
    <cellStyle name="Percentagem 3" xfId="9" xr:uid="{00000000-0005-0000-0000-000017000000}"/>
    <cellStyle name="Percentagem 3 2" xfId="32" xr:uid="{C6A22745-4FC0-4495-BA9E-111AF1332EF1}"/>
    <cellStyle name="Percentagem 4" xfId="23" xr:uid="{00000000-0005-0000-0000-000018000000}"/>
    <cellStyle name="Percentagem 4 2" xfId="43" xr:uid="{2721872B-9E33-44F1-9B38-7BF0C31DB5F1}"/>
    <cellStyle name="Separador de milhares [0] 2" xfId="14" xr:uid="{00000000-0005-0000-0000-000019000000}"/>
    <cellStyle name="Separador de milhares [0] 2 2" xfId="36" xr:uid="{67048E60-20DC-4BD8-9CBD-738C6AE3CE95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2D1C66"/>
      <rgbColor rgb="00F6BE0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66"/>
      <rgbColor rgb="00FFFF99"/>
      <rgbColor rgb="0099CCFF"/>
      <rgbColor rgb="00FF99CC"/>
      <rgbColor rgb="00CC99FF"/>
      <rgbColor rgb="00FEA34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8F8F8"/>
      <color rgb="FFF49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lano Financeiro '!A1"/><Relationship Id="rId13" Type="http://schemas.openxmlformats.org/officeDocument/2006/relationships/hyperlink" Target="#'Avalia&#231;&#227;o Investimento'!A1"/><Relationship Id="rId3" Type="http://schemas.openxmlformats.org/officeDocument/2006/relationships/hyperlink" Target="#'Fornecimento  Servi&#231;os Externos'!A1"/><Relationship Id="rId7" Type="http://schemas.openxmlformats.org/officeDocument/2006/relationships/hyperlink" Target="#Amortiza&#231;&#245;es!A1"/><Relationship Id="rId12" Type="http://schemas.openxmlformats.org/officeDocument/2006/relationships/hyperlink" Target="#'Balan&#231;o SNC'!A1"/><Relationship Id="rId2" Type="http://schemas.openxmlformats.org/officeDocument/2006/relationships/hyperlink" Target="#'Capital Circulante'!A1"/><Relationship Id="rId1" Type="http://schemas.openxmlformats.org/officeDocument/2006/relationships/hyperlink" Target="#Pressupostos!A1"/><Relationship Id="rId6" Type="http://schemas.openxmlformats.org/officeDocument/2006/relationships/hyperlink" Target="#'63_G. Pess.'!A1"/><Relationship Id="rId11" Type="http://schemas.openxmlformats.org/officeDocument/2006/relationships/hyperlink" Target="#'DR SNC'!A1"/><Relationship Id="rId5" Type="http://schemas.openxmlformats.org/officeDocument/2006/relationships/hyperlink" Target="#'Servi&#231;o da Divida Emp. Bancario'!A1"/><Relationship Id="rId10" Type="http://schemas.openxmlformats.org/officeDocument/2006/relationships/hyperlink" Target="#'Mov dos Impostos S Rendi'!A1"/><Relationship Id="rId4" Type="http://schemas.openxmlformats.org/officeDocument/2006/relationships/hyperlink" Target="#'Previs&#227;o Receitas'!A1"/><Relationship Id="rId9" Type="http://schemas.openxmlformats.org/officeDocument/2006/relationships/hyperlink" Target="#'Or&#231;amento da Tesourari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0</xdr:rowOff>
    </xdr:from>
    <xdr:to>
      <xdr:col>12</xdr:col>
      <xdr:colOff>28575</xdr:colOff>
      <xdr:row>3</xdr:row>
      <xdr:rowOff>95250</xdr:rowOff>
    </xdr:to>
    <xdr:sp macro="" textlink="">
      <xdr:nvSpPr>
        <xdr:cNvPr id="7" name="CaixaDeText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86250" y="160972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Pressupostos</a:t>
          </a:r>
        </a:p>
        <a:p>
          <a:pPr algn="ctr"/>
          <a:r>
            <a:rPr lang="pt-PT" b="1"/>
            <a:t> </a:t>
          </a:r>
          <a:endParaRPr lang="pt-PT" sz="1100" b="1"/>
        </a:p>
      </xdr:txBody>
    </xdr:sp>
    <xdr:clientData/>
  </xdr:twoCellAnchor>
  <xdr:twoCellAnchor>
    <xdr:from>
      <xdr:col>12</xdr:col>
      <xdr:colOff>600075</xdr:colOff>
      <xdr:row>4</xdr:row>
      <xdr:rowOff>133350</xdr:rowOff>
    </xdr:from>
    <xdr:to>
      <xdr:col>18</xdr:col>
      <xdr:colOff>0</xdr:colOff>
      <xdr:row>7</xdr:row>
      <xdr:rowOff>76200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15275" y="22383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Capital Circulante</a:t>
          </a:r>
        </a:p>
      </xdr:txBody>
    </xdr:sp>
    <xdr:clientData/>
  </xdr:twoCellAnchor>
  <xdr:twoCellAnchor>
    <xdr:from>
      <xdr:col>7</xdr:col>
      <xdr:colOff>9525</xdr:colOff>
      <xdr:row>5</xdr:row>
      <xdr:rowOff>9525</xdr:rowOff>
    </xdr:from>
    <xdr:to>
      <xdr:col>12</xdr:col>
      <xdr:colOff>19050</xdr:colOff>
      <xdr:row>7</xdr:row>
      <xdr:rowOff>114300</xdr:rowOff>
    </xdr:to>
    <xdr:sp macro="" textlink="">
      <xdr:nvSpPr>
        <xdr:cNvPr id="9" name="CaixaDeText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76725" y="8191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Fornecimento e Serviços Externos</a:t>
          </a:r>
        </a:p>
      </xdr:txBody>
    </xdr:sp>
    <xdr:clientData/>
  </xdr:twoCellAnchor>
  <xdr:twoCellAnchor>
    <xdr:from>
      <xdr:col>0</xdr:col>
      <xdr:colOff>590550</xdr:colOff>
      <xdr:row>5</xdr:row>
      <xdr:rowOff>19050</xdr:rowOff>
    </xdr:from>
    <xdr:to>
      <xdr:col>5</xdr:col>
      <xdr:colOff>600075</xdr:colOff>
      <xdr:row>7</xdr:row>
      <xdr:rowOff>123825</xdr:rowOff>
    </xdr:to>
    <xdr:sp macro="" textlink="">
      <xdr:nvSpPr>
        <xdr:cNvPr id="10" name="CaixaDeText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90550" y="22860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Previsão das Receitas</a:t>
          </a:r>
        </a:p>
      </xdr:txBody>
    </xdr:sp>
    <xdr:clientData/>
  </xdr:twoCellAnchor>
  <xdr:twoCellAnchor>
    <xdr:from>
      <xdr:col>13</xdr:col>
      <xdr:colOff>0</xdr:colOff>
      <xdr:row>9</xdr:row>
      <xdr:rowOff>133350</xdr:rowOff>
    </xdr:from>
    <xdr:to>
      <xdr:col>18</xdr:col>
      <xdr:colOff>9525</xdr:colOff>
      <xdr:row>12</xdr:row>
      <xdr:rowOff>76200</xdr:rowOff>
    </xdr:to>
    <xdr:sp macro="" textlink="">
      <xdr:nvSpPr>
        <xdr:cNvPr id="11" name="CaixaDe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924800" y="15906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Serviço da dívida</a:t>
          </a:r>
        </a:p>
      </xdr:txBody>
    </xdr:sp>
    <xdr:clientData/>
  </xdr:twoCellAnchor>
  <xdr:twoCellAnchor>
    <xdr:from>
      <xdr:col>1</xdr:col>
      <xdr:colOff>0</xdr:colOff>
      <xdr:row>9</xdr:row>
      <xdr:rowOff>142875</xdr:rowOff>
    </xdr:from>
    <xdr:to>
      <xdr:col>6</xdr:col>
      <xdr:colOff>9525</xdr:colOff>
      <xdr:row>12</xdr:row>
      <xdr:rowOff>85725</xdr:rowOff>
    </xdr:to>
    <xdr:sp macro="" textlink="">
      <xdr:nvSpPr>
        <xdr:cNvPr id="12" name="CaixaDeText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Gastos com Pessoal</a:t>
          </a:r>
        </a:p>
      </xdr:txBody>
    </xdr:sp>
    <xdr:clientData/>
  </xdr:twoCellAnchor>
  <xdr:twoCellAnchor>
    <xdr:from>
      <xdr:col>7</xdr:col>
      <xdr:colOff>9525</xdr:colOff>
      <xdr:row>9</xdr:row>
      <xdr:rowOff>142875</xdr:rowOff>
    </xdr:from>
    <xdr:to>
      <xdr:col>12</xdr:col>
      <xdr:colOff>19050</xdr:colOff>
      <xdr:row>12</xdr:row>
      <xdr:rowOff>85725</xdr:rowOff>
    </xdr:to>
    <xdr:sp macro="" textlink="">
      <xdr:nvSpPr>
        <xdr:cNvPr id="13" name="CaixaDeText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76725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Investimento e Amortizações</a:t>
          </a:r>
        </a:p>
      </xdr:txBody>
    </xdr:sp>
    <xdr:clientData/>
  </xdr:twoCellAnchor>
  <xdr:twoCellAnchor>
    <xdr:from>
      <xdr:col>13</xdr:col>
      <xdr:colOff>9525</xdr:colOff>
      <xdr:row>15</xdr:row>
      <xdr:rowOff>9525</xdr:rowOff>
    </xdr:from>
    <xdr:to>
      <xdr:col>18</xdr:col>
      <xdr:colOff>19050</xdr:colOff>
      <xdr:row>17</xdr:row>
      <xdr:rowOff>114300</xdr:rowOff>
    </xdr:to>
    <xdr:sp macro="" textlink="">
      <xdr:nvSpPr>
        <xdr:cNvPr id="14" name="CaixaDeText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3432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Plano Financeiro</a:t>
          </a:r>
        </a:p>
      </xdr:txBody>
    </xdr:sp>
    <xdr:clientData/>
  </xdr:twoCellAnchor>
  <xdr:twoCellAnchor>
    <xdr:from>
      <xdr:col>6</xdr:col>
      <xdr:colOff>600075</xdr:colOff>
      <xdr:row>15</xdr:row>
      <xdr:rowOff>9525</xdr:rowOff>
    </xdr:from>
    <xdr:to>
      <xdr:col>12</xdr:col>
      <xdr:colOff>0</xdr:colOff>
      <xdr:row>17</xdr:row>
      <xdr:rowOff>114300</xdr:rowOff>
    </xdr:to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25767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Orçamento Tesouraria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6</xdr:col>
      <xdr:colOff>9525</xdr:colOff>
      <xdr:row>17</xdr:row>
      <xdr:rowOff>104775</xdr:rowOff>
    </xdr:to>
    <xdr:sp macro="" textlink="">
      <xdr:nvSpPr>
        <xdr:cNvPr id="16" name="CaixaDeTexto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09600" y="24288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Movimento dos Impostos</a:t>
          </a:r>
        </a:p>
      </xdr:txBody>
    </xdr:sp>
    <xdr:clientData/>
  </xdr:twoCellAnchor>
  <xdr:twoCellAnchor>
    <xdr:from>
      <xdr:col>0</xdr:col>
      <xdr:colOff>590550</xdr:colOff>
      <xdr:row>20</xdr:row>
      <xdr:rowOff>0</xdr:rowOff>
    </xdr:from>
    <xdr:to>
      <xdr:col>5</xdr:col>
      <xdr:colOff>600075</xdr:colOff>
      <xdr:row>22</xdr:row>
      <xdr:rowOff>104775</xdr:rowOff>
    </xdr:to>
    <xdr:sp macro="" textlink="">
      <xdr:nvSpPr>
        <xdr:cNvPr id="17" name="CaixaDeTexto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90550" y="32385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Demonstração de Resultados</a:t>
          </a:r>
        </a:p>
      </xdr:txBody>
    </xdr:sp>
    <xdr:clientData/>
  </xdr:twoCellAnchor>
  <xdr:twoCellAnchor>
    <xdr:from>
      <xdr:col>7</xdr:col>
      <xdr:colOff>9525</xdr:colOff>
      <xdr:row>19</xdr:row>
      <xdr:rowOff>152400</xdr:rowOff>
    </xdr:from>
    <xdr:to>
      <xdr:col>12</xdr:col>
      <xdr:colOff>19050</xdr:colOff>
      <xdr:row>22</xdr:row>
      <xdr:rowOff>95250</xdr:rowOff>
    </xdr:to>
    <xdr:sp macro="" textlink="">
      <xdr:nvSpPr>
        <xdr:cNvPr id="18" name="CaixaDeTexto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276725" y="32289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Balanço</a:t>
          </a:r>
        </a:p>
      </xdr:txBody>
    </xdr:sp>
    <xdr:clientData/>
  </xdr:twoCellAnchor>
  <xdr:twoCellAnchor>
    <xdr:from>
      <xdr:col>13</xdr:col>
      <xdr:colOff>0</xdr:colOff>
      <xdr:row>19</xdr:row>
      <xdr:rowOff>142875</xdr:rowOff>
    </xdr:from>
    <xdr:to>
      <xdr:col>18</xdr:col>
      <xdr:colOff>9525</xdr:colOff>
      <xdr:row>22</xdr:row>
      <xdr:rowOff>85725</xdr:rowOff>
    </xdr:to>
    <xdr:sp macro="" textlink="">
      <xdr:nvSpPr>
        <xdr:cNvPr id="19" name="CaixaDeTexto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924800" y="32194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Avaliação Investimento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686550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9056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5\comercial\Users\joana\AppData\Local\Temp\EXEMPLO%20DE%20PROJE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DR"/>
      <sheetName val="Working Capital"/>
      <sheetName val="Plano Financeiro"/>
      <sheetName val="MapaServiçoDívida"/>
      <sheetName val="Balanço"/>
      <sheetName val="Proveitos"/>
      <sheetName val="Custos"/>
      <sheetName val="EOEP"/>
      <sheetName val="AnexoDR"/>
      <sheetName val="Gráficos"/>
      <sheetName val="Avaliação Económica"/>
      <sheetName val="Mobiliário e Equipamentos"/>
      <sheetName val="Rácios"/>
      <sheetName val="Imobilizado"/>
      <sheetName val="Acções"/>
      <sheetName val="CustosPessoal"/>
      <sheetName val="AnexoPessoal"/>
      <sheetName val="Seguros"/>
      <sheetName val="CustosConstrução"/>
      <sheetName val="AnexoConstrução"/>
      <sheetName val="Fundo Mane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F5">
            <v>0</v>
          </cell>
          <cell r="H5">
            <v>0</v>
          </cell>
          <cell r="I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"/>
  <sheetViews>
    <sheetView showGridLines="0" workbookViewId="0"/>
  </sheetViews>
  <sheetFormatPr defaultRowHeight="13.2"/>
  <sheetData>
    <row r="2" spans="1:14">
      <c r="A2" s="102"/>
      <c r="N2" s="102"/>
    </row>
    <row r="3" spans="1:14">
      <c r="A3" s="102"/>
    </row>
    <row r="4" spans="1:14">
      <c r="A4" s="102"/>
    </row>
    <row r="5" spans="1:14">
      <c r="A5" s="10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5"/>
    <pageSetUpPr fitToPage="1"/>
  </sheetPr>
  <dimension ref="A1:T134"/>
  <sheetViews>
    <sheetView showGridLines="0" topLeftCell="A7" zoomScaleNormal="100" workbookViewId="0">
      <selection activeCell="D4" sqref="D4"/>
    </sheetView>
  </sheetViews>
  <sheetFormatPr defaultColWidth="9.109375" defaultRowHeight="10.199999999999999"/>
  <cols>
    <col min="1" max="1" width="48.5546875" style="1" bestFit="1" customWidth="1"/>
    <col min="2" max="2" width="11.5546875" style="1" customWidth="1"/>
    <col min="3" max="3" width="7.109375" style="1" customWidth="1"/>
    <col min="4" max="4" width="6.33203125" style="1" bestFit="1" customWidth="1"/>
    <col min="5" max="5" width="6.88671875" style="1" customWidth="1"/>
    <col min="6" max="17" width="6.33203125" style="1" bestFit="1" customWidth="1"/>
    <col min="18" max="16384" width="9.109375" style="1"/>
  </cols>
  <sheetData>
    <row r="1" spans="1:20" s="3" customFormat="1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0" s="3" customFormat="1" ht="15" customHeight="1">
      <c r="A2" s="28"/>
      <c r="B2" s="413"/>
      <c r="C2" s="103">
        <v>2019</v>
      </c>
      <c r="D2" s="103">
        <f t="shared" ref="D2:M2" si="0">+C2+1</f>
        <v>2020</v>
      </c>
      <c r="E2" s="103">
        <f t="shared" si="0"/>
        <v>2021</v>
      </c>
      <c r="F2" s="103">
        <f t="shared" si="0"/>
        <v>2022</v>
      </c>
      <c r="G2" s="103">
        <f t="shared" si="0"/>
        <v>2023</v>
      </c>
      <c r="H2" s="103">
        <f t="shared" si="0"/>
        <v>2024</v>
      </c>
      <c r="I2" s="103">
        <f t="shared" si="0"/>
        <v>2025</v>
      </c>
      <c r="J2" s="103">
        <f t="shared" si="0"/>
        <v>2026</v>
      </c>
      <c r="K2" s="103">
        <f t="shared" si="0"/>
        <v>2027</v>
      </c>
      <c r="L2" s="104">
        <f t="shared" si="0"/>
        <v>2028</v>
      </c>
      <c r="M2" s="104">
        <f t="shared" si="0"/>
        <v>2029</v>
      </c>
      <c r="N2" s="103">
        <f>+M2+1</f>
        <v>2030</v>
      </c>
      <c r="O2" s="103">
        <f>+N2+1</f>
        <v>2031</v>
      </c>
      <c r="P2" s="103">
        <f>+O2+1</f>
        <v>2032</v>
      </c>
      <c r="Q2" s="103">
        <f>+P2+1</f>
        <v>2033</v>
      </c>
      <c r="R2" s="29"/>
      <c r="S2" s="29"/>
      <c r="T2" s="29"/>
    </row>
    <row r="3" spans="1:20" s="3" customFormat="1" ht="15" customHeight="1">
      <c r="A3" s="7" t="s">
        <v>10</v>
      </c>
      <c r="B3" s="414"/>
      <c r="C3" s="30">
        <v>1.0999999999999999E-2</v>
      </c>
      <c r="D3" s="30">
        <f t="shared" ref="D3:F3" si="1">+C3</f>
        <v>1.0999999999999999E-2</v>
      </c>
      <c r="E3" s="30">
        <f t="shared" si="1"/>
        <v>1.0999999999999999E-2</v>
      </c>
      <c r="F3" s="30">
        <f t="shared" si="1"/>
        <v>1.0999999999999999E-2</v>
      </c>
      <c r="G3" s="30">
        <v>5.5E-2</v>
      </c>
      <c r="H3" s="30">
        <v>3.2000000000000001E-2</v>
      </c>
      <c r="I3" s="30">
        <v>2.1000000000000001E-2</v>
      </c>
      <c r="J3" s="30">
        <v>0.01</v>
      </c>
      <c r="K3" s="30">
        <f t="shared" ref="K3:Q3" si="2">+J3</f>
        <v>0.01</v>
      </c>
      <c r="L3" s="31">
        <f t="shared" si="2"/>
        <v>0.01</v>
      </c>
      <c r="M3" s="31">
        <f t="shared" si="2"/>
        <v>0.01</v>
      </c>
      <c r="N3" s="31">
        <f t="shared" si="2"/>
        <v>0.01</v>
      </c>
      <c r="O3" s="31">
        <f t="shared" si="2"/>
        <v>0.01</v>
      </c>
      <c r="P3" s="31">
        <f t="shared" si="2"/>
        <v>0.01</v>
      </c>
      <c r="Q3" s="31">
        <f t="shared" si="2"/>
        <v>0.01</v>
      </c>
      <c r="R3" s="29"/>
      <c r="S3" s="29"/>
      <c r="T3" s="29"/>
    </row>
    <row r="4" spans="1:20" s="3" customFormat="1" ht="15" customHeight="1">
      <c r="A4" s="8" t="s">
        <v>19</v>
      </c>
      <c r="B4" s="415"/>
      <c r="C4" s="32">
        <v>1</v>
      </c>
      <c r="D4" s="32">
        <f>+C4*(1+D3)</f>
        <v>1.0109999999999999</v>
      </c>
      <c r="E4" s="33">
        <f t="shared" ref="E4:J4" si="3">+D4*(1+E3)</f>
        <v>1.0221209999999998</v>
      </c>
      <c r="F4" s="33">
        <f t="shared" si="3"/>
        <v>1.0333643309999998</v>
      </c>
      <c r="G4" s="33">
        <f t="shared" si="3"/>
        <v>1.0901993692049998</v>
      </c>
      <c r="H4" s="33">
        <f t="shared" si="3"/>
        <v>1.1250857490195598</v>
      </c>
      <c r="I4" s="33">
        <f t="shared" si="3"/>
        <v>1.1487125497489705</v>
      </c>
      <c r="J4" s="33">
        <f t="shared" si="3"/>
        <v>1.1601996752464603</v>
      </c>
      <c r="K4" s="33">
        <f t="shared" ref="K4:Q4" si="4">+J4*(1+K3)</f>
        <v>1.1718016719989248</v>
      </c>
      <c r="L4" s="34">
        <f t="shared" si="4"/>
        <v>1.1835196887189141</v>
      </c>
      <c r="M4" s="34">
        <f t="shared" si="4"/>
        <v>1.1953548856061034</v>
      </c>
      <c r="N4" s="34">
        <f t="shared" si="4"/>
        <v>1.2073084344621645</v>
      </c>
      <c r="O4" s="34">
        <f t="shared" si="4"/>
        <v>1.2193815188067862</v>
      </c>
      <c r="P4" s="34">
        <f t="shared" si="4"/>
        <v>1.2315753339948541</v>
      </c>
      <c r="Q4" s="34">
        <f t="shared" si="4"/>
        <v>1.2438910873348026</v>
      </c>
      <c r="R4" s="29"/>
      <c r="S4" s="29"/>
      <c r="T4" s="29"/>
    </row>
    <row r="5" spans="1:20" ht="15" customHeight="1">
      <c r="A5" s="12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37"/>
      <c r="O5" s="37"/>
      <c r="P5" s="37"/>
      <c r="Q5" s="37"/>
      <c r="R5" s="37"/>
      <c r="S5" s="37"/>
      <c r="T5" s="37"/>
    </row>
    <row r="6" spans="1:20" ht="15" customHeight="1">
      <c r="A6" s="105" t="s">
        <v>9</v>
      </c>
      <c r="B6" s="38"/>
      <c r="C6" s="36"/>
      <c r="D6" s="36"/>
      <c r="E6" s="36"/>
      <c r="F6" s="36"/>
      <c r="G6" s="36"/>
      <c r="H6" s="36"/>
      <c r="I6" s="36"/>
      <c r="J6" s="36"/>
      <c r="K6" s="36"/>
      <c r="L6" s="36"/>
      <c r="M6" s="37"/>
      <c r="N6" s="37"/>
      <c r="O6" s="37"/>
      <c r="P6" s="37"/>
      <c r="Q6" s="37"/>
      <c r="R6" s="37"/>
      <c r="S6" s="37"/>
      <c r="T6" s="37"/>
    </row>
    <row r="7" spans="1:20" ht="15" customHeight="1">
      <c r="A7" s="16" t="s">
        <v>44</v>
      </c>
      <c r="B7" s="39" t="s">
        <v>45</v>
      </c>
      <c r="C7" s="40"/>
      <c r="D7" s="41"/>
      <c r="E7" s="42"/>
      <c r="F7" s="36"/>
      <c r="G7" s="36"/>
      <c r="H7" s="36"/>
      <c r="I7" s="36"/>
      <c r="J7" s="36"/>
      <c r="K7" s="36"/>
      <c r="L7" s="36"/>
      <c r="M7" s="37"/>
      <c r="N7" s="37"/>
      <c r="O7" s="37"/>
      <c r="P7" s="37"/>
      <c r="Q7" s="37"/>
      <c r="R7" s="37"/>
      <c r="S7" s="37"/>
      <c r="T7" s="37"/>
    </row>
    <row r="8" spans="1:20" ht="15" customHeight="1">
      <c r="A8" s="16" t="s">
        <v>46</v>
      </c>
      <c r="B8" s="43">
        <v>2019</v>
      </c>
      <c r="C8" s="40"/>
      <c r="D8" s="41"/>
      <c r="E8" s="42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0" ht="15" customHeight="1">
      <c r="A9" s="13"/>
      <c r="B9" s="44"/>
      <c r="C9" s="40"/>
      <c r="D9" s="41"/>
      <c r="E9" s="42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spans="1:20" ht="15" customHeight="1">
      <c r="A10" s="105" t="s">
        <v>9</v>
      </c>
      <c r="B10" s="45"/>
      <c r="C10" s="40"/>
      <c r="D10" s="41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ht="15" customHeight="1">
      <c r="A11" s="16" t="s">
        <v>52</v>
      </c>
      <c r="B11" s="43">
        <v>30</v>
      </c>
      <c r="C11" s="4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ht="15" customHeight="1">
      <c r="A12" s="16" t="s">
        <v>53</v>
      </c>
      <c r="B12" s="47">
        <v>30</v>
      </c>
      <c r="C12" s="46"/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15" customHeight="1">
      <c r="A13" s="16" t="s">
        <v>54</v>
      </c>
      <c r="B13" s="47">
        <v>30</v>
      </c>
      <c r="C13" s="46"/>
      <c r="D13" s="41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15" customHeight="1">
      <c r="A14" s="16" t="s">
        <v>56</v>
      </c>
      <c r="B14" s="47">
        <v>30</v>
      </c>
      <c r="C14" s="46"/>
      <c r="D14" s="41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15" customHeight="1">
      <c r="A15" s="13"/>
      <c r="B15" s="48"/>
      <c r="C15" s="46"/>
      <c r="D15" s="41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15" customHeight="1">
      <c r="A16" s="105" t="s">
        <v>9</v>
      </c>
      <c r="B16" s="45"/>
      <c r="C16" s="40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15" customHeight="1">
      <c r="A17" s="16" t="s">
        <v>47</v>
      </c>
      <c r="B17" s="49">
        <v>0.06</v>
      </c>
      <c r="C17" s="50"/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15" customHeight="1">
      <c r="A18" s="16" t="s">
        <v>48</v>
      </c>
      <c r="B18" s="49">
        <v>0.23</v>
      </c>
      <c r="C18" s="51"/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ht="15" customHeight="1">
      <c r="A19" s="16" t="s">
        <v>49</v>
      </c>
      <c r="B19" s="49">
        <v>0.23</v>
      </c>
      <c r="C19" s="40"/>
      <c r="D19" s="41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15" customHeight="1">
      <c r="A20" s="16" t="s">
        <v>50</v>
      </c>
      <c r="B20" s="49">
        <v>0.23</v>
      </c>
      <c r="C20" s="40"/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15" customHeight="1">
      <c r="A21" s="13"/>
      <c r="B21" s="52"/>
      <c r="C21" s="40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15" customHeight="1">
      <c r="A22" s="105" t="s">
        <v>9</v>
      </c>
      <c r="B22" s="45"/>
      <c r="C22" s="40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15" customHeight="1">
      <c r="A23" s="16" t="s">
        <v>73</v>
      </c>
      <c r="B23" s="53">
        <v>0.23749999999999999</v>
      </c>
      <c r="C23" s="40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15" customHeight="1">
      <c r="A24" s="16" t="s">
        <v>74</v>
      </c>
      <c r="B24" s="53">
        <v>0.23749999999999999</v>
      </c>
      <c r="C24" s="40"/>
      <c r="D24" s="4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15" customHeight="1">
      <c r="A25" s="16" t="s">
        <v>75</v>
      </c>
      <c r="B25" s="53">
        <v>0.11</v>
      </c>
      <c r="C25" s="40"/>
      <c r="D25" s="4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15" customHeight="1">
      <c r="A26" s="16" t="s">
        <v>76</v>
      </c>
      <c r="B26" s="53">
        <v>0.11</v>
      </c>
      <c r="C26" s="40"/>
      <c r="D26" s="4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ht="15" customHeight="1">
      <c r="A27" s="16" t="s">
        <v>51</v>
      </c>
      <c r="B27" s="53">
        <v>0.21</v>
      </c>
      <c r="C27" s="40"/>
      <c r="D27" s="4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0" ht="15" customHeight="1">
      <c r="A28" s="13"/>
      <c r="B28" s="54"/>
      <c r="C28" s="40"/>
      <c r="D28" s="4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20.100000000000001" customHeight="1">
      <c r="A30" s="106" t="s">
        <v>131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1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1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1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1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1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1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1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ht="1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39" spans="1:20" ht="1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1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1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ht="1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</row>
    <row r="43" spans="1:20" ht="1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1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1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1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1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1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1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1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ht="1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 spans="1:20" ht="1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1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1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1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1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1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1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ht="1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 spans="1:20" ht="1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1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1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1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1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1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1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1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1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1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1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1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1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1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1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1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ht="1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</row>
    <row r="77" spans="1:20" ht="1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1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1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1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1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1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1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1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1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1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ht="15" customHeight="1"/>
    <row r="88" spans="1:20" ht="15" customHeight="1"/>
    <row r="89" spans="1:20" ht="15" customHeight="1"/>
    <row r="90" spans="1:20" ht="15" customHeight="1"/>
    <row r="91" spans="1:20" ht="15" customHeight="1"/>
    <row r="92" spans="1:20" ht="15" customHeight="1"/>
    <row r="93" spans="1:20" ht="15" customHeight="1"/>
    <row r="94" spans="1:20" ht="15" customHeight="1"/>
    <row r="95" spans="1:20" ht="15" customHeight="1"/>
    <row r="96" spans="1:20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</sheetData>
  <mergeCells count="1">
    <mergeCell ref="B2:B4"/>
  </mergeCells>
  <hyperlinks>
    <hyperlink ref="A30" location="Índice!A1" display="Índice" xr:uid="{00000000-0004-0000-0100-000000000000}"/>
  </hyperlinks>
  <pageMargins left="0.7" right="0.7" top="0.75" bottom="0.75" header="0.3" footer="0.3"/>
  <pageSetup paperSize="9" scale="97" fitToHeight="2" orientation="landscape" horizontalDpi="4294967293" r:id="rId1"/>
  <headerFooter alignWithMargins="0">
    <oddHeader>&amp;L&amp;"Arial,Negrito"1- Pressupostos do Projeto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4"/>
  <sheetViews>
    <sheetView showGridLines="0" zoomScale="90" zoomScaleNormal="90" workbookViewId="0">
      <selection activeCell="E27" sqref="E27"/>
    </sheetView>
  </sheetViews>
  <sheetFormatPr defaultColWidth="9.109375" defaultRowHeight="14.4"/>
  <cols>
    <col min="1" max="1" width="32.77734375" style="91" bestFit="1" customWidth="1"/>
    <col min="2" max="8" width="17.6640625" style="219" customWidth="1"/>
    <col min="9" max="12" width="16.6640625" style="90" bestFit="1" customWidth="1"/>
    <col min="13" max="16384" width="9.109375" style="90"/>
  </cols>
  <sheetData>
    <row r="1" spans="1:12" s="89" customFormat="1" ht="15" customHeight="1">
      <c r="A1" s="233" t="s">
        <v>9</v>
      </c>
      <c r="B1" s="233">
        <v>2021</v>
      </c>
      <c r="C1" s="233">
        <f>+B1+1</f>
        <v>2022</v>
      </c>
      <c r="D1" s="233">
        <f>+C1+1</f>
        <v>2023</v>
      </c>
      <c r="E1" s="233">
        <f>+D1+1</f>
        <v>2024</v>
      </c>
      <c r="F1" s="338">
        <f>+E1+1</f>
        <v>2025</v>
      </c>
      <c r="G1" s="233">
        <f t="shared" ref="G1:I1" si="0">+F1+1</f>
        <v>2026</v>
      </c>
      <c r="H1" s="233">
        <f t="shared" si="0"/>
        <v>2027</v>
      </c>
      <c r="I1" s="233">
        <f t="shared" si="0"/>
        <v>2028</v>
      </c>
      <c r="J1" s="233">
        <f t="shared" ref="J1" si="1">+I1+1</f>
        <v>2029</v>
      </c>
      <c r="K1" s="233">
        <f t="shared" ref="K1" si="2">+J1+1</f>
        <v>2030</v>
      </c>
      <c r="L1" s="233">
        <f t="shared" ref="L1" si="3">+K1+1</f>
        <v>2031</v>
      </c>
    </row>
    <row r="2" spans="1:12" s="89" customFormat="1" ht="15" customHeight="1">
      <c r="A2" s="217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</row>
    <row r="3" spans="1:12" s="89" customFormat="1" ht="15" customHeight="1">
      <c r="A3" s="217"/>
      <c r="B3" s="416">
        <v>7613376.0599999996</v>
      </c>
      <c r="C3" s="416">
        <v>5617197.96</v>
      </c>
      <c r="D3" s="209">
        <f>+C3*1.05</f>
        <v>5898057.858</v>
      </c>
      <c r="E3" s="209">
        <f>+D3*1.1</f>
        <v>6487863.6438000007</v>
      </c>
      <c r="F3" s="209">
        <f>+E3*1.05</f>
        <v>6812256.8259900007</v>
      </c>
      <c r="G3" s="209">
        <f>+F3*1.15</f>
        <v>7834095.3498884998</v>
      </c>
      <c r="H3" s="209">
        <f t="shared" ref="H3:I3" si="4">+G3*1.1</f>
        <v>8617504.8848773502</v>
      </c>
      <c r="I3" s="209">
        <f t="shared" si="4"/>
        <v>9479255.3733650856</v>
      </c>
      <c r="J3" s="209">
        <f t="shared" ref="J3:J4" si="5">+I3*1.1</f>
        <v>10427180.910701595</v>
      </c>
      <c r="K3" s="209">
        <f t="shared" ref="K3:K4" si="6">+J3*1.1</f>
        <v>11469899.001771756</v>
      </c>
      <c r="L3" s="209">
        <f t="shared" ref="L3:L4" si="7">+K3*1.1</f>
        <v>12616888.901948933</v>
      </c>
    </row>
    <row r="4" spans="1:12" s="89" customFormat="1" ht="15" customHeight="1">
      <c r="A4" s="217"/>
      <c r="B4" s="417"/>
      <c r="C4" s="417"/>
      <c r="D4" s="209">
        <f>+C4*1.35</f>
        <v>0</v>
      </c>
      <c r="E4" s="209">
        <f t="shared" ref="E4:E5" si="8">+D4*1.3</f>
        <v>0</v>
      </c>
      <c r="F4" s="209">
        <f>+E4*1.1</f>
        <v>0</v>
      </c>
      <c r="G4" s="209">
        <f>+F4*1.1</f>
        <v>0</v>
      </c>
      <c r="H4" s="209">
        <f>+G4*1.1</f>
        <v>0</v>
      </c>
      <c r="I4" s="209">
        <f>+H4*1.1</f>
        <v>0</v>
      </c>
      <c r="J4" s="209">
        <f t="shared" si="5"/>
        <v>0</v>
      </c>
      <c r="K4" s="209">
        <f t="shared" si="6"/>
        <v>0</v>
      </c>
      <c r="L4" s="209">
        <f t="shared" si="7"/>
        <v>0</v>
      </c>
    </row>
    <row r="5" spans="1:12" s="89" customFormat="1" ht="15" customHeight="1">
      <c r="A5" s="217"/>
      <c r="B5" s="418"/>
      <c r="C5" s="418"/>
      <c r="D5" s="209">
        <f>+C5*1.35</f>
        <v>0</v>
      </c>
      <c r="E5" s="209">
        <f t="shared" si="8"/>
        <v>0</v>
      </c>
      <c r="F5" s="209">
        <f>+E5*1.2</f>
        <v>0</v>
      </c>
      <c r="G5" s="209">
        <f t="shared" ref="G5:I5" si="9">+F5*1.1</f>
        <v>0</v>
      </c>
      <c r="H5" s="209">
        <f t="shared" si="9"/>
        <v>0</v>
      </c>
      <c r="I5" s="209">
        <f t="shared" si="9"/>
        <v>0</v>
      </c>
      <c r="J5" s="209">
        <f t="shared" ref="J5:L5" si="10">+I5*1.1</f>
        <v>0</v>
      </c>
      <c r="K5" s="209">
        <f t="shared" si="10"/>
        <v>0</v>
      </c>
      <c r="L5" s="209">
        <f t="shared" si="10"/>
        <v>0</v>
      </c>
    </row>
    <row r="6" spans="1:12" s="89" customFormat="1" ht="15" customHeight="1">
      <c r="A6" s="217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</row>
    <row r="7" spans="1:12" s="89" customFormat="1" ht="15" customHeight="1">
      <c r="A7" s="217"/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</row>
    <row r="8" spans="1:12" ht="24" customHeight="1">
      <c r="A8" s="232" t="s">
        <v>145</v>
      </c>
      <c r="B8" s="234">
        <f>SUM(B2:B7)</f>
        <v>7613376.0599999996</v>
      </c>
      <c r="C8" s="234">
        <f t="shared" ref="C8:H8" si="11">SUM(C2:C7)</f>
        <v>5617197.96</v>
      </c>
      <c r="D8" s="234">
        <f t="shared" si="11"/>
        <v>5898057.858</v>
      </c>
      <c r="E8" s="234">
        <f t="shared" si="11"/>
        <v>6487863.6438000007</v>
      </c>
      <c r="F8" s="234">
        <f t="shared" si="11"/>
        <v>6812256.8259900007</v>
      </c>
      <c r="G8" s="234">
        <f t="shared" si="11"/>
        <v>7834095.3498884998</v>
      </c>
      <c r="H8" s="234">
        <f t="shared" si="11"/>
        <v>8617504.8848773502</v>
      </c>
      <c r="I8" s="234">
        <f t="shared" ref="I8:L8" si="12">SUM(I2:I7)</f>
        <v>9479255.3733650856</v>
      </c>
      <c r="J8" s="234">
        <f t="shared" si="12"/>
        <v>10427180.910701595</v>
      </c>
      <c r="K8" s="234">
        <f t="shared" si="12"/>
        <v>11469899.001771756</v>
      </c>
      <c r="L8" s="234">
        <f t="shared" si="12"/>
        <v>12616888.901948933</v>
      </c>
    </row>
    <row r="9" spans="1:12">
      <c r="A9" s="191"/>
      <c r="B9" s="218"/>
      <c r="C9" s="218"/>
      <c r="D9" s="218"/>
      <c r="E9" s="218"/>
      <c r="F9" s="218"/>
      <c r="G9" s="218"/>
      <c r="H9" s="218"/>
      <c r="J9" s="292"/>
    </row>
    <row r="11" spans="1:12">
      <c r="A11" s="419" t="s">
        <v>174</v>
      </c>
      <c r="B11" s="419"/>
      <c r="C11" s="419"/>
      <c r="D11" s="419"/>
      <c r="E11" s="419"/>
    </row>
    <row r="12" spans="1:12">
      <c r="A12" s="191" t="s">
        <v>150</v>
      </c>
      <c r="B12" s="410">
        <v>0.73</v>
      </c>
      <c r="E12" s="411">
        <f>+$F$8*B12</f>
        <v>4972947.4829727001</v>
      </c>
    </row>
    <row r="13" spans="1:12">
      <c r="A13" s="191" t="s">
        <v>179</v>
      </c>
      <c r="B13" s="410">
        <v>0.02</v>
      </c>
      <c r="E13" s="411">
        <f>+$F$8*B13</f>
        <v>136245.13651980003</v>
      </c>
    </row>
    <row r="14" spans="1:12">
      <c r="A14" s="191" t="s">
        <v>175</v>
      </c>
      <c r="B14" s="410">
        <v>0.05</v>
      </c>
      <c r="E14" s="411">
        <f>+$F$8*B14</f>
        <v>340612.84129950008</v>
      </c>
    </row>
    <row r="15" spans="1:12">
      <c r="A15" s="191" t="s">
        <v>180</v>
      </c>
      <c r="B15" s="410">
        <v>0.05</v>
      </c>
      <c r="E15" s="411">
        <f>+$F$8*B15</f>
        <v>340612.84129950008</v>
      </c>
    </row>
    <row r="16" spans="1:12">
      <c r="A16" s="191" t="s">
        <v>176</v>
      </c>
      <c r="B16" s="410">
        <v>0.05</v>
      </c>
      <c r="E16" s="411">
        <f>+$F$8*B16</f>
        <v>340612.84129950008</v>
      </c>
    </row>
    <row r="17" spans="1:5">
      <c r="A17" s="191" t="s">
        <v>168</v>
      </c>
      <c r="B17" s="410">
        <v>0.05</v>
      </c>
      <c r="E17" s="411">
        <f t="shared" ref="E17:E18" si="13">+$F$8*B17</f>
        <v>340612.84129950008</v>
      </c>
    </row>
    <row r="18" spans="1:5">
      <c r="A18" s="191" t="s">
        <v>181</v>
      </c>
      <c r="B18" s="410">
        <v>0.05</v>
      </c>
      <c r="E18" s="411">
        <f t="shared" si="13"/>
        <v>340612.84129950008</v>
      </c>
    </row>
    <row r="19" spans="1:5" ht="15.6">
      <c r="A19" s="293"/>
      <c r="B19" s="410">
        <f>SUM(B12:B18)</f>
        <v>1.0000000000000002</v>
      </c>
      <c r="E19" s="412">
        <f>SUM(E12:E18)</f>
        <v>6812256.8259900017</v>
      </c>
    </row>
    <row r="20" spans="1:5" ht="15.6">
      <c r="A20" s="293"/>
    </row>
    <row r="21" spans="1:5" ht="15.6">
      <c r="A21" s="293"/>
    </row>
    <row r="22" spans="1:5" ht="15.6">
      <c r="A22" s="293"/>
    </row>
    <row r="23" spans="1:5" ht="15.6">
      <c r="A23" s="293"/>
    </row>
    <row r="24" spans="1:5" ht="15.6">
      <c r="A24" s="293"/>
      <c r="B24" s="407">
        <f>100-27</f>
        <v>73</v>
      </c>
    </row>
    <row r="25" spans="1:5" ht="15.6">
      <c r="A25" s="293"/>
    </row>
    <row r="26" spans="1:5" ht="15.6">
      <c r="A26" s="293"/>
    </row>
    <row r="27" spans="1:5" ht="15.6">
      <c r="A27" s="293"/>
    </row>
    <row r="28" spans="1:5" ht="15.6">
      <c r="A28" s="293"/>
    </row>
    <row r="29" spans="1:5">
      <c r="A29" s="294"/>
    </row>
    <row r="30" spans="1:5" ht="15.6">
      <c r="A30" s="295"/>
    </row>
    <row r="31" spans="1:5" ht="15.6">
      <c r="A31" s="295"/>
    </row>
    <row r="32" spans="1:5" ht="15.6">
      <c r="A32" s="295"/>
    </row>
    <row r="33" spans="1:1" ht="15.6">
      <c r="A33" s="295"/>
    </row>
    <row r="34" spans="1:1" ht="15.6">
      <c r="A34" s="295"/>
    </row>
  </sheetData>
  <mergeCells count="3">
    <mergeCell ref="B3:B5"/>
    <mergeCell ref="C3:C5"/>
    <mergeCell ref="A11:E11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headerFooter>
    <oddHeader>&amp;L&amp;"Arial,Negrito"2 - Previsão das Receitas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47"/>
  </sheetPr>
  <dimension ref="A1:M94"/>
  <sheetViews>
    <sheetView showGridLines="0" zoomScaleNormal="100" workbookViewId="0">
      <selection activeCell="E2" sqref="E2"/>
    </sheetView>
  </sheetViews>
  <sheetFormatPr defaultColWidth="9.109375" defaultRowHeight="10.199999999999999"/>
  <cols>
    <col min="1" max="1" width="41.88671875" style="2" bestFit="1" customWidth="1"/>
    <col min="2" max="2" width="10.88671875" style="2" bestFit="1" customWidth="1"/>
    <col min="3" max="3" width="14.88671875" style="2" bestFit="1" customWidth="1"/>
    <col min="4" max="4" width="14.6640625" style="2" bestFit="1" customWidth="1"/>
    <col min="5" max="11" width="14.44140625" style="2" bestFit="1" customWidth="1"/>
    <col min="12" max="13" width="14.6640625" style="2" bestFit="1" customWidth="1"/>
    <col min="14" max="16384" width="9.109375" style="2"/>
  </cols>
  <sheetData>
    <row r="1" spans="1:13" s="56" customFormat="1" ht="33" customHeight="1">
      <c r="A1" s="172" t="s">
        <v>159</v>
      </c>
      <c r="B1" s="172" t="s">
        <v>160</v>
      </c>
      <c r="C1" s="103">
        <v>2021</v>
      </c>
      <c r="D1" s="103">
        <f t="shared" ref="D1:K1" si="0">+C1+1</f>
        <v>2022</v>
      </c>
      <c r="E1" s="103">
        <f t="shared" si="0"/>
        <v>2023</v>
      </c>
      <c r="F1" s="103">
        <f t="shared" si="0"/>
        <v>2024</v>
      </c>
      <c r="G1" s="103">
        <f t="shared" si="0"/>
        <v>2025</v>
      </c>
      <c r="H1" s="103">
        <f t="shared" si="0"/>
        <v>2026</v>
      </c>
      <c r="I1" s="103">
        <f t="shared" si="0"/>
        <v>2027</v>
      </c>
      <c r="J1" s="103">
        <f>+I1+1</f>
        <v>2028</v>
      </c>
      <c r="K1" s="103">
        <f t="shared" si="0"/>
        <v>2029</v>
      </c>
      <c r="L1" s="103">
        <f t="shared" ref="L1" si="1">+K1+1</f>
        <v>2030</v>
      </c>
      <c r="M1" s="103">
        <f t="shared" ref="M1" si="2">+L1+1</f>
        <v>2031</v>
      </c>
    </row>
    <row r="2" spans="1:13" s="55" customFormat="1" ht="15" customHeight="1">
      <c r="A2" s="271"/>
      <c r="B2" s="272">
        <v>1100</v>
      </c>
      <c r="C2" s="209"/>
      <c r="D2" s="209"/>
      <c r="E2" s="209">
        <f>'Previsão Receitas'!D8*0.23</f>
        <v>1356553.3073400001</v>
      </c>
      <c r="F2" s="209">
        <f>'Previsão Receitas'!E8*0.23</f>
        <v>1492208.6380740001</v>
      </c>
      <c r="G2" s="209">
        <f>'Previsão Receitas'!F8*0.22</f>
        <v>1498696.5017178003</v>
      </c>
      <c r="H2" s="209">
        <f>'Previsão Receitas'!G8*0.21</f>
        <v>1645160.0234765848</v>
      </c>
      <c r="I2" s="209">
        <f>'Previsão Receitas'!H8*0.2</f>
        <v>1723500.9769754701</v>
      </c>
      <c r="J2" s="209">
        <f>'Previsão Receitas'!I8*0.15</f>
        <v>1421888.3060047629</v>
      </c>
      <c r="K2" s="209">
        <f>'Previsão Receitas'!J8*0.15</f>
        <v>1564077.1366052392</v>
      </c>
      <c r="L2" s="209">
        <f>'Previsão Receitas'!K8*0.15</f>
        <v>1720484.8502657632</v>
      </c>
      <c r="M2" s="209">
        <f>'Previsão Receitas'!L8*0.15</f>
        <v>1892533.3352923398</v>
      </c>
    </row>
    <row r="3" spans="1:13" s="55" customFormat="1" ht="15" customHeight="1">
      <c r="A3" s="271"/>
      <c r="B3" s="272">
        <v>200</v>
      </c>
      <c r="C3" s="209"/>
      <c r="D3" s="209"/>
      <c r="E3" s="313">
        <f>+D3</f>
        <v>0</v>
      </c>
      <c r="F3" s="313">
        <f t="shared" ref="F3:K3" si="3">+E3</f>
        <v>0</v>
      </c>
      <c r="G3" s="313">
        <f t="shared" si="3"/>
        <v>0</v>
      </c>
      <c r="H3" s="313">
        <f t="shared" si="3"/>
        <v>0</v>
      </c>
      <c r="I3" s="313">
        <f t="shared" si="3"/>
        <v>0</v>
      </c>
      <c r="J3" s="313">
        <f t="shared" si="3"/>
        <v>0</v>
      </c>
      <c r="K3" s="313">
        <f t="shared" si="3"/>
        <v>0</v>
      </c>
      <c r="L3" s="313">
        <f t="shared" ref="L3" si="4">+K3</f>
        <v>0</v>
      </c>
      <c r="M3" s="313">
        <f t="shared" ref="M3" si="5">+L3</f>
        <v>0</v>
      </c>
    </row>
    <row r="4" spans="1:13" s="55" customFormat="1" ht="15" customHeight="1">
      <c r="A4" s="271"/>
      <c r="B4" s="272">
        <v>100</v>
      </c>
      <c r="C4" s="209"/>
      <c r="D4" s="209"/>
      <c r="E4" s="209">
        <f t="shared" ref="E4:L4" si="6">+D4*E$13</f>
        <v>0</v>
      </c>
      <c r="F4" s="209">
        <f t="shared" si="6"/>
        <v>0</v>
      </c>
      <c r="G4" s="209">
        <f t="shared" si="6"/>
        <v>0</v>
      </c>
      <c r="H4" s="209">
        <f t="shared" si="6"/>
        <v>0</v>
      </c>
      <c r="I4" s="209">
        <f t="shared" si="6"/>
        <v>0</v>
      </c>
      <c r="J4" s="209">
        <f t="shared" si="6"/>
        <v>0</v>
      </c>
      <c r="K4" s="209">
        <f t="shared" si="6"/>
        <v>0</v>
      </c>
      <c r="L4" s="209">
        <f t="shared" si="6"/>
        <v>0</v>
      </c>
      <c r="M4" s="209">
        <f t="shared" ref="M4:M8" si="7">+L4*M$13</f>
        <v>0</v>
      </c>
    </row>
    <row r="5" spans="1:13" s="55" customFormat="1" ht="15" customHeight="1">
      <c r="A5" s="271"/>
      <c r="B5" s="272">
        <v>30</v>
      </c>
      <c r="C5" s="209"/>
      <c r="D5" s="209"/>
      <c r="E5" s="209">
        <f t="shared" ref="E5:K5" si="8">+D5*E$13</f>
        <v>0</v>
      </c>
      <c r="F5" s="209">
        <f t="shared" si="8"/>
        <v>0</v>
      </c>
      <c r="G5" s="209">
        <f t="shared" si="8"/>
        <v>0</v>
      </c>
      <c r="H5" s="209">
        <f t="shared" si="8"/>
        <v>0</v>
      </c>
      <c r="I5" s="209">
        <f t="shared" si="8"/>
        <v>0</v>
      </c>
      <c r="J5" s="209">
        <f t="shared" si="8"/>
        <v>0</v>
      </c>
      <c r="K5" s="209">
        <f t="shared" si="8"/>
        <v>0</v>
      </c>
      <c r="L5" s="209">
        <f t="shared" ref="L5:L8" si="9">+K5*L$13</f>
        <v>0</v>
      </c>
      <c r="M5" s="209">
        <f t="shared" si="7"/>
        <v>0</v>
      </c>
    </row>
    <row r="6" spans="1:13" s="55" customFormat="1" ht="15" customHeight="1">
      <c r="A6" s="271"/>
      <c r="B6" s="272">
        <v>200</v>
      </c>
      <c r="C6" s="209"/>
      <c r="D6" s="209"/>
      <c r="E6" s="209">
        <f t="shared" ref="E6:K6" si="10">+D6*E$13</f>
        <v>0</v>
      </c>
      <c r="F6" s="209">
        <f t="shared" si="10"/>
        <v>0</v>
      </c>
      <c r="G6" s="209">
        <f t="shared" si="10"/>
        <v>0</v>
      </c>
      <c r="H6" s="209">
        <f t="shared" si="10"/>
        <v>0</v>
      </c>
      <c r="I6" s="209">
        <f t="shared" si="10"/>
        <v>0</v>
      </c>
      <c r="J6" s="209">
        <f t="shared" si="10"/>
        <v>0</v>
      </c>
      <c r="K6" s="209">
        <f t="shared" si="10"/>
        <v>0</v>
      </c>
      <c r="L6" s="209">
        <f t="shared" si="9"/>
        <v>0</v>
      </c>
      <c r="M6" s="209">
        <f t="shared" si="7"/>
        <v>0</v>
      </c>
    </row>
    <row r="7" spans="1:13" s="55" customFormat="1" ht="15" customHeight="1">
      <c r="A7" s="271"/>
      <c r="B7" s="209">
        <v>0</v>
      </c>
      <c r="C7" s="209"/>
      <c r="D7" s="209"/>
      <c r="E7" s="209">
        <f t="shared" ref="E7:K7" si="11">+D7*E$13</f>
        <v>0</v>
      </c>
      <c r="F7" s="209">
        <f t="shared" si="11"/>
        <v>0</v>
      </c>
      <c r="G7" s="209">
        <f t="shared" si="11"/>
        <v>0</v>
      </c>
      <c r="H7" s="209">
        <f t="shared" si="11"/>
        <v>0</v>
      </c>
      <c r="I7" s="209">
        <f t="shared" si="11"/>
        <v>0</v>
      </c>
      <c r="J7" s="209">
        <f t="shared" si="11"/>
        <v>0</v>
      </c>
      <c r="K7" s="209">
        <f t="shared" si="11"/>
        <v>0</v>
      </c>
      <c r="L7" s="209">
        <f t="shared" si="9"/>
        <v>0</v>
      </c>
      <c r="M7" s="209">
        <f t="shared" si="7"/>
        <v>0</v>
      </c>
    </row>
    <row r="8" spans="1:13" s="55" customFormat="1" ht="15" customHeight="1">
      <c r="A8" s="271"/>
      <c r="B8" s="272">
        <v>200</v>
      </c>
      <c r="C8" s="209"/>
      <c r="D8" s="209"/>
      <c r="E8" s="209">
        <f t="shared" ref="E8:K8" si="12">+D8*E$13</f>
        <v>0</v>
      </c>
      <c r="F8" s="209">
        <f t="shared" si="12"/>
        <v>0</v>
      </c>
      <c r="G8" s="209">
        <f t="shared" si="12"/>
        <v>0</v>
      </c>
      <c r="H8" s="209">
        <f t="shared" si="12"/>
        <v>0</v>
      </c>
      <c r="I8" s="209">
        <f t="shared" si="12"/>
        <v>0</v>
      </c>
      <c r="J8" s="209">
        <f t="shared" si="12"/>
        <v>0</v>
      </c>
      <c r="K8" s="209">
        <f t="shared" si="12"/>
        <v>0</v>
      </c>
      <c r="L8" s="209">
        <f t="shared" si="9"/>
        <v>0</v>
      </c>
      <c r="M8" s="209">
        <f t="shared" si="7"/>
        <v>0</v>
      </c>
    </row>
    <row r="9" spans="1:13" s="55" customFormat="1" ht="15" customHeight="1">
      <c r="A9" s="271"/>
      <c r="B9" s="272">
        <v>200</v>
      </c>
      <c r="C9" s="209"/>
      <c r="D9" s="209"/>
      <c r="E9" s="209">
        <f t="shared" ref="E9:K9" si="13">+D9*E$14</f>
        <v>0</v>
      </c>
      <c r="F9" s="209">
        <f t="shared" si="13"/>
        <v>0</v>
      </c>
      <c r="G9" s="209">
        <f t="shared" si="13"/>
        <v>0</v>
      </c>
      <c r="H9" s="209">
        <f t="shared" si="13"/>
        <v>0</v>
      </c>
      <c r="I9" s="209">
        <f t="shared" si="13"/>
        <v>0</v>
      </c>
      <c r="J9" s="209">
        <f t="shared" si="13"/>
        <v>0</v>
      </c>
      <c r="K9" s="209">
        <f t="shared" si="13"/>
        <v>0</v>
      </c>
      <c r="L9" s="209">
        <f t="shared" ref="L9" si="14">+K9*L$14</f>
        <v>0</v>
      </c>
      <c r="M9" s="209">
        <f t="shared" ref="M9" si="15">+L9*M$14</f>
        <v>0</v>
      </c>
    </row>
    <row r="10" spans="1:13" ht="20.100000000000001" customHeight="1">
      <c r="A10" s="210" t="s">
        <v>158</v>
      </c>
      <c r="B10" s="211"/>
      <c r="C10" s="211"/>
      <c r="D10" s="211">
        <f>'MAPA INVESTIMENTOS'!B5</f>
        <v>0</v>
      </c>
      <c r="E10" s="211">
        <f>'MAPA INVESTIMENTOS'!C5</f>
        <v>2500</v>
      </c>
      <c r="F10" s="211">
        <f>'MAPA INVESTIMENTOS'!D5</f>
        <v>2500</v>
      </c>
      <c r="G10" s="211"/>
      <c r="H10" s="211"/>
      <c r="I10" s="211"/>
      <c r="J10" s="211"/>
      <c r="K10" s="211"/>
      <c r="L10" s="211"/>
      <c r="M10" s="211"/>
    </row>
    <row r="11" spans="1:13" ht="20.100000000000001" customHeight="1">
      <c r="A11" s="220"/>
      <c r="B11" s="220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</row>
    <row r="12" spans="1:13" ht="20.100000000000001" customHeight="1">
      <c r="A12" s="212"/>
      <c r="B12" s="212"/>
      <c r="C12" s="213">
        <v>1180801.3500000001</v>
      </c>
      <c r="D12" s="213">
        <v>1309346.8700000001</v>
      </c>
      <c r="E12" s="213">
        <f>SUM(E2:E11)</f>
        <v>1359053.3073400001</v>
      </c>
      <c r="F12" s="213">
        <f t="shared" ref="F12:K12" si="16">SUM(F2:F11)</f>
        <v>1494708.6380740001</v>
      </c>
      <c r="G12" s="213">
        <f t="shared" si="16"/>
        <v>1498696.5017178003</v>
      </c>
      <c r="H12" s="213">
        <f t="shared" si="16"/>
        <v>1645160.0234765848</v>
      </c>
      <c r="I12" s="213">
        <f t="shared" si="16"/>
        <v>1723500.9769754701</v>
      </c>
      <c r="J12" s="213">
        <f t="shared" si="16"/>
        <v>1421888.3060047629</v>
      </c>
      <c r="K12" s="213">
        <f t="shared" si="16"/>
        <v>1564077.1366052392</v>
      </c>
      <c r="L12" s="213">
        <f t="shared" ref="L12:M12" si="17">SUM(L2:L11)</f>
        <v>1720484.8502657632</v>
      </c>
      <c r="M12" s="213">
        <f t="shared" si="17"/>
        <v>1892533.3352923398</v>
      </c>
    </row>
    <row r="13" spans="1:13" ht="20.100000000000001" customHeight="1">
      <c r="A13" s="314" t="s">
        <v>171</v>
      </c>
      <c r="D13" s="2">
        <v>1.05</v>
      </c>
      <c r="E13" s="2">
        <v>1.05</v>
      </c>
      <c r="F13" s="2">
        <v>1.05</v>
      </c>
      <c r="G13" s="2">
        <v>1.05</v>
      </c>
      <c r="H13" s="2">
        <v>1.05</v>
      </c>
      <c r="I13" s="2">
        <v>1.05</v>
      </c>
      <c r="J13" s="2">
        <v>1.05</v>
      </c>
      <c r="K13" s="2">
        <v>1.05</v>
      </c>
      <c r="L13" s="2">
        <v>1.05</v>
      </c>
      <c r="M13" s="2">
        <v>1.05</v>
      </c>
    </row>
    <row r="14" spans="1:13" ht="20.100000000000001" customHeight="1">
      <c r="A14" s="314" t="s">
        <v>170</v>
      </c>
      <c r="D14" s="2">
        <v>1.1000000000000001</v>
      </c>
      <c r="E14" s="2">
        <v>1.1000000000000001</v>
      </c>
      <c r="F14" s="2">
        <v>1.1000000000000001</v>
      </c>
      <c r="G14" s="2">
        <v>1.1000000000000001</v>
      </c>
      <c r="H14" s="2">
        <v>1.1000000000000001</v>
      </c>
      <c r="I14" s="2">
        <v>1.1000000000000001</v>
      </c>
      <c r="J14" s="2">
        <v>1.1000000000000001</v>
      </c>
      <c r="K14" s="2">
        <v>1.1000000000000001</v>
      </c>
      <c r="L14" s="2">
        <v>1.1000000000000001</v>
      </c>
      <c r="M14" s="2">
        <v>1.1000000000000001</v>
      </c>
    </row>
    <row r="15" spans="1:13" ht="20.100000000000001" customHeight="1">
      <c r="A15" s="314"/>
    </row>
    <row r="16" spans="1:13" ht="20.100000000000001" customHeight="1"/>
    <row r="17" spans="4:6" ht="20.100000000000001" customHeight="1">
      <c r="D17" s="2">
        <v>7613376.0599999996</v>
      </c>
      <c r="E17" s="409">
        <f>C12*100/D17</f>
        <v>15.509562915246304</v>
      </c>
      <c r="F17" s="2">
        <v>2021</v>
      </c>
    </row>
    <row r="18" spans="4:6" ht="20.100000000000001" customHeight="1">
      <c r="D18" s="2">
        <v>5617197.96</v>
      </c>
      <c r="E18" s="409">
        <f>D12*100/D18</f>
        <v>23.309608800043076</v>
      </c>
      <c r="F18" s="2">
        <v>2022</v>
      </c>
    </row>
    <row r="19" spans="4:6" ht="20.100000000000001" customHeight="1"/>
    <row r="20" spans="4:6" ht="20.100000000000001" customHeight="1"/>
    <row r="21" spans="4:6" ht="20.100000000000001" customHeight="1"/>
    <row r="22" spans="4:6" ht="20.100000000000001" customHeight="1"/>
    <row r="23" spans="4:6" ht="20.100000000000001" customHeight="1"/>
    <row r="24" spans="4:6" ht="20.100000000000001" customHeight="1"/>
    <row r="25" spans="4:6" ht="20.100000000000001" customHeight="1"/>
    <row r="26" spans="4:6" ht="20.100000000000001" customHeight="1"/>
    <row r="27" spans="4:6" ht="20.100000000000001" customHeight="1"/>
    <row r="28" spans="4:6" ht="20.100000000000001" customHeight="1"/>
    <row r="29" spans="4:6" ht="20.100000000000001" customHeight="1"/>
    <row r="30" spans="4:6" ht="20.100000000000001" customHeight="1"/>
    <row r="31" spans="4:6" ht="20.100000000000001" customHeight="1"/>
    <row r="32" spans="4:6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15" customHeight="1"/>
    <row r="92" ht="15" customHeight="1"/>
    <row r="93" ht="15" customHeight="1"/>
    <row r="94" ht="15" customHeight="1"/>
  </sheetData>
  <phoneticPr fontId="10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&amp;L&amp;"Arial,Negrito"3- Fornecimento e Serviços Externos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  <pageSetUpPr fitToPage="1"/>
  </sheetPr>
  <dimension ref="A1:L191"/>
  <sheetViews>
    <sheetView showGridLines="0" tabSelected="1" zoomScaleNormal="100" workbookViewId="0">
      <selection activeCell="D25" sqref="D25"/>
    </sheetView>
  </sheetViews>
  <sheetFormatPr defaultColWidth="9.109375" defaultRowHeight="10.199999999999999"/>
  <cols>
    <col min="1" max="1" width="40.5546875" style="1" bestFit="1" customWidth="1"/>
    <col min="2" max="6" width="15" style="1" bestFit="1" customWidth="1"/>
    <col min="7" max="12" width="12.88671875" style="1" bestFit="1" customWidth="1"/>
    <col min="13" max="16384" width="9.109375" style="1"/>
  </cols>
  <sheetData>
    <row r="1" spans="1:12" s="37" customFormat="1" ht="15" customHeight="1">
      <c r="A1" s="117"/>
      <c r="B1" s="118">
        <v>2021</v>
      </c>
      <c r="C1" s="118">
        <f>+B1+1</f>
        <v>2022</v>
      </c>
      <c r="D1" s="118">
        <f t="shared" ref="D1:F1" si="0">+C1+1</f>
        <v>2023</v>
      </c>
      <c r="E1" s="118">
        <f t="shared" si="0"/>
        <v>2024</v>
      </c>
      <c r="F1" s="318">
        <f t="shared" si="0"/>
        <v>2025</v>
      </c>
      <c r="G1" s="118">
        <f t="shared" ref="G1" si="1">+F1+1</f>
        <v>2026</v>
      </c>
      <c r="H1" s="317">
        <f t="shared" ref="H1" si="2">+G1+1</f>
        <v>2027</v>
      </c>
      <c r="I1" s="317">
        <f t="shared" ref="I1" si="3">+H1+1</f>
        <v>2028</v>
      </c>
      <c r="J1" s="317">
        <f t="shared" ref="J1" si="4">+I1+1</f>
        <v>2029</v>
      </c>
      <c r="K1" s="317">
        <f t="shared" ref="K1" si="5">+J1+1</f>
        <v>2030</v>
      </c>
      <c r="L1" s="317">
        <f t="shared" ref="L1" si="6">+K1+1</f>
        <v>2031</v>
      </c>
    </row>
    <row r="2" spans="1:12" s="37" customFormat="1" ht="15" customHeight="1">
      <c r="A2" s="119" t="s">
        <v>11</v>
      </c>
      <c r="B2" s="340">
        <f t="shared" ref="B2:F2" si="7">SUM(B3:B4)</f>
        <v>1047493.47</v>
      </c>
      <c r="C2" s="340">
        <f t="shared" si="7"/>
        <v>764261.1333333333</v>
      </c>
      <c r="D2" s="340">
        <f t="shared" si="7"/>
        <v>737257.23224999988</v>
      </c>
      <c r="E2" s="340">
        <f t="shared" si="7"/>
        <v>810982.95547499997</v>
      </c>
      <c r="F2" s="341">
        <f t="shared" si="7"/>
        <v>851532.10324875009</v>
      </c>
      <c r="G2" s="340">
        <f t="shared" ref="G2:H2" si="8">SUM(G3:G4)</f>
        <v>979261.91873606248</v>
      </c>
      <c r="H2" s="342">
        <f t="shared" si="8"/>
        <v>1077188.1106096688</v>
      </c>
      <c r="I2" s="342">
        <f t="shared" ref="I2:L2" si="9">SUM(I3:I4)</f>
        <v>1184906.9216706357</v>
      </c>
      <c r="J2" s="342">
        <f t="shared" si="9"/>
        <v>1303397.6138376994</v>
      </c>
      <c r="K2" s="342">
        <f t="shared" si="9"/>
        <v>1433737.3752214694</v>
      </c>
      <c r="L2" s="342">
        <f t="shared" si="9"/>
        <v>1577111.1127436166</v>
      </c>
    </row>
    <row r="3" spans="1:12" s="37" customFormat="1" ht="15" customHeight="1">
      <c r="A3" s="120" t="s">
        <v>1</v>
      </c>
      <c r="B3" s="343">
        <f>+'Previsão Receitas'!B8/360*Pressupostos!$B$11</f>
        <v>634448.00499999989</v>
      </c>
      <c r="C3" s="343">
        <f>+'Previsão Receitas'!C8/360*Pressupostos!$B$11</f>
        <v>468099.82999999996</v>
      </c>
      <c r="D3" s="343">
        <f>+'Previsão Receitas'!D8/360*Pressupostos!$B$11</f>
        <v>491504.82149999996</v>
      </c>
      <c r="E3" s="343">
        <f>+'Previsão Receitas'!E8/360*Pressupostos!$B$11</f>
        <v>540655.30365000002</v>
      </c>
      <c r="F3" s="343">
        <f>+'Previsão Receitas'!F8/360*Pressupostos!$B$11</f>
        <v>567688.06883250002</v>
      </c>
      <c r="G3" s="343">
        <f>+'Previsão Receitas'!G8/360*Pressupostos!$B$11</f>
        <v>652841.27915737499</v>
      </c>
      <c r="H3" s="344">
        <f>+'Previsão Receitas'!H8/360*Pressupostos!$B$11</f>
        <v>718125.40707311255</v>
      </c>
      <c r="I3" s="344">
        <f>+'Previsão Receitas'!I8/360*Pressupostos!$B$11</f>
        <v>789937.9477804238</v>
      </c>
      <c r="J3" s="344">
        <f>+'Previsão Receitas'!J8/360*Pressupostos!$B$11</f>
        <v>868931.74255846627</v>
      </c>
      <c r="K3" s="344">
        <f>+'Previsão Receitas'!K8/360*Pressupostos!$B$11</f>
        <v>955824.91681431292</v>
      </c>
      <c r="L3" s="344">
        <f>+'Previsão Receitas'!L8/360*Pressupostos!$B$11</f>
        <v>1051407.4084957445</v>
      </c>
    </row>
    <row r="4" spans="1:12" s="37" customFormat="1" ht="15" customHeight="1">
      <c r="A4" s="120" t="s">
        <v>12</v>
      </c>
      <c r="B4" s="343">
        <f>B13/360*Pressupostos!$B$13</f>
        <v>413045.46500000003</v>
      </c>
      <c r="C4" s="343">
        <f>C13/360*Pressupostos!$B$13</f>
        <v>296161.30333333334</v>
      </c>
      <c r="D4" s="343">
        <f>D13/360*Pressupostos!$B$13</f>
        <v>245752.41074999998</v>
      </c>
      <c r="E4" s="343">
        <f>E13/360*Pressupostos!$B$13</f>
        <v>270327.65182500001</v>
      </c>
      <c r="F4" s="345">
        <f>F13/360*Pressupostos!$B$13</f>
        <v>283844.03441625001</v>
      </c>
      <c r="G4" s="343">
        <f>G13/360*Pressupostos!$B$13</f>
        <v>326420.63957868749</v>
      </c>
      <c r="H4" s="346">
        <f>H13/360*Pressupostos!$B$13</f>
        <v>359062.70353655628</v>
      </c>
      <c r="I4" s="346">
        <f>I13/360*Pressupostos!$B$13</f>
        <v>394968.9738902119</v>
      </c>
      <c r="J4" s="346">
        <f>J13/360*Pressupostos!$B$13</f>
        <v>434465.87127923314</v>
      </c>
      <c r="K4" s="346">
        <f>K13/360*Pressupostos!$B$13</f>
        <v>477912.45840715646</v>
      </c>
      <c r="L4" s="346">
        <f>L13/360*Pressupostos!$B$13</f>
        <v>525703.70424787223</v>
      </c>
    </row>
    <row r="5" spans="1:12" s="37" customFormat="1" ht="15" customHeight="1">
      <c r="A5" s="121" t="s">
        <v>13</v>
      </c>
      <c r="B5" s="347">
        <f>SUM(B6:B6)</f>
        <v>511445.57749999996</v>
      </c>
      <c r="C5" s="347">
        <f>SUM(C6:C6)</f>
        <v>405273.54249999998</v>
      </c>
      <c r="D5" s="347">
        <f>SUM(D6:D6)</f>
        <v>359006.85302833334</v>
      </c>
      <c r="E5" s="347">
        <f>SUM(E6:E6)</f>
        <v>394886.70499783335</v>
      </c>
      <c r="F5" s="348">
        <f>SUM(F6:F6)</f>
        <v>408735.40955940005</v>
      </c>
      <c r="G5" s="347">
        <f t="shared" ref="G5:L5" si="10">SUM(G6:G6)</f>
        <v>463517.30820173619</v>
      </c>
      <c r="H5" s="349">
        <f t="shared" si="10"/>
        <v>502687.78495117871</v>
      </c>
      <c r="I5" s="349">
        <f t="shared" si="10"/>
        <v>513459.66605727543</v>
      </c>
      <c r="J5" s="349">
        <f t="shared" si="10"/>
        <v>564805.63266300305</v>
      </c>
      <c r="K5" s="349">
        <f t="shared" si="10"/>
        <v>621286.19592930342</v>
      </c>
      <c r="L5" s="349">
        <f t="shared" si="10"/>
        <v>683414.81552223384</v>
      </c>
    </row>
    <row r="6" spans="1:12" s="37" customFormat="1" ht="15" customHeight="1">
      <c r="A6" s="120" t="s">
        <v>4</v>
      </c>
      <c r="B6" s="343">
        <f>(+'Fornecimento  Serviços Externos'!C12+'Capital Circulante'!B18)/360*Pressupostos!$B$12</f>
        <v>511445.57749999996</v>
      </c>
      <c r="C6" s="343">
        <f>(+'Fornecimento  Serviços Externos'!D12+'Capital Circulante'!C18)/360*Pressupostos!$B$12</f>
        <v>405273.54249999998</v>
      </c>
      <c r="D6" s="343">
        <f>(+'Fornecimento  Serviços Externos'!E12+'Capital Circulante'!D18)/360*Pressupostos!$B$12</f>
        <v>359006.85302833334</v>
      </c>
      <c r="E6" s="343">
        <f>(+'Fornecimento  Serviços Externos'!F12+'Capital Circulante'!E18)/360*Pressupostos!$B$12</f>
        <v>394886.70499783335</v>
      </c>
      <c r="F6" s="343">
        <f>(+'Fornecimento  Serviços Externos'!G12+'Capital Circulante'!F18)/360*Pressupostos!$B$12</f>
        <v>408735.40955940005</v>
      </c>
      <c r="G6" s="343">
        <f>(+'Fornecimento  Serviços Externos'!H12+'Capital Circulante'!G18)/360*Pressupostos!$B$12</f>
        <v>463517.30820173619</v>
      </c>
      <c r="H6" s="343">
        <f>(+'Fornecimento  Serviços Externos'!I12+'Capital Circulante'!H18)/360*Pressupostos!$B$12</f>
        <v>502687.78495117871</v>
      </c>
      <c r="I6" s="343">
        <f>(+'Fornecimento  Serviços Externos'!J12+'Capital Circulante'!I18)/360*Pressupostos!$B$12</f>
        <v>513459.66605727543</v>
      </c>
      <c r="J6" s="343">
        <f>(+'Fornecimento  Serviços Externos'!K12+'Capital Circulante'!J18)/360*Pressupostos!$B$12</f>
        <v>564805.63266300305</v>
      </c>
      <c r="K6" s="343">
        <f>(+'Fornecimento  Serviços Externos'!L12+'Capital Circulante'!K18)/360*Pressupostos!$B$12</f>
        <v>621286.19592930342</v>
      </c>
      <c r="L6" s="343">
        <f>(+'Fornecimento  Serviços Externos'!M12+'Capital Circulante'!L18)/360*Pressupostos!$B$12</f>
        <v>683414.81552223384</v>
      </c>
    </row>
    <row r="7" spans="1:12" s="37" customFormat="1" ht="15" customHeight="1">
      <c r="A7" s="122" t="s">
        <v>20</v>
      </c>
      <c r="B7" s="350">
        <f>B2-B5</f>
        <v>536047.89250000007</v>
      </c>
      <c r="C7" s="350">
        <f t="shared" ref="C7:H7" si="11">C2-C5</f>
        <v>358987.59083333332</v>
      </c>
      <c r="D7" s="350">
        <f t="shared" si="11"/>
        <v>378250.37922166655</v>
      </c>
      <c r="E7" s="350">
        <f t="shared" si="11"/>
        <v>416096.25047716661</v>
      </c>
      <c r="F7" s="350">
        <f t="shared" si="11"/>
        <v>442796.69368935004</v>
      </c>
      <c r="G7" s="350">
        <f t="shared" si="11"/>
        <v>515744.61053432629</v>
      </c>
      <c r="H7" s="350">
        <f t="shared" si="11"/>
        <v>574500.32565849007</v>
      </c>
      <c r="I7" s="350">
        <f t="shared" ref="I7:L7" si="12">I2-I5</f>
        <v>671447.25561336032</v>
      </c>
      <c r="J7" s="350">
        <f t="shared" si="12"/>
        <v>738591.98117469635</v>
      </c>
      <c r="K7" s="350">
        <f t="shared" si="12"/>
        <v>812451.17929216602</v>
      </c>
      <c r="L7" s="350">
        <f t="shared" si="12"/>
        <v>893696.29722138273</v>
      </c>
    </row>
    <row r="8" spans="1:12" s="37" customFormat="1" ht="15" customHeight="1" thickBot="1">
      <c r="A8" s="123" t="s">
        <v>21</v>
      </c>
      <c r="B8" s="351">
        <f>B7</f>
        <v>536047.89250000007</v>
      </c>
      <c r="C8" s="351">
        <f>+C7-B8</f>
        <v>-177060.30166666675</v>
      </c>
      <c r="D8" s="351">
        <f>+D7-C7</f>
        <v>19262.788388333225</v>
      </c>
      <c r="E8" s="351">
        <f t="shared" ref="E8:H8" si="13">+E7-D7</f>
        <v>37845.871255500067</v>
      </c>
      <c r="F8" s="351">
        <f t="shared" si="13"/>
        <v>26700.443212183425</v>
      </c>
      <c r="G8" s="351">
        <f t="shared" si="13"/>
        <v>72947.916844976251</v>
      </c>
      <c r="H8" s="351">
        <f t="shared" si="13"/>
        <v>58755.715124163777</v>
      </c>
      <c r="I8" s="351">
        <f t="shared" ref="I8" si="14">+I7-H7</f>
        <v>96946.929954870255</v>
      </c>
      <c r="J8" s="351">
        <f t="shared" ref="J8" si="15">+J7-I7</f>
        <v>67144.725561336032</v>
      </c>
      <c r="K8" s="351">
        <f t="shared" ref="K8" si="16">+K7-J7</f>
        <v>73859.19811746967</v>
      </c>
      <c r="L8" s="351">
        <f t="shared" ref="L8" si="17">+L7-K7</f>
        <v>81245.117929216707</v>
      </c>
    </row>
    <row r="9" spans="1:12" s="37" customFormat="1" ht="15" customHeight="1" thickBot="1">
      <c r="A9" s="36"/>
      <c r="B9" s="36"/>
      <c r="C9" s="36"/>
      <c r="D9" s="36"/>
      <c r="E9" s="57"/>
      <c r="F9" s="36"/>
    </row>
    <row r="10" spans="1:12" s="37" customFormat="1" ht="15" customHeight="1" thickBot="1">
      <c r="A10" s="124" t="s">
        <v>14</v>
      </c>
      <c r="B10" s="36"/>
      <c r="C10" s="36"/>
      <c r="D10" s="36"/>
      <c r="E10" s="57"/>
      <c r="F10" s="57"/>
    </row>
    <row r="11" spans="1:12" s="37" customFormat="1" ht="15" customHeight="1" thickBot="1">
      <c r="A11" s="35"/>
      <c r="B11" s="36"/>
      <c r="C11" s="36"/>
      <c r="D11" s="36"/>
      <c r="E11" s="36"/>
      <c r="F11" s="36"/>
    </row>
    <row r="12" spans="1:12" s="37" customFormat="1" ht="15" customHeight="1">
      <c r="A12" s="125"/>
      <c r="B12" s="114">
        <v>2021</v>
      </c>
      <c r="C12" s="114">
        <f>+B12+1</f>
        <v>2022</v>
      </c>
      <c r="D12" s="114">
        <f t="shared" ref="D12:F12" si="18">+C12+1</f>
        <v>2023</v>
      </c>
      <c r="E12" s="114">
        <f t="shared" si="18"/>
        <v>2024</v>
      </c>
      <c r="F12" s="316">
        <f t="shared" si="18"/>
        <v>2025</v>
      </c>
      <c r="G12" s="114">
        <f t="shared" ref="G12" si="19">+F12+1</f>
        <v>2026</v>
      </c>
      <c r="H12" s="315">
        <f t="shared" ref="H12" si="20">+G12+1</f>
        <v>2027</v>
      </c>
      <c r="I12" s="315">
        <f t="shared" ref="I12" si="21">+H12+1</f>
        <v>2028</v>
      </c>
      <c r="J12" s="315">
        <f t="shared" ref="J12" si="22">+I12+1</f>
        <v>2029</v>
      </c>
      <c r="K12" s="315">
        <f t="shared" ref="K12" si="23">+J12+1</f>
        <v>2030</v>
      </c>
      <c r="L12" s="315">
        <f t="shared" ref="L12" si="24">+K12+1</f>
        <v>2031</v>
      </c>
    </row>
    <row r="13" spans="1:12" s="37" customFormat="1" ht="15" customHeight="1">
      <c r="A13" s="126" t="s">
        <v>8</v>
      </c>
      <c r="B13" s="343">
        <f>+B18</f>
        <v>4956545.58</v>
      </c>
      <c r="C13" s="343">
        <f t="shared" ref="C13:H13" si="25">+C18</f>
        <v>3553935.64</v>
      </c>
      <c r="D13" s="343">
        <f>+D18</f>
        <v>2949028.929</v>
      </c>
      <c r="E13" s="343">
        <f t="shared" si="25"/>
        <v>3243931.8219000003</v>
      </c>
      <c r="F13" s="345">
        <f t="shared" si="25"/>
        <v>3406128.4129950004</v>
      </c>
      <c r="G13" s="343">
        <f t="shared" si="25"/>
        <v>3917047.6749442499</v>
      </c>
      <c r="H13" s="346">
        <f t="shared" si="25"/>
        <v>4308752.4424386751</v>
      </c>
      <c r="I13" s="346">
        <f t="shared" ref="I13:L13" si="26">+I18</f>
        <v>4739627.6866825428</v>
      </c>
      <c r="J13" s="346">
        <f t="shared" si="26"/>
        <v>5213590.4553507976</v>
      </c>
      <c r="K13" s="346">
        <f t="shared" si="26"/>
        <v>5734949.5008858778</v>
      </c>
      <c r="L13" s="346">
        <f t="shared" si="26"/>
        <v>6308444.4509744663</v>
      </c>
    </row>
    <row r="14" spans="1:12" s="37" customFormat="1" ht="15" customHeight="1">
      <c r="A14" s="127" t="s">
        <v>15</v>
      </c>
      <c r="B14" s="343">
        <v>0</v>
      </c>
      <c r="C14" s="343">
        <v>0</v>
      </c>
      <c r="D14" s="343">
        <v>0</v>
      </c>
      <c r="E14" s="343">
        <v>0</v>
      </c>
      <c r="F14" s="345">
        <v>0</v>
      </c>
      <c r="G14" s="343">
        <v>0</v>
      </c>
      <c r="H14" s="346">
        <v>0</v>
      </c>
      <c r="I14" s="346">
        <v>1</v>
      </c>
      <c r="J14" s="346">
        <v>2</v>
      </c>
      <c r="K14" s="346">
        <v>3</v>
      </c>
      <c r="L14" s="346">
        <v>4</v>
      </c>
    </row>
    <row r="15" spans="1:12" s="37" customFormat="1" ht="15" customHeight="1">
      <c r="A15" s="127" t="s">
        <v>16</v>
      </c>
      <c r="B15" s="343">
        <v>0</v>
      </c>
      <c r="C15" s="343">
        <f t="shared" ref="C15:F15" si="27">B14</f>
        <v>0</v>
      </c>
      <c r="D15" s="343">
        <f t="shared" si="27"/>
        <v>0</v>
      </c>
      <c r="E15" s="343">
        <f t="shared" si="27"/>
        <v>0</v>
      </c>
      <c r="F15" s="345">
        <f t="shared" si="27"/>
        <v>0</v>
      </c>
      <c r="G15" s="343">
        <f t="shared" ref="G15" si="28">F14</f>
        <v>0</v>
      </c>
      <c r="H15" s="346">
        <f t="shared" ref="H15" si="29">G14</f>
        <v>0</v>
      </c>
      <c r="I15" s="346">
        <f t="shared" ref="I15" si="30">H14</f>
        <v>0</v>
      </c>
      <c r="J15" s="346">
        <f t="shared" ref="J15" si="31">I14</f>
        <v>1</v>
      </c>
      <c r="K15" s="346">
        <f t="shared" ref="K15" si="32">J14</f>
        <v>2</v>
      </c>
      <c r="L15" s="346">
        <f t="shared" ref="L15" si="33">K14</f>
        <v>3</v>
      </c>
    </row>
    <row r="16" spans="1:12" s="37" customFormat="1" ht="15" customHeight="1" thickBot="1">
      <c r="A16" s="128" t="s">
        <v>17</v>
      </c>
      <c r="B16" s="352">
        <f t="shared" ref="B16:F16" si="34">B13+B14-B15</f>
        <v>4956545.58</v>
      </c>
      <c r="C16" s="352">
        <f t="shared" si="34"/>
        <v>3553935.64</v>
      </c>
      <c r="D16" s="352">
        <f t="shared" si="34"/>
        <v>2949028.929</v>
      </c>
      <c r="E16" s="352">
        <f t="shared" si="34"/>
        <v>3243931.8219000003</v>
      </c>
      <c r="F16" s="353">
        <f t="shared" si="34"/>
        <v>3406128.4129950004</v>
      </c>
      <c r="G16" s="352">
        <f t="shared" ref="G16:H16" si="35">G13+G14-G15</f>
        <v>3917047.6749442499</v>
      </c>
      <c r="H16" s="354">
        <f t="shared" si="35"/>
        <v>4308752.4424386751</v>
      </c>
      <c r="I16" s="354">
        <f t="shared" ref="I16:L16" si="36">I13+I14-I15</f>
        <v>4739628.6866825428</v>
      </c>
      <c r="J16" s="354">
        <f t="shared" si="36"/>
        <v>5213591.4553507976</v>
      </c>
      <c r="K16" s="354">
        <f t="shared" si="36"/>
        <v>5734950.5008858778</v>
      </c>
      <c r="L16" s="354">
        <f t="shared" si="36"/>
        <v>6308445.4509744663</v>
      </c>
    </row>
    <row r="17" spans="1:12" s="37" customFormat="1" ht="15" customHeight="1" thickBot="1">
      <c r="A17" s="58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1:12" s="37" customFormat="1" ht="15" customHeight="1" thickBot="1">
      <c r="A18" s="116" t="s">
        <v>8</v>
      </c>
      <c r="B18" s="339">
        <v>4956545.58</v>
      </c>
      <c r="C18" s="339">
        <v>3553935.64</v>
      </c>
      <c r="D18" s="339">
        <f>+'Previsão Receitas'!D8*0.5</f>
        <v>2949028.929</v>
      </c>
      <c r="E18" s="339">
        <f>+'Previsão Receitas'!E8*0.5</f>
        <v>3243931.8219000003</v>
      </c>
      <c r="F18" s="339">
        <f>+'Previsão Receitas'!F8*0.5</f>
        <v>3406128.4129950004</v>
      </c>
      <c r="G18" s="339">
        <f>+'Previsão Receitas'!G8*0.5</f>
        <v>3917047.6749442499</v>
      </c>
      <c r="H18" s="339">
        <f>+'Previsão Receitas'!H8*0.5</f>
        <v>4308752.4424386751</v>
      </c>
      <c r="I18" s="339">
        <f>+'Previsão Receitas'!I8*0.5</f>
        <v>4739627.6866825428</v>
      </c>
      <c r="J18" s="339">
        <f>+'Previsão Receitas'!J8*0.5</f>
        <v>5213590.4553507976</v>
      </c>
      <c r="K18" s="339">
        <f>+'Previsão Receitas'!K8*0.5</f>
        <v>5734949.5008858778</v>
      </c>
      <c r="L18" s="339">
        <f>+'Previsão Receitas'!L8*0.5</f>
        <v>6308444.4509744663</v>
      </c>
    </row>
    <row r="19" spans="1:12" s="61" customFormat="1" ht="14.4">
      <c r="A19" s="59"/>
      <c r="B19" s="60"/>
      <c r="C19" s="60"/>
      <c r="D19" s="60"/>
      <c r="E19" s="60"/>
      <c r="F19" s="60"/>
    </row>
    <row r="20" spans="1:12" ht="20.100000000000001" customHeight="1">
      <c r="A20" s="106" t="s">
        <v>131</v>
      </c>
      <c r="B20" s="94"/>
      <c r="C20" s="94"/>
      <c r="D20" s="94"/>
      <c r="E20" s="94"/>
      <c r="F20" s="94"/>
    </row>
    <row r="21" spans="1:12" ht="15" customHeight="1"/>
    <row r="22" spans="1:12" ht="15" customHeight="1"/>
    <row r="23" spans="1:12" ht="15" customHeight="1"/>
    <row r="24" spans="1:12" ht="15" customHeight="1"/>
    <row r="25" spans="1:12" ht="15" customHeight="1"/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s="98" customFormat="1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</sheetData>
  <phoneticPr fontId="10" type="noConversion"/>
  <hyperlinks>
    <hyperlink ref="A20" location="Índice!A1" display="Índice" xr:uid="{00000000-0004-0000-0400-000000000000}"/>
  </hyperlinks>
  <pageMargins left="0.74803149606299213" right="0.74803149606299213" top="0.98425196850393704" bottom="0.98425196850393704" header="0.51181102362204722" footer="0.51181102362204722"/>
  <pageSetup paperSize="9" fitToHeight="8" orientation="landscape" r:id="rId1"/>
  <headerFooter alignWithMargins="0">
    <oddHeader>&amp;L&amp;"Arial,Negrito"4 - Fundo Maneio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9"/>
  <sheetViews>
    <sheetView showGridLines="0" zoomScaleNormal="100" workbookViewId="0">
      <selection activeCell="C5" sqref="C5"/>
    </sheetView>
  </sheetViews>
  <sheetFormatPr defaultColWidth="9.109375" defaultRowHeight="13.2"/>
  <cols>
    <col min="1" max="1" width="41.44140625" style="24" bestFit="1" customWidth="1"/>
    <col min="2" max="2" width="9.88671875" style="86" customWidth="1"/>
    <col min="3" max="3" width="12.6640625" style="24" bestFit="1" customWidth="1"/>
    <col min="4" max="6" width="14.21875" style="24" bestFit="1" customWidth="1"/>
    <col min="7" max="7" width="14.33203125" style="24" bestFit="1" customWidth="1"/>
    <col min="8" max="13" width="14.21875" style="24" bestFit="1" customWidth="1"/>
    <col min="14" max="16384" width="9.109375" style="24"/>
  </cols>
  <sheetData>
    <row r="1" spans="1:13" s="64" customFormat="1" ht="15" customHeight="1" thickBot="1">
      <c r="A1" s="426" t="s">
        <v>132</v>
      </c>
      <c r="B1" s="129"/>
      <c r="C1" s="423" t="s">
        <v>130</v>
      </c>
      <c r="D1" s="424"/>
      <c r="E1" s="424"/>
      <c r="F1" s="425"/>
      <c r="G1" s="420" t="s">
        <v>142</v>
      </c>
    </row>
    <row r="2" spans="1:13" s="64" customFormat="1" ht="29.4" thickBot="1">
      <c r="A2" s="427"/>
      <c r="B2" s="173" t="s">
        <v>128</v>
      </c>
      <c r="C2" s="174" t="s">
        <v>139</v>
      </c>
      <c r="D2" s="177" t="s">
        <v>141</v>
      </c>
      <c r="E2" s="175" t="s">
        <v>140</v>
      </c>
      <c r="F2" s="176" t="s">
        <v>0</v>
      </c>
      <c r="G2" s="421"/>
    </row>
    <row r="3" spans="1:13" s="62" customFormat="1" ht="15" customHeight="1">
      <c r="A3" s="87" t="s">
        <v>167</v>
      </c>
      <c r="B3" s="88">
        <v>38</v>
      </c>
      <c r="C3" s="108">
        <v>1000</v>
      </c>
      <c r="D3" s="107">
        <f>4.77*22</f>
        <v>104.94</v>
      </c>
      <c r="E3" s="107">
        <f>+C3*0.2375</f>
        <v>237.5</v>
      </c>
      <c r="F3" s="108">
        <f>+C3+E3+D3</f>
        <v>1342.44</v>
      </c>
      <c r="G3" s="95">
        <f>+F3*14*B3</f>
        <v>714178.08</v>
      </c>
    </row>
    <row r="4" spans="1:13" s="62" customFormat="1" ht="15" customHeight="1">
      <c r="A4" s="87" t="s">
        <v>194</v>
      </c>
      <c r="B4" s="88">
        <v>3</v>
      </c>
      <c r="C4" s="108">
        <v>1200</v>
      </c>
      <c r="D4" s="107">
        <v>104.94</v>
      </c>
      <c r="E4" s="107">
        <f t="shared" ref="E4:E7" si="0">+C4*0.2375</f>
        <v>285</v>
      </c>
      <c r="F4" s="108">
        <f t="shared" ref="F4:F7" si="1">+C4+E4+D4</f>
        <v>1589.94</v>
      </c>
      <c r="G4" s="95">
        <f>+F4*14*B4</f>
        <v>66777.48</v>
      </c>
    </row>
    <row r="5" spans="1:13" s="62" customFormat="1" ht="15" customHeight="1">
      <c r="A5" s="87" t="s">
        <v>193</v>
      </c>
      <c r="B5" s="88">
        <v>1</v>
      </c>
      <c r="C5" s="108">
        <v>850</v>
      </c>
      <c r="D5" s="107">
        <v>104.94</v>
      </c>
      <c r="E5" s="107">
        <f t="shared" si="0"/>
        <v>201.875</v>
      </c>
      <c r="F5" s="108">
        <f t="shared" si="1"/>
        <v>1156.8150000000001</v>
      </c>
      <c r="G5" s="95">
        <f>+F5*14*B5</f>
        <v>16195.41</v>
      </c>
      <c r="H5" s="62">
        <f>+F5*14</f>
        <v>16195.41</v>
      </c>
    </row>
    <row r="6" spans="1:13" s="62" customFormat="1" ht="15" customHeight="1">
      <c r="A6" s="87" t="s">
        <v>193</v>
      </c>
      <c r="B6" s="88">
        <v>1</v>
      </c>
      <c r="C6" s="108">
        <v>850</v>
      </c>
      <c r="D6" s="107">
        <v>104.94</v>
      </c>
      <c r="E6" s="107">
        <f t="shared" si="0"/>
        <v>201.875</v>
      </c>
      <c r="F6" s="108">
        <f t="shared" si="1"/>
        <v>1156.8150000000001</v>
      </c>
      <c r="G6" s="95">
        <f>+F6*14*B6</f>
        <v>16195.41</v>
      </c>
    </row>
    <row r="7" spans="1:13" s="62" customFormat="1" ht="15" customHeight="1">
      <c r="A7" s="87"/>
      <c r="B7" s="88"/>
      <c r="C7" s="108"/>
      <c r="D7" s="107"/>
      <c r="E7" s="107">
        <f t="shared" si="0"/>
        <v>0</v>
      </c>
      <c r="F7" s="108">
        <f t="shared" si="1"/>
        <v>0</v>
      </c>
      <c r="G7" s="95"/>
    </row>
    <row r="8" spans="1:13" s="62" customFormat="1" ht="15" customHeight="1">
      <c r="A8" s="87"/>
      <c r="B8" s="88"/>
      <c r="C8" s="108"/>
      <c r="D8" s="107"/>
      <c r="E8" s="107"/>
      <c r="F8" s="108"/>
      <c r="G8" s="95"/>
    </row>
    <row r="9" spans="1:13" s="62" customFormat="1" ht="15" customHeight="1">
      <c r="A9" s="87"/>
      <c r="B9" s="88"/>
      <c r="C9" s="108"/>
      <c r="D9" s="107"/>
      <c r="E9" s="107"/>
      <c r="F9" s="108"/>
      <c r="G9" s="95"/>
    </row>
    <row r="10" spans="1:13" s="62" customFormat="1" ht="15" customHeight="1" thickBot="1">
      <c r="A10" s="192"/>
      <c r="B10" s="193"/>
      <c r="C10" s="108"/>
      <c r="D10" s="195"/>
      <c r="E10" s="195"/>
      <c r="F10" s="194"/>
      <c r="G10" s="196"/>
    </row>
    <row r="11" spans="1:13" s="96" customFormat="1" ht="15" customHeight="1" thickBot="1">
      <c r="A11" s="130" t="s">
        <v>78</v>
      </c>
      <c r="B11" s="131">
        <f>SUM(B3:B10)</f>
        <v>43</v>
      </c>
      <c r="C11" s="132">
        <f>SUM(C3:C10)</f>
        <v>3900</v>
      </c>
      <c r="D11" s="132">
        <f>SUM(D3:D10)</f>
        <v>419.76</v>
      </c>
      <c r="E11" s="132">
        <f>SUM(E3:E10)</f>
        <v>926.25</v>
      </c>
      <c r="F11" s="132">
        <f>SUM(F3:F3)</f>
        <v>1342.44</v>
      </c>
      <c r="G11" s="133">
        <f>SUM(G3:G10)</f>
        <v>813346.38</v>
      </c>
    </row>
    <row r="12" spans="1:13" s="63" customFormat="1" ht="15" customHeight="1">
      <c r="B12" s="109"/>
    </row>
    <row r="13" spans="1:13" s="63" customFormat="1" ht="15" customHeight="1" thickBot="1">
      <c r="B13" s="109"/>
    </row>
    <row r="14" spans="1:13" s="63" customFormat="1" ht="15" customHeight="1">
      <c r="B14" s="109"/>
      <c r="C14" s="134">
        <v>2021</v>
      </c>
      <c r="D14" s="134">
        <f>+C14+1</f>
        <v>2022</v>
      </c>
      <c r="E14" s="134">
        <f t="shared" ref="E14:I14" si="2">+D14+1</f>
        <v>2023</v>
      </c>
      <c r="F14" s="134">
        <f t="shared" si="2"/>
        <v>2024</v>
      </c>
      <c r="G14" s="134">
        <f t="shared" si="2"/>
        <v>2025</v>
      </c>
      <c r="H14" s="134">
        <f t="shared" si="2"/>
        <v>2026</v>
      </c>
      <c r="I14" s="134">
        <f t="shared" si="2"/>
        <v>2027</v>
      </c>
      <c r="J14" s="134">
        <f t="shared" ref="J14" si="3">+I14+1</f>
        <v>2028</v>
      </c>
      <c r="K14" s="134">
        <f t="shared" ref="K14" si="4">+J14+1</f>
        <v>2029</v>
      </c>
      <c r="L14" s="134">
        <f t="shared" ref="L14:M14" si="5">+K14+1</f>
        <v>2030</v>
      </c>
      <c r="M14" s="134">
        <f t="shared" si="5"/>
        <v>2031</v>
      </c>
    </row>
    <row r="15" spans="1:13" s="63" customFormat="1" ht="15" customHeight="1" thickBot="1">
      <c r="A15" s="422" t="s">
        <v>129</v>
      </c>
      <c r="B15" s="422"/>
      <c r="C15" s="110">
        <v>731846.19</v>
      </c>
      <c r="D15" s="110">
        <v>1081626.93</v>
      </c>
      <c r="E15" s="110">
        <f>D15+G4+G5+G6</f>
        <v>1180795.2299999997</v>
      </c>
      <c r="F15" s="110">
        <f>E15+G4+G5+G6</f>
        <v>1279963.5299999996</v>
      </c>
      <c r="G15" s="110">
        <f>F15+H4+H5+H6</f>
        <v>1296158.9399999995</v>
      </c>
      <c r="H15" s="110">
        <f>$G$15</f>
        <v>1296158.9399999995</v>
      </c>
      <c r="I15" s="110">
        <f>$G$15</f>
        <v>1296158.9399999995</v>
      </c>
      <c r="J15" s="110">
        <f>$G$15</f>
        <v>1296158.9399999995</v>
      </c>
      <c r="K15" s="110">
        <f t="shared" ref="K15:M15" si="6">$G$15</f>
        <v>1296158.9399999995</v>
      </c>
      <c r="L15" s="110">
        <f t="shared" si="6"/>
        <v>1296158.9399999995</v>
      </c>
      <c r="M15" s="110">
        <f t="shared" si="6"/>
        <v>1296158.9399999995</v>
      </c>
    </row>
    <row r="16" spans="1:13" s="63" customFormat="1" ht="15" customHeight="1">
      <c r="B16" s="109"/>
      <c r="C16" s="111"/>
      <c r="D16" s="111"/>
    </row>
    <row r="17" spans="1:2" s="63" customFormat="1" ht="15" customHeight="1">
      <c r="B17" s="109"/>
    </row>
    <row r="19" spans="1:2" ht="20.100000000000001" customHeight="1">
      <c r="A19" s="106" t="s">
        <v>131</v>
      </c>
    </row>
  </sheetData>
  <mergeCells count="4">
    <mergeCell ref="G1:G2"/>
    <mergeCell ref="A15:B15"/>
    <mergeCell ref="C1:F1"/>
    <mergeCell ref="A1:A2"/>
  </mergeCells>
  <hyperlinks>
    <hyperlink ref="A19" location="Índice!A1" display="Índice" xr:uid="{00000000-0004-0000-0500-000000000000}"/>
  </hyperlinks>
  <printOptions horizontalCentered="1" verticalCentered="1"/>
  <pageMargins left="0.75" right="0.19685039370078741" top="0.59055118110236227" bottom="0.39370078740157483" header="0.31496062992125984" footer="0.31496062992125984"/>
  <pageSetup paperSize="9" scale="99" orientation="landscape" r:id="rId1"/>
  <headerFooter alignWithMargins="0">
    <oddHeader>&amp;L&amp;"Arial,Negrito"5 - Gastos Com Pessoal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5"/>
  <sheetViews>
    <sheetView showGridLines="0" topLeftCell="F1" zoomScaleNormal="100" workbookViewId="0">
      <selection activeCell="N22" sqref="N22"/>
    </sheetView>
  </sheetViews>
  <sheetFormatPr defaultColWidth="9.109375" defaultRowHeight="13.2"/>
  <cols>
    <col min="1" max="1" width="3.44140625" style="23" bestFit="1" customWidth="1"/>
    <col min="2" max="2" width="71.33203125" style="23" customWidth="1"/>
    <col min="3" max="3" width="14.6640625" style="23" customWidth="1"/>
    <col min="4" max="9" width="12.88671875" style="23" bestFit="1" customWidth="1"/>
    <col min="10" max="10" width="12.77734375" style="23" bestFit="1" customWidth="1"/>
    <col min="11" max="11" width="7.109375" style="398" bestFit="1" customWidth="1"/>
    <col min="12" max="17" width="12.88671875" style="23" bestFit="1" customWidth="1"/>
    <col min="18" max="18" width="11.88671875" style="23" bestFit="1" customWidth="1"/>
    <col min="19" max="22" width="11.77734375" style="23" bestFit="1" customWidth="1"/>
    <col min="23" max="16384" width="9.109375" style="23"/>
  </cols>
  <sheetData>
    <row r="1" spans="1:22" s="112" customFormat="1" ht="15" customHeight="1">
      <c r="A1" s="437" t="s">
        <v>133</v>
      </c>
      <c r="B1" s="438"/>
      <c r="C1" s="438"/>
      <c r="D1" s="438"/>
      <c r="E1" s="438"/>
      <c r="F1" s="438"/>
      <c r="G1" s="438"/>
      <c r="H1" s="438"/>
      <c r="I1" s="438"/>
      <c r="J1" s="248"/>
      <c r="K1" s="451" t="s">
        <v>134</v>
      </c>
      <c r="L1" s="452"/>
      <c r="M1" s="452"/>
      <c r="N1" s="452"/>
      <c r="O1" s="452"/>
      <c r="P1" s="452"/>
      <c r="Q1" s="452"/>
      <c r="R1" s="452"/>
    </row>
    <row r="2" spans="1:22" s="112" customFormat="1" ht="15" customHeight="1">
      <c r="A2" s="439" t="s">
        <v>127</v>
      </c>
      <c r="B2" s="441" t="s">
        <v>126</v>
      </c>
      <c r="C2" s="439">
        <v>2022</v>
      </c>
      <c r="D2" s="443">
        <v>2023</v>
      </c>
      <c r="E2" s="430">
        <f>+D2+1</f>
        <v>2024</v>
      </c>
      <c r="F2" s="430">
        <f>+E2+1</f>
        <v>2025</v>
      </c>
      <c r="G2" s="430">
        <f t="shared" ref="G2:J2" si="0">+F2+1</f>
        <v>2026</v>
      </c>
      <c r="H2" s="430">
        <f t="shared" si="0"/>
        <v>2027</v>
      </c>
      <c r="I2" s="432">
        <f t="shared" si="0"/>
        <v>2028</v>
      </c>
      <c r="J2" s="432">
        <f t="shared" si="0"/>
        <v>2029</v>
      </c>
      <c r="K2" s="434" t="s">
        <v>55</v>
      </c>
      <c r="L2" s="428">
        <v>2022</v>
      </c>
      <c r="M2" s="428">
        <f>+L2+1</f>
        <v>2023</v>
      </c>
      <c r="N2" s="428">
        <f t="shared" ref="N2:R2" si="1">+M2+1</f>
        <v>2024</v>
      </c>
      <c r="O2" s="428">
        <f t="shared" si="1"/>
        <v>2025</v>
      </c>
      <c r="P2" s="428">
        <f t="shared" si="1"/>
        <v>2026</v>
      </c>
      <c r="Q2" s="428">
        <f>+P2+1</f>
        <v>2027</v>
      </c>
      <c r="R2" s="428">
        <f t="shared" si="1"/>
        <v>2028</v>
      </c>
      <c r="S2" s="428">
        <f t="shared" ref="S2" si="2">+R2+1</f>
        <v>2029</v>
      </c>
      <c r="T2" s="428">
        <f t="shared" ref="T2" si="3">+S2+1</f>
        <v>2030</v>
      </c>
      <c r="U2" s="428">
        <f t="shared" ref="U2" si="4">+T2+1</f>
        <v>2031</v>
      </c>
      <c r="V2" s="428">
        <f t="shared" ref="V2" si="5">+U2+1</f>
        <v>2032</v>
      </c>
    </row>
    <row r="3" spans="1:22" s="112" customFormat="1" ht="15" customHeight="1">
      <c r="A3" s="440"/>
      <c r="B3" s="442"/>
      <c r="C3" s="448"/>
      <c r="D3" s="444"/>
      <c r="E3" s="431"/>
      <c r="F3" s="431"/>
      <c r="G3" s="431"/>
      <c r="H3" s="431"/>
      <c r="I3" s="433"/>
      <c r="J3" s="433"/>
      <c r="K3" s="435"/>
      <c r="L3" s="429"/>
      <c r="M3" s="429"/>
      <c r="N3" s="429"/>
      <c r="O3" s="429"/>
      <c r="P3" s="429"/>
      <c r="Q3" s="429"/>
      <c r="R3" s="429"/>
      <c r="S3" s="429"/>
      <c r="T3" s="429"/>
      <c r="U3" s="429"/>
      <c r="V3" s="429"/>
    </row>
    <row r="4" spans="1:22" s="112" customFormat="1" ht="15" customHeight="1">
      <c r="A4" s="449" t="s">
        <v>154</v>
      </c>
      <c r="B4" s="450"/>
      <c r="C4" s="450"/>
      <c r="D4" s="450"/>
      <c r="E4" s="450"/>
      <c r="F4" s="450"/>
      <c r="G4" s="450"/>
      <c r="H4" s="450"/>
      <c r="I4" s="450"/>
      <c r="J4" s="450"/>
      <c r="K4" s="389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</row>
    <row r="5" spans="1:22" s="112" customFormat="1" ht="15" customHeight="1">
      <c r="A5" s="320"/>
      <c r="B5" s="322" t="s">
        <v>173</v>
      </c>
      <c r="C5" s="323">
        <f t="shared" ref="C5:J5" si="6">SUM(C6:C16)</f>
        <v>127161.60000000001</v>
      </c>
      <c r="D5" s="323">
        <f t="shared" si="6"/>
        <v>615244.78999999992</v>
      </c>
      <c r="E5" s="323">
        <f t="shared" si="6"/>
        <v>2500</v>
      </c>
      <c r="F5" s="323">
        <f t="shared" si="6"/>
        <v>0</v>
      </c>
      <c r="G5" s="323">
        <f t="shared" si="6"/>
        <v>0</v>
      </c>
      <c r="H5" s="323">
        <f t="shared" si="6"/>
        <v>0</v>
      </c>
      <c r="I5" s="323">
        <f t="shared" si="6"/>
        <v>0</v>
      </c>
      <c r="J5" s="323">
        <f t="shared" si="6"/>
        <v>0</v>
      </c>
      <c r="K5" s="390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</row>
    <row r="6" spans="1:22" s="404" customFormat="1" ht="15" customHeight="1">
      <c r="A6" s="399"/>
      <c r="B6" s="400" t="str">
        <f>'MAPA INVESTIMENTOS'!A2</f>
        <v>Equipamento Básico</v>
      </c>
      <c r="C6" s="401">
        <f>'MAPA INVESTIMENTOS'!B2</f>
        <v>21917.5</v>
      </c>
      <c r="D6" s="401">
        <f>'MAPA INVESTIMENTOS'!C2</f>
        <v>240669.43999999997</v>
      </c>
      <c r="E6" s="401">
        <f>'MAPA INVESTIMENTOS'!D2</f>
        <v>0</v>
      </c>
      <c r="F6" s="401">
        <f>'MAPA INVESTIMENTOS'!E2</f>
        <v>0</v>
      </c>
      <c r="G6" s="401">
        <f>'MAPA INVESTIMENTOS'!F2</f>
        <v>0</v>
      </c>
      <c r="H6" s="401">
        <f>'MAPA INVESTIMENTOS'!G2</f>
        <v>0</v>
      </c>
      <c r="I6" s="401">
        <f>'MAPA INVESTIMENTOS'!H2</f>
        <v>0</v>
      </c>
      <c r="J6" s="401">
        <f>'MAPA INVESTIMENTOS'!I2</f>
        <v>0</v>
      </c>
      <c r="K6" s="402">
        <v>0.2</v>
      </c>
      <c r="L6" s="403">
        <v>0</v>
      </c>
      <c r="M6" s="403">
        <f>C6*K6</f>
        <v>4383.5</v>
      </c>
      <c r="N6" s="403">
        <f>+C6*K6</f>
        <v>4383.5</v>
      </c>
      <c r="O6" s="403">
        <f>(+$C$6*$K$6)+($D$6*$K$6)</f>
        <v>52517.387999999999</v>
      </c>
      <c r="P6" s="403">
        <f t="shared" ref="P6:Q6" si="7">(+$C$6*$K$6)+($D$6*$K$6)</f>
        <v>52517.387999999999</v>
      </c>
      <c r="Q6" s="403">
        <f t="shared" si="7"/>
        <v>52517.387999999999</v>
      </c>
      <c r="R6" s="403">
        <f>+($D$6*$K$6)</f>
        <v>48133.887999999999</v>
      </c>
      <c r="S6" s="403"/>
      <c r="T6" s="403"/>
      <c r="U6" s="403"/>
      <c r="V6" s="403"/>
    </row>
    <row r="7" spans="1:22" s="404" customFormat="1" ht="15" customHeight="1">
      <c r="A7" s="399"/>
      <c r="B7" s="400" t="str">
        <f>'MAPA INVESTIMENTOS'!A3</f>
        <v>Obras</v>
      </c>
      <c r="C7" s="401">
        <f>'MAPA INVESTIMENTOS'!B3</f>
        <v>38875</v>
      </c>
      <c r="D7" s="401">
        <f>'MAPA INVESTIMENTOS'!C3</f>
        <v>181449</v>
      </c>
      <c r="E7" s="401">
        <f>'MAPA INVESTIMENTOS'!D3</f>
        <v>0</v>
      </c>
      <c r="F7" s="401">
        <f>'MAPA INVESTIMENTOS'!E3</f>
        <v>0</v>
      </c>
      <c r="G7" s="401">
        <f>'MAPA INVESTIMENTOS'!F3</f>
        <v>0</v>
      </c>
      <c r="H7" s="401">
        <f>'MAPA INVESTIMENTOS'!G3</f>
        <v>0</v>
      </c>
      <c r="I7" s="401">
        <f>'MAPA INVESTIMENTOS'!H3</f>
        <v>0</v>
      </c>
      <c r="J7" s="401">
        <f>'MAPA INVESTIMENTOS'!I3</f>
        <v>0</v>
      </c>
      <c r="K7" s="402">
        <v>0.02</v>
      </c>
      <c r="L7" s="403"/>
      <c r="M7" s="403">
        <f>$C$7*$K$7</f>
        <v>777.5</v>
      </c>
      <c r="N7" s="403">
        <f>$C$7*$K$7</f>
        <v>777.5</v>
      </c>
      <c r="O7" s="403">
        <f>($C$7*$K$7)+($D$7*$K$7)</f>
        <v>4406.4799999999996</v>
      </c>
      <c r="P7" s="403">
        <f t="shared" ref="P7:V7" si="8">($C$7*$K$7)+($D$7*$K$7)</f>
        <v>4406.4799999999996</v>
      </c>
      <c r="Q7" s="403">
        <f t="shared" si="8"/>
        <v>4406.4799999999996</v>
      </c>
      <c r="R7" s="403">
        <f t="shared" si="8"/>
        <v>4406.4799999999996</v>
      </c>
      <c r="S7" s="403">
        <f t="shared" si="8"/>
        <v>4406.4799999999996</v>
      </c>
      <c r="T7" s="403">
        <f t="shared" si="8"/>
        <v>4406.4799999999996</v>
      </c>
      <c r="U7" s="403">
        <f t="shared" si="8"/>
        <v>4406.4799999999996</v>
      </c>
      <c r="V7" s="403">
        <f t="shared" si="8"/>
        <v>4406.4799999999996</v>
      </c>
    </row>
    <row r="8" spans="1:22" s="404" customFormat="1" ht="15" customHeight="1">
      <c r="A8" s="399"/>
      <c r="B8" s="400" t="str">
        <f>'MAPA INVESTIMENTOS'!A4</f>
        <v>Máquinas</v>
      </c>
      <c r="C8" s="401">
        <f>'MAPA INVESTIMENTOS'!B4</f>
        <v>63426</v>
      </c>
      <c r="D8" s="401">
        <f>'MAPA INVESTIMENTOS'!C4</f>
        <v>179839</v>
      </c>
      <c r="E8" s="401">
        <f>'MAPA INVESTIMENTOS'!D4</f>
        <v>0</v>
      </c>
      <c r="F8" s="401">
        <f>'MAPA INVESTIMENTOS'!E4</f>
        <v>0</v>
      </c>
      <c r="G8" s="401">
        <f>'MAPA INVESTIMENTOS'!F4</f>
        <v>0</v>
      </c>
      <c r="H8" s="401">
        <f>'MAPA INVESTIMENTOS'!G4</f>
        <v>0</v>
      </c>
      <c r="I8" s="401">
        <f>'MAPA INVESTIMENTOS'!H4</f>
        <v>0</v>
      </c>
      <c r="J8" s="401">
        <f>'MAPA INVESTIMENTOS'!I4</f>
        <v>0</v>
      </c>
      <c r="K8" s="402">
        <v>0.2</v>
      </c>
      <c r="L8" s="403"/>
      <c r="M8" s="403">
        <f>+$C$8*$K$8</f>
        <v>12685.2</v>
      </c>
      <c r="N8" s="403">
        <f>($C$8*$K$8)+($D$8*$K$8)</f>
        <v>48653</v>
      </c>
      <c r="O8" s="403">
        <f>($C$8*$K$8)+($D$8*$K$8)</f>
        <v>48653</v>
      </c>
      <c r="P8" s="403">
        <f>($C$8*$K$8)+($D$8*$K$8)</f>
        <v>48653</v>
      </c>
      <c r="Q8" s="403">
        <f>($C$8*$K$8)+($D$8*$K$8)</f>
        <v>48653</v>
      </c>
      <c r="R8" s="403">
        <f>+$D$8*$K$8</f>
        <v>35967.800000000003</v>
      </c>
      <c r="S8" s="403"/>
      <c r="T8" s="403"/>
      <c r="U8" s="403"/>
      <c r="V8" s="403"/>
    </row>
    <row r="9" spans="1:22" s="388" customFormat="1" ht="15" customHeight="1">
      <c r="A9" s="384"/>
      <c r="B9" s="400" t="str">
        <f>'MAPA INVESTIMENTOS'!A5</f>
        <v>Prestação de serviços</v>
      </c>
      <c r="C9" s="401">
        <f>'MAPA INVESTIMENTOS'!B5</f>
        <v>0</v>
      </c>
      <c r="D9" s="401">
        <f>'MAPA INVESTIMENTOS'!C5</f>
        <v>2500</v>
      </c>
      <c r="E9" s="401">
        <f>'MAPA INVESTIMENTOS'!D5</f>
        <v>2500</v>
      </c>
      <c r="F9" s="401">
        <f>'MAPA INVESTIMENTOS'!E5</f>
        <v>0</v>
      </c>
      <c r="G9" s="401">
        <f>'MAPA INVESTIMENTOS'!F5</f>
        <v>0</v>
      </c>
      <c r="H9" s="401">
        <f>'MAPA INVESTIMENTOS'!G5</f>
        <v>0</v>
      </c>
      <c r="I9" s="401">
        <f>'MAPA INVESTIMENTOS'!H5</f>
        <v>0</v>
      </c>
      <c r="J9" s="401">
        <f>'MAPA INVESTIMENTOS'!I5</f>
        <v>0</v>
      </c>
      <c r="K9" s="391">
        <v>0</v>
      </c>
      <c r="L9" s="387"/>
      <c r="M9" s="387">
        <f t="shared" ref="M9:R9" si="9">+$C$9*$K$9</f>
        <v>0</v>
      </c>
      <c r="N9" s="387">
        <f t="shared" si="9"/>
        <v>0</v>
      </c>
      <c r="O9" s="387">
        <f t="shared" si="9"/>
        <v>0</v>
      </c>
      <c r="P9" s="387">
        <f t="shared" si="9"/>
        <v>0</v>
      </c>
      <c r="Q9" s="387">
        <f t="shared" si="9"/>
        <v>0</v>
      </c>
      <c r="R9" s="387">
        <f t="shared" si="9"/>
        <v>0</v>
      </c>
      <c r="S9" s="387">
        <f t="shared" ref="S9:V9" si="10">+$C$9*$K$9</f>
        <v>0</v>
      </c>
      <c r="T9" s="387">
        <f t="shared" si="10"/>
        <v>0</v>
      </c>
      <c r="U9" s="387">
        <f t="shared" si="10"/>
        <v>0</v>
      </c>
      <c r="V9" s="387">
        <f t="shared" si="10"/>
        <v>0</v>
      </c>
    </row>
    <row r="10" spans="1:22" s="388" customFormat="1" ht="15" customHeight="1">
      <c r="A10" s="384"/>
      <c r="B10" s="400" t="str">
        <f>'MAPA INVESTIMENTOS'!A6</f>
        <v>Ferramentas</v>
      </c>
      <c r="C10" s="401">
        <f>'MAPA INVESTIMENTOS'!B6</f>
        <v>0</v>
      </c>
      <c r="D10" s="401">
        <f>'MAPA INVESTIMENTOS'!C6</f>
        <v>291.35000000000002</v>
      </c>
      <c r="E10" s="401">
        <f>'MAPA INVESTIMENTOS'!D6</f>
        <v>0</v>
      </c>
      <c r="F10" s="401">
        <f>'MAPA INVESTIMENTOS'!E6</f>
        <v>0</v>
      </c>
      <c r="G10" s="401">
        <f>'MAPA INVESTIMENTOS'!F6</f>
        <v>0</v>
      </c>
      <c r="H10" s="401">
        <f>'MAPA INVESTIMENTOS'!G6</f>
        <v>0</v>
      </c>
      <c r="I10" s="401">
        <f>'MAPA INVESTIMENTOS'!H6</f>
        <v>0</v>
      </c>
      <c r="J10" s="401">
        <f>'MAPA INVESTIMENTOS'!I6</f>
        <v>0</v>
      </c>
      <c r="K10" s="391">
        <v>0.2</v>
      </c>
      <c r="L10" s="387"/>
      <c r="M10" s="387">
        <f t="shared" ref="M10:R10" si="11">+$C$10*$K$10</f>
        <v>0</v>
      </c>
      <c r="N10" s="387">
        <f t="shared" si="11"/>
        <v>0</v>
      </c>
      <c r="O10" s="387">
        <f t="shared" si="11"/>
        <v>0</v>
      </c>
      <c r="P10" s="387">
        <f t="shared" si="11"/>
        <v>0</v>
      </c>
      <c r="Q10" s="387">
        <f t="shared" si="11"/>
        <v>0</v>
      </c>
      <c r="R10" s="387">
        <f t="shared" si="11"/>
        <v>0</v>
      </c>
      <c r="S10" s="387">
        <f t="shared" ref="S10:V10" si="12">+$C$10*$K$10</f>
        <v>0</v>
      </c>
      <c r="T10" s="387">
        <f t="shared" si="12"/>
        <v>0</v>
      </c>
      <c r="U10" s="387">
        <f t="shared" si="12"/>
        <v>0</v>
      </c>
      <c r="V10" s="387">
        <f t="shared" si="12"/>
        <v>0</v>
      </c>
    </row>
    <row r="11" spans="1:22" s="388" customFormat="1" ht="15" customHeight="1">
      <c r="A11" s="384"/>
      <c r="B11" s="400" t="str">
        <f>'MAPA INVESTIMENTOS'!A7</f>
        <v>Eq Informático</v>
      </c>
      <c r="C11" s="401">
        <f>'MAPA INVESTIMENTOS'!B7</f>
        <v>2943.1</v>
      </c>
      <c r="D11" s="401">
        <f>'MAPA INVESTIMENTOS'!C7</f>
        <v>10496</v>
      </c>
      <c r="E11" s="401">
        <f>'MAPA INVESTIMENTOS'!D7</f>
        <v>0</v>
      </c>
      <c r="F11" s="401">
        <f>'MAPA INVESTIMENTOS'!E7</f>
        <v>0</v>
      </c>
      <c r="G11" s="401">
        <f>'MAPA INVESTIMENTOS'!F7</f>
        <v>0</v>
      </c>
      <c r="H11" s="401">
        <f>'MAPA INVESTIMENTOS'!G7</f>
        <v>0</v>
      </c>
      <c r="I11" s="401">
        <f>'MAPA INVESTIMENTOS'!H7</f>
        <v>0</v>
      </c>
      <c r="J11" s="401">
        <f>'MAPA INVESTIMENTOS'!I7</f>
        <v>0</v>
      </c>
      <c r="K11" s="391">
        <v>0.1</v>
      </c>
      <c r="L11" s="387"/>
      <c r="M11" s="387">
        <f>+$C$11*$K$11</f>
        <v>294.31</v>
      </c>
      <c r="N11" s="387">
        <f>($C$11*$K$11)+($D$11*$K$11)</f>
        <v>1343.91</v>
      </c>
      <c r="O11" s="387">
        <f t="shared" ref="O11:Q11" si="13">($C$11*$K$11)+($D$11*$K$11)</f>
        <v>1343.91</v>
      </c>
      <c r="P11" s="387">
        <f t="shared" si="13"/>
        <v>1343.91</v>
      </c>
      <c r="Q11" s="387">
        <f t="shared" si="13"/>
        <v>1343.91</v>
      </c>
      <c r="R11" s="387">
        <f>+$D$11*$K$11</f>
        <v>1049.6000000000001</v>
      </c>
      <c r="S11" s="387"/>
      <c r="T11" s="387"/>
      <c r="U11" s="387"/>
      <c r="V11" s="387"/>
    </row>
    <row r="12" spans="1:22" s="388" customFormat="1" ht="15" customHeight="1">
      <c r="A12" s="384"/>
      <c r="B12" s="400" t="str">
        <f>'MAPA INVESTIMENTOS'!A8</f>
        <v>Software</v>
      </c>
      <c r="C12" s="401">
        <f>'MAPA INVESTIMENTOS'!B8</f>
        <v>0</v>
      </c>
      <c r="D12" s="386">
        <f>+C12</f>
        <v>0</v>
      </c>
      <c r="E12" s="386">
        <f t="shared" ref="E12:E13" si="14">+D12-M12</f>
        <v>0</v>
      </c>
      <c r="F12" s="386">
        <f t="shared" ref="F12:J13" si="15">+E12-N12</f>
        <v>0</v>
      </c>
      <c r="G12" s="386">
        <f t="shared" si="15"/>
        <v>0</v>
      </c>
      <c r="H12" s="386">
        <f t="shared" si="15"/>
        <v>0</v>
      </c>
      <c r="I12" s="386">
        <f t="shared" si="15"/>
        <v>0</v>
      </c>
      <c r="J12" s="386">
        <f t="shared" si="15"/>
        <v>0</v>
      </c>
      <c r="K12" s="391">
        <v>0</v>
      </c>
      <c r="L12" s="387"/>
      <c r="M12" s="387">
        <f>+$C$12*$K$12</f>
        <v>0</v>
      </c>
      <c r="N12" s="387">
        <f t="shared" ref="N12:V12" si="16">+$C$12*$K$12</f>
        <v>0</v>
      </c>
      <c r="O12" s="387">
        <f t="shared" si="16"/>
        <v>0</v>
      </c>
      <c r="P12" s="387">
        <f t="shared" si="16"/>
        <v>0</v>
      </c>
      <c r="Q12" s="387">
        <f t="shared" si="16"/>
        <v>0</v>
      </c>
      <c r="R12" s="387">
        <f t="shared" si="16"/>
        <v>0</v>
      </c>
      <c r="S12" s="387">
        <f t="shared" si="16"/>
        <v>0</v>
      </c>
      <c r="T12" s="387">
        <f t="shared" si="16"/>
        <v>0</v>
      </c>
      <c r="U12" s="387">
        <f t="shared" si="16"/>
        <v>0</v>
      </c>
      <c r="V12" s="387">
        <f t="shared" si="16"/>
        <v>0</v>
      </c>
    </row>
    <row r="13" spans="1:22" s="388" customFormat="1" ht="15" customHeight="1">
      <c r="A13" s="384"/>
      <c r="B13" s="385">
        <f>+'MAPA INVESTIMENTOS'!A9</f>
        <v>0</v>
      </c>
      <c r="C13" s="386">
        <f>+'MAPA INVESTIMENTOS'!B9</f>
        <v>0</v>
      </c>
      <c r="D13" s="386">
        <f>+C13</f>
        <v>0</v>
      </c>
      <c r="E13" s="386">
        <f t="shared" si="14"/>
        <v>0</v>
      </c>
      <c r="F13" s="386">
        <f t="shared" si="15"/>
        <v>0</v>
      </c>
      <c r="G13" s="386">
        <f t="shared" si="15"/>
        <v>0</v>
      </c>
      <c r="H13" s="386">
        <f t="shared" si="15"/>
        <v>0</v>
      </c>
      <c r="I13" s="386">
        <f t="shared" si="15"/>
        <v>0</v>
      </c>
      <c r="J13" s="386">
        <f t="shared" si="15"/>
        <v>0</v>
      </c>
      <c r="K13" s="391">
        <v>0</v>
      </c>
      <c r="L13" s="387"/>
      <c r="M13" s="387">
        <f>+$C$13*$K$13</f>
        <v>0</v>
      </c>
      <c r="N13" s="387">
        <f t="shared" ref="N13:V13" si="17">+$C$13*$K$13</f>
        <v>0</v>
      </c>
      <c r="O13" s="387">
        <f t="shared" si="17"/>
        <v>0</v>
      </c>
      <c r="P13" s="387">
        <f t="shared" si="17"/>
        <v>0</v>
      </c>
      <c r="Q13" s="387">
        <f t="shared" si="17"/>
        <v>0</v>
      </c>
      <c r="R13" s="387">
        <f t="shared" si="17"/>
        <v>0</v>
      </c>
      <c r="S13" s="387">
        <f t="shared" si="17"/>
        <v>0</v>
      </c>
      <c r="T13" s="387">
        <f t="shared" si="17"/>
        <v>0</v>
      </c>
      <c r="U13" s="387">
        <f t="shared" si="17"/>
        <v>0</v>
      </c>
      <c r="V13" s="387">
        <f t="shared" si="17"/>
        <v>0</v>
      </c>
    </row>
    <row r="14" spans="1:22" s="404" customFormat="1" ht="15" customHeight="1">
      <c r="A14" s="399"/>
      <c r="B14" s="400">
        <f>+'MAPA INVESTIMENTOS'!A11</f>
        <v>0</v>
      </c>
      <c r="C14" s="401">
        <f>+'MAPA INVESTIMENTOS'!C11</f>
        <v>0</v>
      </c>
      <c r="D14" s="401"/>
      <c r="E14" s="401">
        <f>+C14</f>
        <v>0</v>
      </c>
      <c r="F14" s="401">
        <f>+E14-N14</f>
        <v>0</v>
      </c>
      <c r="G14" s="401">
        <f t="shared" ref="G14:J14" si="18">+F14-O14</f>
        <v>0</v>
      </c>
      <c r="H14" s="401">
        <f t="shared" si="18"/>
        <v>0</v>
      </c>
      <c r="I14" s="401">
        <f t="shared" si="18"/>
        <v>0</v>
      </c>
      <c r="J14" s="401">
        <f t="shared" si="18"/>
        <v>0</v>
      </c>
      <c r="K14" s="402">
        <v>0</v>
      </c>
      <c r="L14" s="403"/>
      <c r="M14" s="403">
        <v>0</v>
      </c>
      <c r="N14" s="403">
        <f t="shared" ref="N14:V14" si="19">+$C$14*$K$14</f>
        <v>0</v>
      </c>
      <c r="O14" s="403">
        <f t="shared" si="19"/>
        <v>0</v>
      </c>
      <c r="P14" s="403">
        <f t="shared" si="19"/>
        <v>0</v>
      </c>
      <c r="Q14" s="403">
        <f t="shared" si="19"/>
        <v>0</v>
      </c>
      <c r="R14" s="403">
        <f t="shared" si="19"/>
        <v>0</v>
      </c>
      <c r="S14" s="403">
        <f t="shared" si="19"/>
        <v>0</v>
      </c>
      <c r="T14" s="403">
        <f t="shared" si="19"/>
        <v>0</v>
      </c>
      <c r="U14" s="403">
        <f t="shared" si="19"/>
        <v>0</v>
      </c>
      <c r="V14" s="403">
        <f t="shared" si="19"/>
        <v>0</v>
      </c>
    </row>
    <row r="15" spans="1:22" s="112" customFormat="1" ht="15" customHeight="1">
      <c r="A15" s="199"/>
      <c r="B15" s="383"/>
      <c r="C15" s="197">
        <f>+'MAPA INVESTIMENTOS'!B12</f>
        <v>0</v>
      </c>
      <c r="D15" s="197"/>
      <c r="E15" s="197"/>
      <c r="F15" s="197"/>
      <c r="G15" s="197"/>
      <c r="H15" s="197"/>
      <c r="I15" s="205"/>
      <c r="J15" s="205"/>
      <c r="K15" s="392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</row>
    <row r="16" spans="1:22" s="112" customFormat="1" ht="15" customHeight="1">
      <c r="A16" s="199"/>
      <c r="B16" s="200"/>
      <c r="C16" s="197"/>
      <c r="D16" s="197"/>
      <c r="E16" s="197"/>
      <c r="F16" s="197"/>
      <c r="G16" s="197"/>
      <c r="H16" s="197"/>
      <c r="I16" s="205"/>
      <c r="J16" s="197"/>
      <c r="K16" s="392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</row>
    <row r="17" spans="1:22" s="112" customFormat="1" ht="14.25" customHeight="1">
      <c r="A17" s="445" t="s">
        <v>155</v>
      </c>
      <c r="B17" s="446"/>
      <c r="C17" s="446"/>
      <c r="D17" s="446"/>
      <c r="E17" s="446"/>
      <c r="F17" s="446"/>
      <c r="G17" s="446"/>
      <c r="H17" s="446"/>
      <c r="I17" s="447"/>
      <c r="J17" s="251"/>
      <c r="K17" s="393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</row>
    <row r="18" spans="1:22" s="112" customFormat="1" ht="14.25" customHeight="1">
      <c r="A18" s="320"/>
      <c r="B18" s="322" t="s">
        <v>145</v>
      </c>
      <c r="C18" s="323">
        <f t="shared" ref="C18:J18" si="20">SUM(C19:C20)</f>
        <v>0</v>
      </c>
      <c r="D18" s="323">
        <f t="shared" si="20"/>
        <v>7706.9</v>
      </c>
      <c r="E18" s="323">
        <f t="shared" si="20"/>
        <v>0</v>
      </c>
      <c r="F18" s="323">
        <f t="shared" si="20"/>
        <v>-2568.7097699999999</v>
      </c>
      <c r="G18" s="323">
        <f t="shared" si="20"/>
        <v>-5137.4195399999999</v>
      </c>
      <c r="H18" s="323">
        <f t="shared" si="20"/>
        <v>-7706.1293100000003</v>
      </c>
      <c r="I18" s="323">
        <f t="shared" si="20"/>
        <v>-10274.83908</v>
      </c>
      <c r="J18" s="323">
        <f t="shared" si="20"/>
        <v>-10274.83908</v>
      </c>
      <c r="K18" s="394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</row>
    <row r="19" spans="1:22" s="388" customFormat="1" ht="15" customHeight="1">
      <c r="A19" s="384"/>
      <c r="B19" s="385" t="s">
        <v>188</v>
      </c>
      <c r="C19" s="386">
        <f>+'MAPA INVESTIMENTOS'!C10</f>
        <v>0</v>
      </c>
      <c r="D19" s="386">
        <f>'MAPA INVESTIMENTOS'!C8</f>
        <v>7706.9</v>
      </c>
      <c r="E19" s="386">
        <f>+'MAPA INVESTIMENTOS'!C10</f>
        <v>0</v>
      </c>
      <c r="F19" s="386">
        <f>+C19-N19</f>
        <v>-2568.7097699999999</v>
      </c>
      <c r="G19" s="386">
        <f>+F19-N19</f>
        <v>-5137.4195399999999</v>
      </c>
      <c r="H19" s="386">
        <f>+G19-O19</f>
        <v>-7706.1293100000003</v>
      </c>
      <c r="I19" s="386">
        <f>+H19-P19</f>
        <v>-10274.83908</v>
      </c>
      <c r="J19" s="386">
        <f>+I19-Q19</f>
        <v>-10274.83908</v>
      </c>
      <c r="K19" s="391">
        <v>0.33329999999999999</v>
      </c>
      <c r="L19" s="387"/>
      <c r="M19" s="387">
        <v>0</v>
      </c>
      <c r="N19" s="387">
        <f>$D$19*$K$19</f>
        <v>2568.7097699999999</v>
      </c>
      <c r="O19" s="387">
        <f t="shared" ref="O19:P19" si="21">$D$19*$K$19</f>
        <v>2568.7097699999999</v>
      </c>
      <c r="P19" s="387">
        <f t="shared" si="21"/>
        <v>2568.7097699999999</v>
      </c>
      <c r="Q19" s="387">
        <f>+$C$19*$K$19</f>
        <v>0</v>
      </c>
      <c r="R19" s="387">
        <f>+$C$19*$K$19</f>
        <v>0</v>
      </c>
      <c r="S19" s="387">
        <f t="shared" ref="S19:V19" si="22">+$C$19*$K$19</f>
        <v>0</v>
      </c>
      <c r="T19" s="387">
        <f t="shared" si="22"/>
        <v>0</v>
      </c>
      <c r="U19" s="387">
        <f t="shared" si="22"/>
        <v>0</v>
      </c>
      <c r="V19" s="387">
        <f t="shared" si="22"/>
        <v>0</v>
      </c>
    </row>
    <row r="20" spans="1:22" s="112" customFormat="1" ht="15" customHeight="1">
      <c r="A20" s="199"/>
      <c r="B20" s="201"/>
      <c r="C20" s="198"/>
      <c r="D20" s="198"/>
      <c r="E20" s="198"/>
      <c r="F20" s="198"/>
      <c r="G20" s="198"/>
      <c r="H20" s="198"/>
      <c r="I20" s="206"/>
      <c r="J20" s="206"/>
      <c r="K20" s="395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</row>
    <row r="21" spans="1:22" s="112" customFormat="1" ht="15" customHeight="1">
      <c r="A21" s="202"/>
      <c r="B21" s="203"/>
      <c r="C21" s="204">
        <f>+C18+C5</f>
        <v>127161.60000000001</v>
      </c>
      <c r="D21" s="204">
        <f>D5+D18</f>
        <v>622951.68999999994</v>
      </c>
      <c r="E21" s="204">
        <f t="shared" ref="E21:I21" si="23">SUM(E19:E20)</f>
        <v>0</v>
      </c>
      <c r="F21" s="204">
        <f t="shared" si="23"/>
        <v>-2568.7097699999999</v>
      </c>
      <c r="G21" s="204">
        <f t="shared" si="23"/>
        <v>-5137.4195399999999</v>
      </c>
      <c r="H21" s="204">
        <f t="shared" si="23"/>
        <v>-7706.1293100000003</v>
      </c>
      <c r="I21" s="204">
        <f t="shared" si="23"/>
        <v>-10274.83908</v>
      </c>
      <c r="J21" s="249"/>
      <c r="K21" s="396"/>
      <c r="L21" s="208">
        <f>SUM(L6:L20)</f>
        <v>0</v>
      </c>
      <c r="M21" s="208">
        <f t="shared" ref="M21:R21" si="24">SUM(M6:M20)</f>
        <v>18140.510000000002</v>
      </c>
      <c r="N21" s="208">
        <f>SUM(N6:N20)</f>
        <v>57726.619770000005</v>
      </c>
      <c r="O21" s="208">
        <f t="shared" si="24"/>
        <v>109489.48777000001</v>
      </c>
      <c r="P21" s="208">
        <f t="shared" si="24"/>
        <v>109489.48777000001</v>
      </c>
      <c r="Q21" s="208">
        <f t="shared" si="24"/>
        <v>106920.77800000001</v>
      </c>
      <c r="R21" s="208">
        <f t="shared" si="24"/>
        <v>89557.768000000011</v>
      </c>
      <c r="S21" s="208">
        <f t="shared" ref="S21" si="25">SUM(S6:S20)</f>
        <v>4406.4799999999996</v>
      </c>
      <c r="T21" s="208">
        <f t="shared" ref="T21" si="26">SUM(T6:T20)</f>
        <v>4406.4799999999996</v>
      </c>
      <c r="U21" s="208">
        <f t="shared" ref="U21" si="27">SUM(U6:U20)</f>
        <v>4406.4799999999996</v>
      </c>
      <c r="V21" s="208">
        <f t="shared" ref="V21" si="28">SUM(V6:V20)</f>
        <v>4406.4799999999996</v>
      </c>
    </row>
    <row r="22" spans="1:22" s="112" customFormat="1" ht="15" customHeight="1">
      <c r="K22" s="397"/>
    </row>
    <row r="23" spans="1:22" s="112" customFormat="1" ht="15" customHeight="1">
      <c r="K23" s="397"/>
    </row>
    <row r="25" spans="1:22" ht="20.100000000000001" customHeight="1">
      <c r="A25" s="436" t="s">
        <v>131</v>
      </c>
      <c r="B25" s="436"/>
      <c r="C25" s="106"/>
    </row>
  </sheetData>
  <mergeCells count="27">
    <mergeCell ref="K1:R1"/>
    <mergeCell ref="Q2:Q3"/>
    <mergeCell ref="L2:L3"/>
    <mergeCell ref="N2:N3"/>
    <mergeCell ref="O2:O3"/>
    <mergeCell ref="P2:P3"/>
    <mergeCell ref="M2:M3"/>
    <mergeCell ref="A25:B25"/>
    <mergeCell ref="A1:I1"/>
    <mergeCell ref="A2:A3"/>
    <mergeCell ref="B2:B3"/>
    <mergeCell ref="D2:D3"/>
    <mergeCell ref="E2:E3"/>
    <mergeCell ref="F2:F3"/>
    <mergeCell ref="A17:I17"/>
    <mergeCell ref="C2:C3"/>
    <mergeCell ref="A4:J4"/>
    <mergeCell ref="J2:J3"/>
    <mergeCell ref="S2:S3"/>
    <mergeCell ref="T2:T3"/>
    <mergeCell ref="U2:U3"/>
    <mergeCell ref="V2:V3"/>
    <mergeCell ref="G2:G3"/>
    <mergeCell ref="H2:H3"/>
    <mergeCell ref="I2:I3"/>
    <mergeCell ref="K2:K3"/>
    <mergeCell ref="R2:R3"/>
  </mergeCells>
  <hyperlinks>
    <hyperlink ref="A25" location="Índice!A1" display="Índice" xr:uid="{00000000-0004-0000-0600-000000000000}"/>
  </hyperlinks>
  <printOptions horizontalCentered="1" verticalCentered="1"/>
  <pageMargins left="0.7" right="0.7" top="0.75" bottom="0.75" header="0.3" footer="0.3"/>
  <pageSetup paperSize="9" orientation="landscape" horizontalDpi="300" verticalDpi="300" r:id="rId1"/>
  <headerFooter alignWithMargins="0">
    <oddHeader xml:space="preserve">&amp;L6 - Investimento &amp; Amortizações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7"/>
    <pageSetUpPr fitToPage="1"/>
  </sheetPr>
  <dimension ref="A1:L109"/>
  <sheetViews>
    <sheetView showGridLines="0" zoomScale="90" zoomScaleNormal="90" workbookViewId="0">
      <selection activeCell="K13" sqref="K13"/>
    </sheetView>
  </sheetViews>
  <sheetFormatPr defaultColWidth="9.109375" defaultRowHeight="10.199999999999999"/>
  <cols>
    <col min="1" max="1" width="30.6640625" style="1" bestFit="1" customWidth="1"/>
    <col min="2" max="2" width="15.6640625" style="1" bestFit="1" customWidth="1"/>
    <col min="3" max="11" width="13.88671875" style="1" bestFit="1" customWidth="1"/>
    <col min="12" max="12" width="12.6640625" style="1" bestFit="1" customWidth="1"/>
    <col min="13" max="16384" width="9.109375" style="1"/>
  </cols>
  <sheetData>
    <row r="1" spans="1:12" ht="12.75" customHeight="1">
      <c r="A1" s="453" t="s">
        <v>195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5"/>
    </row>
    <row r="2" spans="1:12" ht="13.5" customHeight="1">
      <c r="A2" s="456"/>
      <c r="B2" s="457"/>
      <c r="C2" s="457"/>
      <c r="D2" s="457"/>
      <c r="E2" s="457"/>
      <c r="F2" s="457"/>
      <c r="G2" s="457"/>
      <c r="H2" s="457"/>
      <c r="I2" s="457"/>
      <c r="J2" s="457"/>
      <c r="K2" s="457"/>
      <c r="L2" s="458"/>
    </row>
    <row r="3" spans="1:12" s="37" customFormat="1" ht="21" customHeight="1">
      <c r="A3" s="255" t="s">
        <v>22</v>
      </c>
      <c r="B3" s="256"/>
      <c r="C3" s="256">
        <v>2021</v>
      </c>
      <c r="D3" s="256">
        <f>+C3+1</f>
        <v>2022</v>
      </c>
      <c r="E3" s="256">
        <f t="shared" ref="E3:L3" si="0">+D3+1</f>
        <v>2023</v>
      </c>
      <c r="F3" s="256">
        <f t="shared" si="0"/>
        <v>2024</v>
      </c>
      <c r="G3" s="256">
        <f t="shared" si="0"/>
        <v>2025</v>
      </c>
      <c r="H3" s="256">
        <f t="shared" si="0"/>
        <v>2026</v>
      </c>
      <c r="I3" s="256">
        <f t="shared" si="0"/>
        <v>2027</v>
      </c>
      <c r="J3" s="256">
        <f t="shared" si="0"/>
        <v>2028</v>
      </c>
      <c r="K3" s="256">
        <f t="shared" si="0"/>
        <v>2029</v>
      </c>
      <c r="L3" s="256">
        <f t="shared" si="0"/>
        <v>2030</v>
      </c>
    </row>
    <row r="4" spans="1:12" s="37" customFormat="1" ht="15" customHeight="1">
      <c r="A4" s="257"/>
      <c r="B4" s="257"/>
      <c r="C4" s="258"/>
      <c r="D4" s="258"/>
      <c r="E4" s="258"/>
      <c r="F4" s="258"/>
      <c r="G4" s="263"/>
      <c r="H4" s="258"/>
      <c r="I4" s="258"/>
      <c r="J4" s="258"/>
      <c r="K4" s="258"/>
      <c r="L4" s="268"/>
    </row>
    <row r="5" spans="1:12" s="37" customFormat="1" ht="15" customHeight="1">
      <c r="A5" s="18" t="s">
        <v>34</v>
      </c>
      <c r="B5" s="135">
        <f>+'MAPA INVESTIMENTOS'!E22</f>
        <v>451567.97399999999</v>
      </c>
      <c r="C5" s="22">
        <f>+'MAPA INVESTIMENTOS'!B24</f>
        <v>0</v>
      </c>
      <c r="D5" s="22">
        <f>+C5+'MAPA INVESTIMENTOS'!C24</f>
        <v>0</v>
      </c>
      <c r="E5" s="22">
        <v>0</v>
      </c>
      <c r="F5" s="22">
        <f>B5</f>
        <v>451567.97399999999</v>
      </c>
      <c r="G5" s="264">
        <f>+F8</f>
        <v>387058.2634285714</v>
      </c>
      <c r="H5" s="22">
        <f t="shared" ref="H5" si="1">+G8</f>
        <v>322548.55285714281</v>
      </c>
      <c r="I5" s="22">
        <f t="shared" ref="I5" si="2">+H8</f>
        <v>258038.84228571423</v>
      </c>
      <c r="J5" s="22">
        <f t="shared" ref="J5" si="3">+I8</f>
        <v>193529.13171428564</v>
      </c>
      <c r="K5" s="22">
        <f t="shared" ref="K5" si="4">+J8</f>
        <v>129019.42114285707</v>
      </c>
      <c r="L5" s="269">
        <f t="shared" ref="L5" si="5">+K8</f>
        <v>64509.710571428499</v>
      </c>
    </row>
    <row r="6" spans="1:12" s="37" customFormat="1" ht="15" customHeight="1">
      <c r="A6" s="18" t="s">
        <v>35</v>
      </c>
      <c r="B6" s="17"/>
      <c r="C6" s="22">
        <f>+C5*$B$10</f>
        <v>0</v>
      </c>
      <c r="D6" s="22">
        <f t="shared" ref="D6:F6" si="6">+D5*$B$10</f>
        <v>0</v>
      </c>
      <c r="E6" s="22">
        <v>0</v>
      </c>
      <c r="F6" s="22">
        <f t="shared" si="6"/>
        <v>20320.558829999998</v>
      </c>
      <c r="G6" s="264">
        <f>+G5*$B$10</f>
        <v>17417.621854285713</v>
      </c>
      <c r="H6" s="22">
        <f t="shared" ref="H6:L6" si="7">+H5*$B$10</f>
        <v>14514.684878571426</v>
      </c>
      <c r="I6" s="22">
        <f t="shared" si="7"/>
        <v>11611.74790285714</v>
      </c>
      <c r="J6" s="22">
        <f t="shared" si="7"/>
        <v>8708.810927142853</v>
      </c>
      <c r="K6" s="22">
        <f t="shared" si="7"/>
        <v>5805.873951428568</v>
      </c>
      <c r="L6" s="269">
        <f t="shared" si="7"/>
        <v>2902.9369757142822</v>
      </c>
    </row>
    <row r="7" spans="1:12" s="37" customFormat="1" ht="15" customHeight="1">
      <c r="A7" s="259" t="s">
        <v>36</v>
      </c>
      <c r="B7" s="20"/>
      <c r="C7" s="100">
        <v>0</v>
      </c>
      <c r="D7" s="100">
        <v>0</v>
      </c>
      <c r="E7" s="100">
        <v>0</v>
      </c>
      <c r="F7" s="100">
        <f>+$B$5/B12</f>
        <v>64509.710571428572</v>
      </c>
      <c r="G7" s="265">
        <f>+$B$5/B12</f>
        <v>64509.710571428572</v>
      </c>
      <c r="H7" s="100">
        <f>+$B$5/B12</f>
        <v>64509.710571428572</v>
      </c>
      <c r="I7" s="100">
        <f>+$B$5/B12</f>
        <v>64509.710571428572</v>
      </c>
      <c r="J7" s="100">
        <f>+$B$5/B12</f>
        <v>64509.710571428572</v>
      </c>
      <c r="K7" s="100">
        <f>+$B$5/B12</f>
        <v>64509.710571428572</v>
      </c>
      <c r="L7" s="267">
        <f>+$B$5/7</f>
        <v>64509.710571428572</v>
      </c>
    </row>
    <row r="8" spans="1:12" s="37" customFormat="1" ht="15" customHeight="1">
      <c r="A8" s="260" t="s">
        <v>37</v>
      </c>
      <c r="B8" s="261"/>
      <c r="C8" s="262">
        <f t="shared" ref="C8:D8" si="8">+C5-C7</f>
        <v>0</v>
      </c>
      <c r="D8" s="262">
        <f t="shared" si="8"/>
        <v>0</v>
      </c>
      <c r="E8" s="262">
        <v>0</v>
      </c>
      <c r="F8" s="262">
        <f t="shared" ref="F8:G8" si="9">+F5-F7</f>
        <v>387058.2634285714</v>
      </c>
      <c r="G8" s="266">
        <f t="shared" si="9"/>
        <v>322548.55285714281</v>
      </c>
      <c r="H8" s="262">
        <f t="shared" ref="H8:L8" si="10">+H5-H7</f>
        <v>258038.84228571423</v>
      </c>
      <c r="I8" s="262">
        <f t="shared" si="10"/>
        <v>193529.13171428564</v>
      </c>
      <c r="J8" s="262">
        <f t="shared" si="10"/>
        <v>129019.42114285707</v>
      </c>
      <c r="K8" s="262">
        <f t="shared" si="10"/>
        <v>64509.710571428499</v>
      </c>
      <c r="L8" s="270">
        <f t="shared" si="10"/>
        <v>-7.2759576141834259E-11</v>
      </c>
    </row>
    <row r="9" spans="1:12" s="37" customFormat="1" ht="15" customHeight="1" thickBot="1">
      <c r="A9" s="36"/>
      <c r="B9" s="36"/>
      <c r="C9" s="36"/>
      <c r="D9" s="36"/>
      <c r="E9" s="36"/>
      <c r="F9" s="36"/>
      <c r="G9" s="36"/>
    </row>
    <row r="10" spans="1:12" s="37" customFormat="1" ht="15" customHeight="1" thickBot="1">
      <c r="A10" s="136" t="s">
        <v>38</v>
      </c>
      <c r="B10" s="99">
        <v>4.4999999999999998E-2</v>
      </c>
    </row>
    <row r="11" spans="1:12" s="37" customFormat="1" ht="15" customHeight="1" thickBot="1"/>
    <row r="12" spans="1:12" s="37" customFormat="1" ht="15" customHeight="1" thickBot="1">
      <c r="A12" s="253" t="s">
        <v>157</v>
      </c>
      <c r="B12" s="254">
        <v>7</v>
      </c>
    </row>
    <row r="13" spans="1:12" s="37" customFormat="1" ht="15" customHeight="1"/>
    <row r="14" spans="1:12" s="37" customFormat="1" ht="15" customHeight="1">
      <c r="A14" s="453" t="s">
        <v>169</v>
      </c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5"/>
    </row>
    <row r="15" spans="1:12" s="37" customFormat="1" ht="15" customHeight="1">
      <c r="A15" s="456"/>
      <c r="B15" s="457"/>
      <c r="C15" s="457"/>
      <c r="D15" s="457"/>
      <c r="E15" s="457"/>
      <c r="F15" s="457"/>
      <c r="G15" s="457"/>
      <c r="H15" s="457"/>
      <c r="I15" s="457"/>
      <c r="J15" s="457"/>
      <c r="K15" s="457"/>
      <c r="L15" s="458"/>
    </row>
    <row r="16" spans="1:12" s="37" customFormat="1" ht="15" customHeight="1">
      <c r="A16" s="255" t="s">
        <v>22</v>
      </c>
      <c r="B16" s="256"/>
      <c r="C16" s="256">
        <v>2020</v>
      </c>
      <c r="D16" s="256">
        <f>+C16+1</f>
        <v>2021</v>
      </c>
      <c r="E16" s="256">
        <f t="shared" ref="E16" si="11">+D16+1</f>
        <v>2022</v>
      </c>
      <c r="F16" s="256">
        <f t="shared" ref="F16" si="12">+E16+1</f>
        <v>2023</v>
      </c>
      <c r="G16" s="256">
        <f t="shared" ref="G16" si="13">+F16+1</f>
        <v>2024</v>
      </c>
      <c r="H16" s="256">
        <f t="shared" ref="H16" si="14">+G16+1</f>
        <v>2025</v>
      </c>
      <c r="I16" s="256">
        <f t="shared" ref="I16" si="15">+H16+1</f>
        <v>2026</v>
      </c>
      <c r="J16" s="256">
        <f t="shared" ref="J16" si="16">+I16+1</f>
        <v>2027</v>
      </c>
      <c r="K16" s="256">
        <f t="shared" ref="K16" si="17">+J16+1</f>
        <v>2028</v>
      </c>
      <c r="L16" s="256">
        <f t="shared" ref="L16" si="18">+K16+1</f>
        <v>2029</v>
      </c>
    </row>
    <row r="17" spans="1:12" s="37" customFormat="1" ht="15" customHeight="1">
      <c r="A17" s="257"/>
      <c r="B17" s="257"/>
      <c r="C17" s="258"/>
      <c r="D17" s="258"/>
      <c r="E17" s="258"/>
      <c r="F17" s="258"/>
      <c r="G17" s="258"/>
      <c r="H17" s="258"/>
      <c r="I17" s="258"/>
      <c r="J17" s="258"/>
      <c r="K17" s="258"/>
      <c r="L17" s="258"/>
    </row>
    <row r="18" spans="1:12" s="37" customFormat="1" ht="15" customHeight="1">
      <c r="A18" s="18" t="s">
        <v>34</v>
      </c>
      <c r="B18" s="135">
        <v>0</v>
      </c>
      <c r="C18" s="22">
        <f>+B18</f>
        <v>0</v>
      </c>
      <c r="D18" s="22">
        <f>+C21</f>
        <v>0</v>
      </c>
      <c r="E18" s="22">
        <f t="shared" ref="E18:L18" si="19">+D21</f>
        <v>0</v>
      </c>
      <c r="F18" s="22">
        <f t="shared" si="19"/>
        <v>0</v>
      </c>
      <c r="G18" s="22">
        <f t="shared" si="19"/>
        <v>0</v>
      </c>
      <c r="H18" s="22">
        <f t="shared" si="19"/>
        <v>0</v>
      </c>
      <c r="I18" s="22">
        <f t="shared" si="19"/>
        <v>0</v>
      </c>
      <c r="J18" s="22">
        <f t="shared" si="19"/>
        <v>0</v>
      </c>
      <c r="K18" s="22">
        <f t="shared" si="19"/>
        <v>0</v>
      </c>
      <c r="L18" s="22">
        <f t="shared" si="19"/>
        <v>0</v>
      </c>
    </row>
    <row r="19" spans="1:12" s="37" customFormat="1" ht="15" customHeight="1">
      <c r="A19" s="18" t="s">
        <v>35</v>
      </c>
      <c r="B19" s="17"/>
      <c r="C19" s="22">
        <f>+C18*$B$23</f>
        <v>0</v>
      </c>
      <c r="D19" s="22">
        <f t="shared" ref="D19:L19" si="20">+D18*$B$23</f>
        <v>0</v>
      </c>
      <c r="E19" s="22">
        <f t="shared" si="20"/>
        <v>0</v>
      </c>
      <c r="F19" s="22">
        <f t="shared" si="20"/>
        <v>0</v>
      </c>
      <c r="G19" s="22">
        <f t="shared" si="20"/>
        <v>0</v>
      </c>
      <c r="H19" s="22">
        <f t="shared" si="20"/>
        <v>0</v>
      </c>
      <c r="I19" s="22">
        <f t="shared" si="20"/>
        <v>0</v>
      </c>
      <c r="J19" s="22">
        <f t="shared" si="20"/>
        <v>0</v>
      </c>
      <c r="K19" s="22">
        <f t="shared" si="20"/>
        <v>0</v>
      </c>
      <c r="L19" s="22">
        <f t="shared" si="20"/>
        <v>0</v>
      </c>
    </row>
    <row r="20" spans="1:12" s="37" customFormat="1" ht="15" customHeight="1">
      <c r="A20" s="259" t="s">
        <v>36</v>
      </c>
      <c r="B20" s="20"/>
      <c r="C20" s="100"/>
      <c r="D20" s="100"/>
      <c r="E20" s="100">
        <f>+$B$18/8</f>
        <v>0</v>
      </c>
      <c r="F20" s="100">
        <f t="shared" ref="F20:L20" si="21">+$B$18/8</f>
        <v>0</v>
      </c>
      <c r="G20" s="100">
        <f t="shared" si="21"/>
        <v>0</v>
      </c>
      <c r="H20" s="100">
        <f t="shared" si="21"/>
        <v>0</v>
      </c>
      <c r="I20" s="100">
        <f t="shared" si="21"/>
        <v>0</v>
      </c>
      <c r="J20" s="100">
        <f t="shared" si="21"/>
        <v>0</v>
      </c>
      <c r="K20" s="100">
        <f t="shared" si="21"/>
        <v>0</v>
      </c>
      <c r="L20" s="100">
        <f t="shared" si="21"/>
        <v>0</v>
      </c>
    </row>
    <row r="21" spans="1:12" s="37" customFormat="1" ht="15" customHeight="1">
      <c r="A21" s="260" t="s">
        <v>37</v>
      </c>
      <c r="B21" s="261"/>
      <c r="C21" s="262">
        <f>+C18-C20</f>
        <v>0</v>
      </c>
      <c r="D21" s="262">
        <f t="shared" ref="D21:L21" si="22">+D18-D20</f>
        <v>0</v>
      </c>
      <c r="E21" s="262">
        <f t="shared" si="22"/>
        <v>0</v>
      </c>
      <c r="F21" s="262">
        <f t="shared" si="22"/>
        <v>0</v>
      </c>
      <c r="G21" s="262">
        <f t="shared" si="22"/>
        <v>0</v>
      </c>
      <c r="H21" s="262">
        <f t="shared" si="22"/>
        <v>0</v>
      </c>
      <c r="I21" s="262">
        <f t="shared" si="22"/>
        <v>0</v>
      </c>
      <c r="J21" s="262">
        <f t="shared" si="22"/>
        <v>0</v>
      </c>
      <c r="K21" s="262">
        <f t="shared" si="22"/>
        <v>0</v>
      </c>
      <c r="L21" s="262">
        <f t="shared" si="22"/>
        <v>0</v>
      </c>
    </row>
    <row r="22" spans="1:12" s="37" customFormat="1" ht="15" customHeight="1" thickBot="1">
      <c r="A22" s="36"/>
      <c r="B22" s="36"/>
      <c r="C22" s="36"/>
      <c r="D22" s="36"/>
      <c r="E22" s="36"/>
      <c r="F22" s="36"/>
      <c r="G22" s="36"/>
    </row>
    <row r="23" spans="1:12" s="37" customFormat="1" ht="15" customHeight="1" thickBot="1">
      <c r="A23" s="136" t="s">
        <v>38</v>
      </c>
      <c r="B23" s="99">
        <v>0.04</v>
      </c>
    </row>
    <row r="24" spans="1:12" ht="20.100000000000001" customHeight="1" thickBo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2" ht="15" customHeight="1" thickBot="1">
      <c r="A25" s="253" t="s">
        <v>157</v>
      </c>
      <c r="B25" s="254">
        <v>10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">
    <mergeCell ref="A1:L2"/>
    <mergeCell ref="A14:L15"/>
  </mergeCells>
  <pageMargins left="0.74803149606299213" right="0.74803149606299213" top="0.98425196850393704" bottom="0.98425196850393704" header="0.51181102362204722" footer="0.51181102362204722"/>
  <pageSetup paperSize="9" scale="76" fitToHeight="14" orientation="landscape" r:id="rId1"/>
  <headerFooter alignWithMargins="0">
    <oddHeader>&amp;L&amp;"Arial,Negrito"7- Serviço da Dívida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749992370372631"/>
    <pageSetUpPr fitToPage="1"/>
  </sheetPr>
  <dimension ref="A2:H245"/>
  <sheetViews>
    <sheetView showGridLines="0" zoomScaleNormal="100" workbookViewId="0">
      <selection activeCell="M20" sqref="M20"/>
    </sheetView>
  </sheetViews>
  <sheetFormatPr defaultColWidth="9.109375" defaultRowHeight="10.199999999999999"/>
  <cols>
    <col min="1" max="1" width="21.88671875" style="1" bestFit="1" customWidth="1"/>
    <col min="2" max="2" width="11.33203125" style="1" bestFit="1" customWidth="1"/>
    <col min="3" max="3" width="11.109375" style="1" bestFit="1" customWidth="1"/>
    <col min="4" max="8" width="11.44140625" style="1" bestFit="1" customWidth="1"/>
    <col min="9" max="16384" width="9.109375" style="1"/>
  </cols>
  <sheetData>
    <row r="2" spans="1:8" ht="10.8" thickBot="1"/>
    <row r="3" spans="1:8" ht="20.25" customHeight="1">
      <c r="A3" s="376" t="s">
        <v>22</v>
      </c>
      <c r="B3" s="114">
        <v>2021</v>
      </c>
      <c r="C3" s="114">
        <f>+B3+1</f>
        <v>2022</v>
      </c>
      <c r="D3" s="114">
        <f t="shared" ref="D3:F3" si="0">+C3+1</f>
        <v>2023</v>
      </c>
      <c r="E3" s="114">
        <f t="shared" si="0"/>
        <v>2024</v>
      </c>
      <c r="F3" s="114">
        <f t="shared" si="0"/>
        <v>2025</v>
      </c>
      <c r="G3" s="114">
        <f t="shared" ref="G3" si="1">+F3+1</f>
        <v>2026</v>
      </c>
      <c r="H3" s="115">
        <f t="shared" ref="H3" si="2">+G3+1</f>
        <v>2027</v>
      </c>
    </row>
    <row r="4" spans="1:8" ht="15" customHeight="1">
      <c r="A4" s="377" t="s">
        <v>79</v>
      </c>
      <c r="B4" s="375">
        <f>-'DR SNC'!C29</f>
        <v>2550</v>
      </c>
      <c r="C4" s="379">
        <f>-'DR SNC'!D29</f>
        <v>0</v>
      </c>
      <c r="D4" s="379">
        <f>-'DR SNC'!E29</f>
        <v>2550</v>
      </c>
      <c r="E4" s="379">
        <f>-'DR SNC'!F29</f>
        <v>2550</v>
      </c>
      <c r="F4" s="379">
        <f>-'DR SNC'!G29</f>
        <v>2550</v>
      </c>
      <c r="G4" s="379">
        <f>-'DR SNC'!H29</f>
        <v>2550</v>
      </c>
      <c r="H4" s="380">
        <f>-'DR SNC'!I29</f>
        <v>2550</v>
      </c>
    </row>
    <row r="5" spans="1:8" ht="15" customHeight="1">
      <c r="A5" s="377" t="s">
        <v>80</v>
      </c>
      <c r="B5" s="379">
        <f>-'DR SNC'!C30</f>
        <v>116195.82449999984</v>
      </c>
      <c r="C5" s="379">
        <f>-'DR SNC'!D30</f>
        <v>0</v>
      </c>
      <c r="D5" s="379">
        <f>-'DR SNC'!E30</f>
        <v>89649.949548600038</v>
      </c>
      <c r="E5" s="379">
        <f>-'DR SNC'!F30</f>
        <v>135599.87911176012</v>
      </c>
      <c r="F5" s="379">
        <f>-'DR SNC'!G30</f>
        <v>102434.53153651212</v>
      </c>
      <c r="G5" s="379">
        <f>-'DR SNC'!H30</f>
        <v>178760.23697650977</v>
      </c>
      <c r="H5" s="380">
        <f>-'DR SNC'!I30</f>
        <v>245106.06696727322</v>
      </c>
    </row>
    <row r="6" spans="1:8" s="6" customFormat="1" ht="15" customHeight="1" thickBot="1">
      <c r="A6" s="378" t="s">
        <v>33</v>
      </c>
      <c r="B6" s="139">
        <f>SUM(B4:B5)</f>
        <v>118745.82449999984</v>
      </c>
      <c r="C6" s="381">
        <f>SUM(C4:C5)</f>
        <v>0</v>
      </c>
      <c r="D6" s="381">
        <f>SUM(D4:D5)</f>
        <v>92199.949548600038</v>
      </c>
      <c r="E6" s="381">
        <f>SUM(E4:E5)</f>
        <v>138149.87911176012</v>
      </c>
      <c r="F6" s="381">
        <f>SUM(F4:F5)</f>
        <v>104984.53153651212</v>
      </c>
      <c r="G6" s="381">
        <f t="shared" ref="G6:H6" si="3">SUM(G4:G5)</f>
        <v>181310.23697650977</v>
      </c>
      <c r="H6" s="382">
        <f t="shared" si="3"/>
        <v>247656.06696727322</v>
      </c>
    </row>
    <row r="7" spans="1:8" ht="15" customHeight="1">
      <c r="A7" s="14"/>
    </row>
    <row r="8" spans="1:8" ht="15" customHeight="1">
      <c r="A8" s="15"/>
    </row>
    <row r="9" spans="1:8" ht="20.100000000000001" customHeight="1">
      <c r="A9" s="106" t="s">
        <v>131</v>
      </c>
    </row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</sheetData>
  <hyperlinks>
    <hyperlink ref="A9" location="Índice!A1" display="Índice" xr:uid="{00000000-0004-0000-08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&amp;L&amp;"Arial,Negrito"8 - Impostos sobre o Rendimento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749992370372631"/>
    <pageSetUpPr fitToPage="1"/>
  </sheetPr>
  <dimension ref="A1:H25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1" sqref="D21"/>
    </sheetView>
  </sheetViews>
  <sheetFormatPr defaultColWidth="9.109375" defaultRowHeight="10.199999999999999"/>
  <cols>
    <col min="1" max="1" width="33.88671875" style="1" bestFit="1" customWidth="1"/>
    <col min="2" max="2" width="17.5546875" style="1" customWidth="1"/>
    <col min="3" max="3" width="17.6640625" style="1" customWidth="1"/>
    <col min="4" max="5" width="19.33203125" style="1" bestFit="1" customWidth="1"/>
    <col min="6" max="6" width="18.109375" style="1" bestFit="1" customWidth="1"/>
    <col min="7" max="8" width="16.109375" style="1" bestFit="1" customWidth="1"/>
    <col min="9" max="16384" width="9.109375" style="1"/>
  </cols>
  <sheetData>
    <row r="1" spans="1:8" s="37" customFormat="1" ht="23.25" customHeight="1">
      <c r="A1" s="140" t="s">
        <v>22</v>
      </c>
      <c r="B1" s="103">
        <v>2021</v>
      </c>
      <c r="C1" s="103">
        <f>+B1+1</f>
        <v>2022</v>
      </c>
      <c r="D1" s="103">
        <f t="shared" ref="D1:F1" si="0">+C1+1</f>
        <v>2023</v>
      </c>
      <c r="E1" s="103">
        <f t="shared" si="0"/>
        <v>2024</v>
      </c>
      <c r="F1" s="103">
        <f t="shared" si="0"/>
        <v>2025</v>
      </c>
      <c r="G1" s="103">
        <f t="shared" ref="G1" si="1">+F1+1</f>
        <v>2026</v>
      </c>
      <c r="H1" s="103">
        <f t="shared" ref="H1" si="2">+G1+1</f>
        <v>2027</v>
      </c>
    </row>
    <row r="2" spans="1:8" s="37" customFormat="1" ht="14.1" customHeight="1">
      <c r="A2" s="21" t="s">
        <v>23</v>
      </c>
      <c r="B2" s="21"/>
      <c r="C2" s="17"/>
      <c r="D2" s="17"/>
      <c r="E2" s="17"/>
      <c r="F2" s="17"/>
      <c r="G2" s="17"/>
      <c r="H2" s="17"/>
    </row>
    <row r="3" spans="1:8" s="37" customFormat="1" ht="14.1" customHeight="1">
      <c r="A3" s="18" t="s">
        <v>24</v>
      </c>
      <c r="B3" s="66">
        <f>+'DR SNC'!C7</f>
        <v>7613376.0599999996</v>
      </c>
      <c r="C3" s="66">
        <f>+'DR SNC'!D7</f>
        <v>5617197.96</v>
      </c>
      <c r="D3" s="66">
        <f>+'DR SNC'!E7</f>
        <v>5898057.858</v>
      </c>
      <c r="E3" s="66">
        <f>+'DR SNC'!F7</f>
        <v>6487863.6438000007</v>
      </c>
      <c r="F3" s="66">
        <f>+'DR SNC'!G7</f>
        <v>6812256.8259900007</v>
      </c>
      <c r="G3" s="66">
        <f>+'DR SNC'!H7</f>
        <v>7834095.3498884998</v>
      </c>
      <c r="H3" s="66">
        <f>+'DR SNC'!I7</f>
        <v>8617504.8848773502</v>
      </c>
    </row>
    <row r="4" spans="1:8" s="37" customFormat="1" ht="18.899999999999999" customHeight="1">
      <c r="A4" s="141" t="s">
        <v>25</v>
      </c>
      <c r="B4" s="142">
        <f>SUM(B3:B3)</f>
        <v>7613376.0599999996</v>
      </c>
      <c r="C4" s="142">
        <f>SUM(C3:C3)</f>
        <v>5617197.96</v>
      </c>
      <c r="D4" s="142">
        <f>SUM(D3:D3)</f>
        <v>5898057.858</v>
      </c>
      <c r="E4" s="142">
        <f>SUM(E3:E3)</f>
        <v>6487863.6438000007</v>
      </c>
      <c r="F4" s="142">
        <f>SUM(F3:F3)</f>
        <v>6812256.8259900007</v>
      </c>
      <c r="G4" s="142">
        <f t="shared" ref="G4:H4" si="3">SUM(G3:G3)</f>
        <v>7834095.3498884998</v>
      </c>
      <c r="H4" s="142">
        <f t="shared" si="3"/>
        <v>8617504.8848773502</v>
      </c>
    </row>
    <row r="5" spans="1:8" s="37" customFormat="1" ht="14.1" customHeight="1">
      <c r="A5" s="19" t="s">
        <v>26</v>
      </c>
      <c r="B5" s="67"/>
      <c r="C5" s="22"/>
      <c r="D5" s="22"/>
      <c r="E5" s="22"/>
      <c r="F5" s="22"/>
      <c r="G5" s="22"/>
      <c r="H5" s="22"/>
    </row>
    <row r="6" spans="1:8" s="37" customFormat="1" ht="14.1" customHeight="1">
      <c r="A6" s="18" t="s">
        <v>27</v>
      </c>
      <c r="B6" s="66">
        <f>+'Capital Circulante'!B18</f>
        <v>4956545.58</v>
      </c>
      <c r="C6" s="66">
        <f>+'Capital Circulante'!C18</f>
        <v>3553935.64</v>
      </c>
      <c r="D6" s="66">
        <f>+'Capital Circulante'!D18</f>
        <v>2949028.929</v>
      </c>
      <c r="E6" s="66">
        <f>+'Capital Circulante'!E18</f>
        <v>3243931.8219000003</v>
      </c>
      <c r="F6" s="66">
        <f>+'Capital Circulante'!F18</f>
        <v>3406128.4129950004</v>
      </c>
      <c r="G6" s="66">
        <f>+'Capital Circulante'!G18</f>
        <v>3917047.6749442499</v>
      </c>
      <c r="H6" s="66">
        <f>+'Capital Circulante'!H18</f>
        <v>4308752.4424386751</v>
      </c>
    </row>
    <row r="7" spans="1:8" s="37" customFormat="1" ht="14.1" customHeight="1">
      <c r="A7" s="18" t="s">
        <v>28</v>
      </c>
      <c r="B7" s="66">
        <f>+'63_G. Pess.'!C15</f>
        <v>731846.19</v>
      </c>
      <c r="C7" s="66">
        <f>+'63_G. Pess.'!D15</f>
        <v>1081626.93</v>
      </c>
      <c r="D7" s="66">
        <f>+'63_G. Pess.'!E15</f>
        <v>1180795.2299999997</v>
      </c>
      <c r="E7" s="66">
        <f>+'63_G. Pess.'!F15</f>
        <v>1279963.5299999996</v>
      </c>
      <c r="F7" s="66">
        <f>+'63_G. Pess.'!G15</f>
        <v>1296158.9399999995</v>
      </c>
      <c r="G7" s="66">
        <f>+'63_G. Pess.'!H15</f>
        <v>1296158.9399999995</v>
      </c>
      <c r="H7" s="66">
        <f>+'63_G. Pess.'!I15</f>
        <v>1296158.9399999995</v>
      </c>
    </row>
    <row r="8" spans="1:8" s="37" customFormat="1" ht="14.1" customHeight="1">
      <c r="A8" s="18" t="s">
        <v>29</v>
      </c>
      <c r="B8" s="66">
        <f>+'Fornecimento  Serviços Externos'!C12</f>
        <v>1180801.3500000001</v>
      </c>
      <c r="C8" s="66">
        <f>+'Fornecimento  Serviços Externos'!D12</f>
        <v>1309346.8700000001</v>
      </c>
      <c r="D8" s="66">
        <f>+'Fornecimento  Serviços Externos'!E12</f>
        <v>1359053.3073400001</v>
      </c>
      <c r="E8" s="66">
        <f>+'Fornecimento  Serviços Externos'!F12</f>
        <v>1494708.6380740001</v>
      </c>
      <c r="F8" s="66">
        <f>+'Fornecimento  Serviços Externos'!G12</f>
        <v>1498696.5017178003</v>
      </c>
      <c r="G8" s="66">
        <f>+'Fornecimento  Serviços Externos'!H12</f>
        <v>1645160.0234765848</v>
      </c>
      <c r="H8" s="66">
        <f>+'Fornecimento  Serviços Externos'!I12</f>
        <v>1723500.9769754701</v>
      </c>
    </row>
    <row r="9" spans="1:8" s="69" customFormat="1" ht="24.75" customHeight="1">
      <c r="A9" s="215" t="s">
        <v>144</v>
      </c>
      <c r="B9" s="216">
        <f>+'Serviço da Divida Emp. Bancario'!C6+'Serviço da Divida Emp. Bancario'!C7</f>
        <v>0</v>
      </c>
      <c r="C9" s="216">
        <f>+'Serviço da Divida Emp. Bancario'!D6+'Serviço da Divida Emp. Bancario'!D7</f>
        <v>0</v>
      </c>
      <c r="D9" s="216">
        <f>+'Serviço da Divida Emp. Bancario'!E6+'Serviço da Divida Emp. Bancario'!E7</f>
        <v>0</v>
      </c>
      <c r="E9" s="216">
        <f>+'Serviço da Divida Emp. Bancario'!F6+'Serviço da Divida Emp. Bancario'!F7</f>
        <v>84830.269401428566</v>
      </c>
      <c r="F9" s="216">
        <f>+'Serviço da Divida Emp. Bancario'!G6+'Serviço da Divida Emp. Bancario'!G7</f>
        <v>81927.332425714281</v>
      </c>
      <c r="G9" s="216">
        <f>+'Serviço da Divida Emp. Bancario'!H6+'Serviço da Divida Emp. Bancario'!H7</f>
        <v>79024.395449999996</v>
      </c>
      <c r="H9" s="216">
        <f>+'Serviço da Divida Emp. Bancario'!I6+'Serviço da Divida Emp. Bancario'!I7</f>
        <v>76121.458474285711</v>
      </c>
    </row>
    <row r="10" spans="1:8" s="37" customFormat="1" ht="19.5" customHeight="1">
      <c r="A10" s="18" t="s">
        <v>30</v>
      </c>
      <c r="B10" s="65">
        <f>+'Mov dos Impostos S Rendi'!B6</f>
        <v>118745.82449999984</v>
      </c>
      <c r="C10" s="65">
        <f>+'Mov dos Impostos S Rendi'!C6</f>
        <v>0</v>
      </c>
      <c r="D10" s="65">
        <f>+'Mov dos Impostos S Rendi'!D6</f>
        <v>92199.949548600038</v>
      </c>
      <c r="E10" s="65">
        <f>+'Mov dos Impostos S Rendi'!E6</f>
        <v>138149.87911176012</v>
      </c>
      <c r="F10" s="65">
        <f>+'Mov dos Impostos S Rendi'!F6</f>
        <v>104984.53153651212</v>
      </c>
      <c r="G10" s="65">
        <f>+'Mov dos Impostos S Rendi'!G6</f>
        <v>181310.23697650977</v>
      </c>
      <c r="H10" s="65">
        <f>+'Mov dos Impostos S Rendi'!H6</f>
        <v>247656.06696727322</v>
      </c>
    </row>
    <row r="11" spans="1:8" s="37" customFormat="1" ht="18.899999999999999" customHeight="1">
      <c r="A11" s="141" t="s">
        <v>31</v>
      </c>
      <c r="B11" s="143">
        <f>SUM(B6:B10)</f>
        <v>6987938.9444999993</v>
      </c>
      <c r="C11" s="143">
        <f>SUM(C6:C10)</f>
        <v>5944909.4400000004</v>
      </c>
      <c r="D11" s="143">
        <f>SUM(D6:D10)</f>
        <v>5581077.4158886001</v>
      </c>
      <c r="E11" s="143">
        <f>SUM(E6:E10)</f>
        <v>6241584.1384871891</v>
      </c>
      <c r="F11" s="143">
        <f>SUM(F6:F10)</f>
        <v>6387895.7186750267</v>
      </c>
      <c r="G11" s="143">
        <f t="shared" ref="G11:H11" si="4">SUM(G6:G10)</f>
        <v>7118701.2708473438</v>
      </c>
      <c r="H11" s="143">
        <f t="shared" si="4"/>
        <v>7652189.8848557035</v>
      </c>
    </row>
    <row r="12" spans="1:8" s="37" customFormat="1" ht="18.899999999999999" customHeight="1">
      <c r="A12" s="144" t="s">
        <v>32</v>
      </c>
      <c r="B12" s="170">
        <f>+B4-B11</f>
        <v>625437.11550000031</v>
      </c>
      <c r="C12" s="170">
        <f>+C4-C11</f>
        <v>-327711.48000000045</v>
      </c>
      <c r="D12" s="170">
        <f>+D4-D11</f>
        <v>316980.44211139996</v>
      </c>
      <c r="E12" s="170">
        <f>+E4-E11</f>
        <v>246279.50531281158</v>
      </c>
      <c r="F12" s="170">
        <f>+F4-F11</f>
        <v>424361.10731497407</v>
      </c>
      <c r="G12" s="170">
        <f t="shared" ref="G12:H12" si="5">+G4-G11</f>
        <v>715394.07904115599</v>
      </c>
      <c r="H12" s="170">
        <f t="shared" si="5"/>
        <v>965315.00002164673</v>
      </c>
    </row>
    <row r="13" spans="1:8" ht="15" customHeight="1">
      <c r="A13" s="14"/>
      <c r="B13" s="5"/>
      <c r="C13" s="5"/>
      <c r="D13" s="5"/>
      <c r="E13" s="5"/>
      <c r="F13" s="5"/>
    </row>
    <row r="14" spans="1:8" ht="15" customHeight="1"/>
    <row r="15" spans="1:8" ht="20.100000000000001" customHeight="1">
      <c r="A15" s="106" t="s">
        <v>131</v>
      </c>
    </row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</sheetData>
  <hyperlinks>
    <hyperlink ref="A15" location="Índice!A1" display="Índice" xr:uid="{00000000-0004-0000-09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&amp;L&amp;"Arial,Negrito"9 - Orçamento da Tesouraria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47"/>
    <pageSetUpPr fitToPage="1"/>
  </sheetPr>
  <dimension ref="A1:H239"/>
  <sheetViews>
    <sheetView showGridLines="0" zoomScaleNormal="100" workbookViewId="0">
      <selection activeCell="K24" sqref="K24"/>
    </sheetView>
  </sheetViews>
  <sheetFormatPr defaultColWidth="9.109375" defaultRowHeight="10.199999999999999"/>
  <cols>
    <col min="1" max="1" width="40.33203125" style="1" bestFit="1" customWidth="1"/>
    <col min="2" max="3" width="14.44140625" style="1" bestFit="1" customWidth="1"/>
    <col min="4" max="4" width="12.88671875" style="1" bestFit="1" customWidth="1"/>
    <col min="5" max="8" width="11.6640625" style="1" bestFit="1" customWidth="1"/>
    <col min="9" max="16384" width="9.109375" style="1"/>
  </cols>
  <sheetData>
    <row r="1" spans="1:8" s="37" customFormat="1" ht="20.100000000000001" customHeight="1">
      <c r="A1" s="145"/>
      <c r="B1" s="103">
        <v>2021</v>
      </c>
      <c r="C1" s="103">
        <f t="shared" ref="C1:F1" si="0">+B1+1</f>
        <v>2022</v>
      </c>
      <c r="D1" s="103">
        <f t="shared" si="0"/>
        <v>2023</v>
      </c>
      <c r="E1" s="103">
        <f t="shared" si="0"/>
        <v>2024</v>
      </c>
      <c r="F1" s="103">
        <f t="shared" si="0"/>
        <v>2025</v>
      </c>
      <c r="G1" s="103">
        <f t="shared" ref="G1" si="1">+F1+1</f>
        <v>2026</v>
      </c>
      <c r="H1" s="103">
        <f t="shared" ref="H1" si="2">+G1+1</f>
        <v>2027</v>
      </c>
    </row>
    <row r="2" spans="1:8" s="37" customFormat="1" ht="15" customHeight="1">
      <c r="A2" s="137" t="s">
        <v>59</v>
      </c>
      <c r="B2" s="147"/>
      <c r="C2" s="147"/>
      <c r="D2" s="147"/>
      <c r="E2" s="147"/>
      <c r="F2" s="147"/>
      <c r="G2" s="147"/>
      <c r="H2" s="147"/>
    </row>
    <row r="3" spans="1:8" s="37" customFormat="1" ht="15" customHeight="1">
      <c r="A3" s="70" t="s">
        <v>6</v>
      </c>
      <c r="B3" s="75">
        <f>+'MAPA INVESTIMENTOS'!B5+'MAPA INVESTIMENTOS'!B6+'MAPA INVESTIMENTOS'!B7+'MAPA INVESTIMENTOS'!B8+'MAPA INVESTIMENTOS'!B9</f>
        <v>2943.1</v>
      </c>
      <c r="C3" s="75">
        <f>+'MAPA INVESTIMENTOS'!C2+'MAPA INVESTIMENTOS'!C4+'MAPA INVESTIMENTOS'!C10+'MAPA INVESTIMENTOS'!C11</f>
        <v>420508.43999999994</v>
      </c>
      <c r="D3" s="75">
        <f>+'MAPA INVESTIMENTOS'!D3</f>
        <v>0</v>
      </c>
      <c r="E3" s="71">
        <v>0</v>
      </c>
      <c r="F3" s="71">
        <v>0</v>
      </c>
      <c r="G3" s="71">
        <v>0</v>
      </c>
      <c r="H3" s="71">
        <v>0</v>
      </c>
    </row>
    <row r="4" spans="1:8" s="37" customFormat="1" ht="15" customHeight="1">
      <c r="A4" s="70" t="s">
        <v>41</v>
      </c>
      <c r="B4" s="71">
        <f>IF('Capital Circulante'!B8&gt;0,'Capital Circulante'!B8,0)</f>
        <v>536047.89250000007</v>
      </c>
      <c r="C4" s="71">
        <f>IF('Capital Circulante'!C8&gt;0,'Capital Circulante'!C8,0)</f>
        <v>0</v>
      </c>
      <c r="D4" s="71">
        <f>IF('Capital Circulante'!D8&gt;0,'Capital Circulante'!D8,0)</f>
        <v>19262.788388333225</v>
      </c>
      <c r="E4" s="71">
        <f>IF('Capital Circulante'!E8&gt;0,'Capital Circulante'!E8,0)</f>
        <v>37845.871255500067</v>
      </c>
      <c r="F4" s="71">
        <f>IF('Capital Circulante'!F8&gt;0,'Capital Circulante'!F8,0)</f>
        <v>26700.443212183425</v>
      </c>
      <c r="G4" s="71">
        <f>IF('Capital Circulante'!G8&gt;0,'Capital Circulante'!G8,0)</f>
        <v>72947.916844976251</v>
      </c>
      <c r="H4" s="71">
        <f>IF('Capital Circulante'!H8&gt;0,'Capital Circulante'!H8,0)</f>
        <v>58755.715124163777</v>
      </c>
    </row>
    <row r="5" spans="1:8" s="37" customFormat="1" ht="15" customHeight="1">
      <c r="A5" s="70" t="s">
        <v>60</v>
      </c>
      <c r="B5" s="75">
        <f>+'Serviço da Divida Emp. Bancario'!C7+'Serviço da Divida Emp. Bancario'!C20</f>
        <v>0</v>
      </c>
      <c r="C5" s="75">
        <f>+'Serviço da Divida Emp. Bancario'!D7+'Serviço da Divida Emp. Bancario'!D20</f>
        <v>0</v>
      </c>
      <c r="D5" s="75">
        <f>+'Serviço da Divida Emp. Bancario'!E7+'Serviço da Divida Emp. Bancario'!E20</f>
        <v>0</v>
      </c>
      <c r="E5" s="75">
        <f>+'Serviço da Divida Emp. Bancario'!F7+'Serviço da Divida Emp. Bancario'!F20</f>
        <v>64509.710571428572</v>
      </c>
      <c r="F5" s="75">
        <f>+'Serviço da Divida Emp. Bancario'!G7+'Serviço da Divida Emp. Bancario'!G20</f>
        <v>64509.710571428572</v>
      </c>
      <c r="G5" s="75">
        <f>+'Serviço da Divida Emp. Bancario'!H7+'Serviço da Divida Emp. Bancario'!H20</f>
        <v>64509.710571428572</v>
      </c>
      <c r="H5" s="75">
        <f>+'Serviço da Divida Emp. Bancario'!I7+'Serviço da Divida Emp. Bancario'!I20</f>
        <v>64509.710571428572</v>
      </c>
    </row>
    <row r="6" spans="1:8" s="69" customFormat="1" ht="15" customHeight="1">
      <c r="A6" s="73" t="s">
        <v>61</v>
      </c>
      <c r="B6" s="71">
        <f>+'Mov dos Impostos S Rendi'!B6</f>
        <v>118745.82449999984</v>
      </c>
      <c r="C6" s="71">
        <f>+'Mov dos Impostos S Rendi'!C6</f>
        <v>0</v>
      </c>
      <c r="D6" s="71">
        <f>+'Mov dos Impostos S Rendi'!D6</f>
        <v>92199.949548600038</v>
      </c>
      <c r="E6" s="71">
        <f>+'Mov dos Impostos S Rendi'!E6</f>
        <v>138149.87911176012</v>
      </c>
      <c r="F6" s="71">
        <f>+'Mov dos Impostos S Rendi'!F6</f>
        <v>104984.53153651212</v>
      </c>
      <c r="G6" s="71">
        <f>+'Mov dos Impostos S Rendi'!G6</f>
        <v>181310.23697650977</v>
      </c>
      <c r="H6" s="71">
        <f>+'Mov dos Impostos S Rendi'!H6</f>
        <v>247656.06696727322</v>
      </c>
    </row>
    <row r="7" spans="1:8" s="37" customFormat="1" ht="15" customHeight="1">
      <c r="A7" s="72" t="s">
        <v>77</v>
      </c>
      <c r="B7" s="75">
        <f>+'Serviço da Divida Emp. Bancario'!C19</f>
        <v>0</v>
      </c>
      <c r="C7" s="75">
        <f>+'Serviço da Divida Emp. Bancario'!D19</f>
        <v>0</v>
      </c>
      <c r="D7" s="75">
        <f>+'Serviço da Divida Emp. Bancario'!E19</f>
        <v>0</v>
      </c>
      <c r="E7" s="75">
        <f>+'Serviço da Divida Emp. Bancario'!F19</f>
        <v>0</v>
      </c>
      <c r="F7" s="75">
        <f>+'Serviço da Divida Emp. Bancario'!G19</f>
        <v>0</v>
      </c>
      <c r="G7" s="75">
        <f>+'Serviço da Divida Emp. Bancario'!H19</f>
        <v>0</v>
      </c>
      <c r="H7" s="75">
        <f>+'Serviço da Divida Emp. Bancario'!I19</f>
        <v>0</v>
      </c>
    </row>
    <row r="8" spans="1:8" s="37" customFormat="1" ht="15" customHeight="1">
      <c r="A8" s="146" t="s">
        <v>0</v>
      </c>
      <c r="B8" s="76">
        <f>SUM(B3:B7)</f>
        <v>657736.81699999992</v>
      </c>
      <c r="C8" s="76">
        <f>SUM(C3:C7)</f>
        <v>420508.43999999994</v>
      </c>
      <c r="D8" s="76">
        <f>SUM(D3:D7)</f>
        <v>111462.73793693326</v>
      </c>
      <c r="E8" s="76">
        <f>SUM(E3:E7)</f>
        <v>240505.46093868878</v>
      </c>
      <c r="F8" s="76">
        <f>SUM(F3:F7)</f>
        <v>196194.68532012412</v>
      </c>
      <c r="G8" s="76">
        <f t="shared" ref="G8:H8" si="3">SUM(G3:G7)</f>
        <v>318767.86439291458</v>
      </c>
      <c r="H8" s="76">
        <f t="shared" si="3"/>
        <v>370921.49266286555</v>
      </c>
    </row>
    <row r="9" spans="1:8" s="37" customFormat="1" ht="15" customHeight="1">
      <c r="A9" s="137" t="s">
        <v>62</v>
      </c>
      <c r="B9" s="147"/>
      <c r="C9" s="147"/>
      <c r="D9" s="147"/>
      <c r="E9" s="147"/>
      <c r="F9" s="147"/>
      <c r="G9" s="147"/>
      <c r="H9" s="147"/>
    </row>
    <row r="10" spans="1:8" s="37" customFormat="1" ht="15" customHeight="1">
      <c r="A10" s="70" t="s">
        <v>63</v>
      </c>
      <c r="B10" s="71">
        <v>2000</v>
      </c>
      <c r="C10" s="71"/>
      <c r="D10" s="71"/>
      <c r="E10" s="71"/>
      <c r="F10" s="71"/>
      <c r="G10" s="71"/>
      <c r="H10" s="71"/>
    </row>
    <row r="11" spans="1:8" s="37" customFormat="1" ht="15" customHeight="1">
      <c r="A11" s="70" t="s">
        <v>143</v>
      </c>
      <c r="B11" s="75">
        <f>+'MAPA INVESTIMENTOS'!B22</f>
        <v>76296.960000000006</v>
      </c>
      <c r="C11" s="75">
        <f>+'MAPA INVESTIMENTOS'!C22</f>
        <v>373771.01399999997</v>
      </c>
      <c r="D11" s="75">
        <f>+'MAPA INVESTIMENTOS'!D22</f>
        <v>1500</v>
      </c>
      <c r="E11" s="71"/>
      <c r="F11" s="71"/>
      <c r="G11" s="71"/>
      <c r="H11" s="71"/>
    </row>
    <row r="12" spans="1:8" s="37" customFormat="1" ht="15" customHeight="1">
      <c r="A12" s="70" t="s">
        <v>5</v>
      </c>
      <c r="B12" s="71">
        <f>+'DR SNC'!C18</f>
        <v>722016.35999999929</v>
      </c>
      <c r="C12" s="71">
        <f>+'DR SNC'!D18</f>
        <v>-328302.31999999995</v>
      </c>
      <c r="D12" s="71">
        <f>+'DR SNC'!E18</f>
        <v>460045.03166000021</v>
      </c>
      <c r="E12" s="71">
        <f>+'DR SNC'!F18</f>
        <v>718440.32982600061</v>
      </c>
      <c r="F12" s="71">
        <f>+'DR SNC'!G18</f>
        <v>612272.97127720062</v>
      </c>
      <c r="G12" s="71">
        <f>+'DR SNC'!H18</f>
        <v>975728.71146766562</v>
      </c>
      <c r="H12" s="71">
        <f>+'DR SNC'!I18</f>
        <v>1289092.5254632058</v>
      </c>
    </row>
    <row r="13" spans="1:8" s="37" customFormat="1" ht="15" customHeight="1">
      <c r="A13" s="70" t="s">
        <v>66</v>
      </c>
      <c r="B13" s="405">
        <f>IF('Capital Circulante'!B8&lt;0,-'Capital Circulante'!B8,0)</f>
        <v>0</v>
      </c>
      <c r="C13" s="405">
        <f>IF('Capital Circulante'!C8&lt;0,-'Capital Circulante'!C8,0)</f>
        <v>177060.30166666675</v>
      </c>
      <c r="D13" s="405">
        <f>IF('Capital Circulante'!D8&lt;0,-'Capital Circulante'!D8,0)</f>
        <v>0</v>
      </c>
      <c r="E13" s="405">
        <f>IF('Capital Circulante'!E8&lt;0,-'Capital Circulante'!E8,0)</f>
        <v>0</v>
      </c>
      <c r="F13" s="405">
        <f>IF('Capital Circulante'!F8&lt;0,-'Capital Circulante'!F8,0)</f>
        <v>0</v>
      </c>
      <c r="G13" s="405">
        <f>IF('Capital Circulante'!G8&lt;0,-'Capital Circulante'!G8,0)</f>
        <v>0</v>
      </c>
      <c r="H13" s="405">
        <f>IF('Capital Circulante'!H8&lt;0,-'Capital Circulante'!H8,0)</f>
        <v>0</v>
      </c>
    </row>
    <row r="14" spans="1:8" s="37" customFormat="1" ht="15" customHeight="1">
      <c r="A14" s="70" t="s">
        <v>178</v>
      </c>
      <c r="B14" s="71">
        <v>20000</v>
      </c>
      <c r="C14" s="71"/>
      <c r="D14" s="71"/>
      <c r="E14" s="71"/>
      <c r="F14" s="71"/>
      <c r="G14" s="71"/>
      <c r="H14" s="71"/>
    </row>
    <row r="15" spans="1:8" s="37" customFormat="1" ht="15" customHeight="1">
      <c r="A15" s="70" t="s">
        <v>156</v>
      </c>
      <c r="B15" s="75">
        <f>+'MAPA INVESTIMENTOS'!B24</f>
        <v>0</v>
      </c>
      <c r="C15" s="75">
        <f>+'MAPA INVESTIMENTOS'!C24</f>
        <v>0</v>
      </c>
      <c r="D15" s="75">
        <f>+'MAPA INVESTIMENTOS'!D24</f>
        <v>0</v>
      </c>
      <c r="E15" s="71">
        <f>[1]MapaServiçoDívida!H5</f>
        <v>0</v>
      </c>
      <c r="F15" s="71">
        <f>[1]MapaServiçoDívida!I5</f>
        <v>0</v>
      </c>
      <c r="G15" s="71">
        <v>0</v>
      </c>
      <c r="H15" s="71">
        <v>0</v>
      </c>
    </row>
    <row r="16" spans="1:8" s="37" customFormat="1" ht="15" customHeight="1">
      <c r="A16" s="146" t="s">
        <v>0</v>
      </c>
      <c r="B16" s="76">
        <f>SUM(B10:B15)</f>
        <v>820313.31999999925</v>
      </c>
      <c r="C16" s="76">
        <f>SUM(C10:C15)</f>
        <v>222528.99566666677</v>
      </c>
      <c r="D16" s="76">
        <f>SUM(D10:D15)</f>
        <v>461545.03166000021</v>
      </c>
      <c r="E16" s="76">
        <f>SUM(E10:E15)</f>
        <v>718440.32982600061</v>
      </c>
      <c r="F16" s="76">
        <f>SUM(F10:F15)</f>
        <v>612272.97127720062</v>
      </c>
      <c r="G16" s="76">
        <f t="shared" ref="G16:H16" si="4">SUM(G10:G15)</f>
        <v>975728.71146766562</v>
      </c>
      <c r="H16" s="76">
        <f t="shared" si="4"/>
        <v>1289092.5254632058</v>
      </c>
    </row>
    <row r="17" spans="1:8" s="37" customFormat="1" ht="15" customHeight="1">
      <c r="A17" s="146" t="s">
        <v>7</v>
      </c>
      <c r="B17" s="74">
        <f>B16-B8</f>
        <v>162576.50299999933</v>
      </c>
      <c r="C17" s="74">
        <f>C16-C8</f>
        <v>-197979.44433333317</v>
      </c>
      <c r="D17" s="74">
        <f>D16-D8</f>
        <v>350082.29372306692</v>
      </c>
      <c r="E17" s="74">
        <f>E16-E8</f>
        <v>477934.86888731184</v>
      </c>
      <c r="F17" s="74">
        <f>F16-F8</f>
        <v>416078.28595707647</v>
      </c>
      <c r="G17" s="74">
        <f t="shared" ref="G17:H17" si="5">G16-G8</f>
        <v>656960.84707475104</v>
      </c>
      <c r="H17" s="74">
        <f t="shared" si="5"/>
        <v>918171.03280034021</v>
      </c>
    </row>
    <row r="18" spans="1:8" s="37" customFormat="1" ht="15" customHeight="1">
      <c r="A18" s="146" t="s">
        <v>64</v>
      </c>
      <c r="B18" s="76">
        <v>0</v>
      </c>
      <c r="C18" s="76">
        <f>B19</f>
        <v>162576.50299999933</v>
      </c>
      <c r="D18" s="76">
        <f>C19</f>
        <v>-35402.941333333845</v>
      </c>
      <c r="E18" s="76">
        <f>D19</f>
        <v>314679.35238973307</v>
      </c>
      <c r="F18" s="76">
        <f>E19</f>
        <v>792614.22127704485</v>
      </c>
      <c r="G18" s="76">
        <f t="shared" ref="G18:H18" si="6">F19</f>
        <v>1208692.5072341212</v>
      </c>
      <c r="H18" s="76">
        <f t="shared" si="6"/>
        <v>1865653.3543088723</v>
      </c>
    </row>
    <row r="19" spans="1:8" s="37" customFormat="1" ht="15" customHeight="1">
      <c r="A19" s="144" t="s">
        <v>65</v>
      </c>
      <c r="B19" s="148">
        <f>B18+B17</f>
        <v>162576.50299999933</v>
      </c>
      <c r="C19" s="148">
        <f>C18+C17</f>
        <v>-35402.941333333845</v>
      </c>
      <c r="D19" s="148">
        <f>D18+D17</f>
        <v>314679.35238973307</v>
      </c>
      <c r="E19" s="148">
        <f>E18+E17</f>
        <v>792614.22127704485</v>
      </c>
      <c r="F19" s="148">
        <f>F18+F17</f>
        <v>1208692.5072341212</v>
      </c>
      <c r="G19" s="148">
        <f t="shared" ref="G19:H19" si="7">G18+G17</f>
        <v>1865653.3543088723</v>
      </c>
      <c r="H19" s="148">
        <f t="shared" si="7"/>
        <v>2783824.3871092126</v>
      </c>
    </row>
    <row r="20" spans="1:8" s="37" customFormat="1" ht="15" customHeight="1">
      <c r="A20" s="36"/>
      <c r="B20" s="36"/>
      <c r="C20" s="36"/>
      <c r="D20" s="36"/>
      <c r="E20" s="36"/>
      <c r="F20" s="36"/>
    </row>
    <row r="21" spans="1:8" ht="20.100000000000001" customHeight="1">
      <c r="A21" s="106" t="s">
        <v>131</v>
      </c>
    </row>
    <row r="22" spans="1:8" ht="15" customHeight="1"/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</sheetData>
  <hyperlinks>
    <hyperlink ref="A21" location="Índice!A1" display="Índice" xr:uid="{00000000-0004-0000-0A00-000000000000}"/>
  </hyperlinks>
  <pageMargins left="0.74803149606299213" right="0.74803149606299213" top="0.98425196850393704" bottom="0.98425196850393704" header="0.51181102362204722" footer="0.51181102362204722"/>
  <pageSetup paperSize="9" scale="83" fitToHeight="14" orientation="landscape" r:id="rId1"/>
  <headerFooter alignWithMargins="0">
    <oddHeader>&amp;L&amp;"Arial,Negrito"10 - Plano Financeiro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L36"/>
  <sheetViews>
    <sheetView showGridLines="0" topLeftCell="A6" zoomScaleNormal="100" zoomScaleSheetLayoutView="100" workbookViewId="0">
      <selection activeCell="F7" sqref="F7"/>
    </sheetView>
  </sheetViews>
  <sheetFormatPr defaultRowHeight="12.75" customHeight="1"/>
  <cols>
    <col min="1" max="1" width="65.109375" style="84" customWidth="1"/>
    <col min="2" max="2" width="7.44140625" style="84" customWidth="1"/>
    <col min="3" max="8" width="12.88671875" style="84" bestFit="1" customWidth="1"/>
    <col min="9" max="12" width="12.44140625" style="84" bestFit="1" customWidth="1"/>
    <col min="13" max="237" width="9.109375" style="84"/>
    <col min="238" max="238" width="8.6640625" style="84" customWidth="1"/>
    <col min="239" max="239" width="62.88671875" style="84" customWidth="1"/>
    <col min="240" max="240" width="7.6640625" style="84" customWidth="1"/>
    <col min="241" max="242" width="12.6640625" style="84" customWidth="1"/>
    <col min="243" max="493" width="9.109375" style="84"/>
    <col min="494" max="494" width="8.6640625" style="84" customWidth="1"/>
    <col min="495" max="495" width="62.88671875" style="84" customWidth="1"/>
    <col min="496" max="496" width="7.6640625" style="84" customWidth="1"/>
    <col min="497" max="498" width="12.6640625" style="84" customWidth="1"/>
    <col min="499" max="749" width="9.109375" style="84"/>
    <col min="750" max="750" width="8.6640625" style="84" customWidth="1"/>
    <col min="751" max="751" width="62.88671875" style="84" customWidth="1"/>
    <col min="752" max="752" width="7.6640625" style="84" customWidth="1"/>
    <col min="753" max="754" width="12.6640625" style="84" customWidth="1"/>
    <col min="755" max="1005" width="9.109375" style="84"/>
    <col min="1006" max="1006" width="8.6640625" style="84" customWidth="1"/>
    <col min="1007" max="1007" width="62.88671875" style="84" customWidth="1"/>
    <col min="1008" max="1008" width="7.6640625" style="84" customWidth="1"/>
    <col min="1009" max="1010" width="12.6640625" style="84" customWidth="1"/>
    <col min="1011" max="1261" width="9.109375" style="84"/>
    <col min="1262" max="1262" width="8.6640625" style="84" customWidth="1"/>
    <col min="1263" max="1263" width="62.88671875" style="84" customWidth="1"/>
    <col min="1264" max="1264" width="7.6640625" style="84" customWidth="1"/>
    <col min="1265" max="1266" width="12.6640625" style="84" customWidth="1"/>
    <col min="1267" max="1517" width="9.109375" style="84"/>
    <col min="1518" max="1518" width="8.6640625" style="84" customWidth="1"/>
    <col min="1519" max="1519" width="62.88671875" style="84" customWidth="1"/>
    <col min="1520" max="1520" width="7.6640625" style="84" customWidth="1"/>
    <col min="1521" max="1522" width="12.6640625" style="84" customWidth="1"/>
    <col min="1523" max="1773" width="9.109375" style="84"/>
    <col min="1774" max="1774" width="8.6640625" style="84" customWidth="1"/>
    <col min="1775" max="1775" width="62.88671875" style="84" customWidth="1"/>
    <col min="1776" max="1776" width="7.6640625" style="84" customWidth="1"/>
    <col min="1777" max="1778" width="12.6640625" style="84" customWidth="1"/>
    <col min="1779" max="2029" width="9.109375" style="84"/>
    <col min="2030" max="2030" width="8.6640625" style="84" customWidth="1"/>
    <col min="2031" max="2031" width="62.88671875" style="84" customWidth="1"/>
    <col min="2032" max="2032" width="7.6640625" style="84" customWidth="1"/>
    <col min="2033" max="2034" width="12.6640625" style="84" customWidth="1"/>
    <col min="2035" max="2285" width="9.109375" style="84"/>
    <col min="2286" max="2286" width="8.6640625" style="84" customWidth="1"/>
    <col min="2287" max="2287" width="62.88671875" style="84" customWidth="1"/>
    <col min="2288" max="2288" width="7.6640625" style="84" customWidth="1"/>
    <col min="2289" max="2290" width="12.6640625" style="84" customWidth="1"/>
    <col min="2291" max="2541" width="9.109375" style="84"/>
    <col min="2542" max="2542" width="8.6640625" style="84" customWidth="1"/>
    <col min="2543" max="2543" width="62.88671875" style="84" customWidth="1"/>
    <col min="2544" max="2544" width="7.6640625" style="84" customWidth="1"/>
    <col min="2545" max="2546" width="12.6640625" style="84" customWidth="1"/>
    <col min="2547" max="2797" width="9.109375" style="84"/>
    <col min="2798" max="2798" width="8.6640625" style="84" customWidth="1"/>
    <col min="2799" max="2799" width="62.88671875" style="84" customWidth="1"/>
    <col min="2800" max="2800" width="7.6640625" style="84" customWidth="1"/>
    <col min="2801" max="2802" width="12.6640625" style="84" customWidth="1"/>
    <col min="2803" max="3053" width="9.109375" style="84"/>
    <col min="3054" max="3054" width="8.6640625" style="84" customWidth="1"/>
    <col min="3055" max="3055" width="62.88671875" style="84" customWidth="1"/>
    <col min="3056" max="3056" width="7.6640625" style="84" customWidth="1"/>
    <col min="3057" max="3058" width="12.6640625" style="84" customWidth="1"/>
    <col min="3059" max="3309" width="9.109375" style="84"/>
    <col min="3310" max="3310" width="8.6640625" style="84" customWidth="1"/>
    <col min="3311" max="3311" width="62.88671875" style="84" customWidth="1"/>
    <col min="3312" max="3312" width="7.6640625" style="84" customWidth="1"/>
    <col min="3313" max="3314" width="12.6640625" style="84" customWidth="1"/>
    <col min="3315" max="3565" width="9.109375" style="84"/>
    <col min="3566" max="3566" width="8.6640625" style="84" customWidth="1"/>
    <col min="3567" max="3567" width="62.88671875" style="84" customWidth="1"/>
    <col min="3568" max="3568" width="7.6640625" style="84" customWidth="1"/>
    <col min="3569" max="3570" width="12.6640625" style="84" customWidth="1"/>
    <col min="3571" max="3821" width="9.109375" style="84"/>
    <col min="3822" max="3822" width="8.6640625" style="84" customWidth="1"/>
    <col min="3823" max="3823" width="62.88671875" style="84" customWidth="1"/>
    <col min="3824" max="3824" width="7.6640625" style="84" customWidth="1"/>
    <col min="3825" max="3826" width="12.6640625" style="84" customWidth="1"/>
    <col min="3827" max="4077" width="9.109375" style="84"/>
    <col min="4078" max="4078" width="8.6640625" style="84" customWidth="1"/>
    <col min="4079" max="4079" width="62.88671875" style="84" customWidth="1"/>
    <col min="4080" max="4080" width="7.6640625" style="84" customWidth="1"/>
    <col min="4081" max="4082" width="12.6640625" style="84" customWidth="1"/>
    <col min="4083" max="4333" width="9.109375" style="84"/>
    <col min="4334" max="4334" width="8.6640625" style="84" customWidth="1"/>
    <col min="4335" max="4335" width="62.88671875" style="84" customWidth="1"/>
    <col min="4336" max="4336" width="7.6640625" style="84" customWidth="1"/>
    <col min="4337" max="4338" width="12.6640625" style="84" customWidth="1"/>
    <col min="4339" max="4589" width="9.109375" style="84"/>
    <col min="4590" max="4590" width="8.6640625" style="84" customWidth="1"/>
    <col min="4591" max="4591" width="62.88671875" style="84" customWidth="1"/>
    <col min="4592" max="4592" width="7.6640625" style="84" customWidth="1"/>
    <col min="4593" max="4594" width="12.6640625" style="84" customWidth="1"/>
    <col min="4595" max="4845" width="9.109375" style="84"/>
    <col min="4846" max="4846" width="8.6640625" style="84" customWidth="1"/>
    <col min="4847" max="4847" width="62.88671875" style="84" customWidth="1"/>
    <col min="4848" max="4848" width="7.6640625" style="84" customWidth="1"/>
    <col min="4849" max="4850" width="12.6640625" style="84" customWidth="1"/>
    <col min="4851" max="5101" width="9.109375" style="84"/>
    <col min="5102" max="5102" width="8.6640625" style="84" customWidth="1"/>
    <col min="5103" max="5103" width="62.88671875" style="84" customWidth="1"/>
    <col min="5104" max="5104" width="7.6640625" style="84" customWidth="1"/>
    <col min="5105" max="5106" width="12.6640625" style="84" customWidth="1"/>
    <col min="5107" max="5357" width="9.109375" style="84"/>
    <col min="5358" max="5358" width="8.6640625" style="84" customWidth="1"/>
    <col min="5359" max="5359" width="62.88671875" style="84" customWidth="1"/>
    <col min="5360" max="5360" width="7.6640625" style="84" customWidth="1"/>
    <col min="5361" max="5362" width="12.6640625" style="84" customWidth="1"/>
    <col min="5363" max="5613" width="9.109375" style="84"/>
    <col min="5614" max="5614" width="8.6640625" style="84" customWidth="1"/>
    <col min="5615" max="5615" width="62.88671875" style="84" customWidth="1"/>
    <col min="5616" max="5616" width="7.6640625" style="84" customWidth="1"/>
    <col min="5617" max="5618" width="12.6640625" style="84" customWidth="1"/>
    <col min="5619" max="5869" width="9.109375" style="84"/>
    <col min="5870" max="5870" width="8.6640625" style="84" customWidth="1"/>
    <col min="5871" max="5871" width="62.88671875" style="84" customWidth="1"/>
    <col min="5872" max="5872" width="7.6640625" style="84" customWidth="1"/>
    <col min="5873" max="5874" width="12.6640625" style="84" customWidth="1"/>
    <col min="5875" max="6125" width="9.109375" style="84"/>
    <col min="6126" max="6126" width="8.6640625" style="84" customWidth="1"/>
    <col min="6127" max="6127" width="62.88671875" style="84" customWidth="1"/>
    <col min="6128" max="6128" width="7.6640625" style="84" customWidth="1"/>
    <col min="6129" max="6130" width="12.6640625" style="84" customWidth="1"/>
    <col min="6131" max="6381" width="9.109375" style="84"/>
    <col min="6382" max="6382" width="8.6640625" style="84" customWidth="1"/>
    <col min="6383" max="6383" width="62.88671875" style="84" customWidth="1"/>
    <col min="6384" max="6384" width="7.6640625" style="84" customWidth="1"/>
    <col min="6385" max="6386" width="12.6640625" style="84" customWidth="1"/>
    <col min="6387" max="6637" width="9.109375" style="84"/>
    <col min="6638" max="6638" width="8.6640625" style="84" customWidth="1"/>
    <col min="6639" max="6639" width="62.88671875" style="84" customWidth="1"/>
    <col min="6640" max="6640" width="7.6640625" style="84" customWidth="1"/>
    <col min="6641" max="6642" width="12.6640625" style="84" customWidth="1"/>
    <col min="6643" max="6893" width="9.109375" style="84"/>
    <col min="6894" max="6894" width="8.6640625" style="84" customWidth="1"/>
    <col min="6895" max="6895" width="62.88671875" style="84" customWidth="1"/>
    <col min="6896" max="6896" width="7.6640625" style="84" customWidth="1"/>
    <col min="6897" max="6898" width="12.6640625" style="84" customWidth="1"/>
    <col min="6899" max="7149" width="9.109375" style="84"/>
    <col min="7150" max="7150" width="8.6640625" style="84" customWidth="1"/>
    <col min="7151" max="7151" width="62.88671875" style="84" customWidth="1"/>
    <col min="7152" max="7152" width="7.6640625" style="84" customWidth="1"/>
    <col min="7153" max="7154" width="12.6640625" style="84" customWidth="1"/>
    <col min="7155" max="7405" width="9.109375" style="84"/>
    <col min="7406" max="7406" width="8.6640625" style="84" customWidth="1"/>
    <col min="7407" max="7407" width="62.88671875" style="84" customWidth="1"/>
    <col min="7408" max="7408" width="7.6640625" style="84" customWidth="1"/>
    <col min="7409" max="7410" width="12.6640625" style="84" customWidth="1"/>
    <col min="7411" max="7661" width="9.109375" style="84"/>
    <col min="7662" max="7662" width="8.6640625" style="84" customWidth="1"/>
    <col min="7663" max="7663" width="62.88671875" style="84" customWidth="1"/>
    <col min="7664" max="7664" width="7.6640625" style="84" customWidth="1"/>
    <col min="7665" max="7666" width="12.6640625" style="84" customWidth="1"/>
    <col min="7667" max="7917" width="9.109375" style="84"/>
    <col min="7918" max="7918" width="8.6640625" style="84" customWidth="1"/>
    <col min="7919" max="7919" width="62.88671875" style="84" customWidth="1"/>
    <col min="7920" max="7920" width="7.6640625" style="84" customWidth="1"/>
    <col min="7921" max="7922" width="12.6640625" style="84" customWidth="1"/>
    <col min="7923" max="8173" width="9.109375" style="84"/>
    <col min="8174" max="8174" width="8.6640625" style="84" customWidth="1"/>
    <col min="8175" max="8175" width="62.88671875" style="84" customWidth="1"/>
    <col min="8176" max="8176" width="7.6640625" style="84" customWidth="1"/>
    <col min="8177" max="8178" width="12.6640625" style="84" customWidth="1"/>
    <col min="8179" max="8429" width="9.109375" style="84"/>
    <col min="8430" max="8430" width="8.6640625" style="84" customWidth="1"/>
    <col min="8431" max="8431" width="62.88671875" style="84" customWidth="1"/>
    <col min="8432" max="8432" width="7.6640625" style="84" customWidth="1"/>
    <col min="8433" max="8434" width="12.6640625" style="84" customWidth="1"/>
    <col min="8435" max="8685" width="9.109375" style="84"/>
    <col min="8686" max="8686" width="8.6640625" style="84" customWidth="1"/>
    <col min="8687" max="8687" width="62.88671875" style="84" customWidth="1"/>
    <col min="8688" max="8688" width="7.6640625" style="84" customWidth="1"/>
    <col min="8689" max="8690" width="12.6640625" style="84" customWidth="1"/>
    <col min="8691" max="8941" width="9.109375" style="84"/>
    <col min="8942" max="8942" width="8.6640625" style="84" customWidth="1"/>
    <col min="8943" max="8943" width="62.88671875" style="84" customWidth="1"/>
    <col min="8944" max="8944" width="7.6640625" style="84" customWidth="1"/>
    <col min="8945" max="8946" width="12.6640625" style="84" customWidth="1"/>
    <col min="8947" max="9197" width="9.109375" style="84"/>
    <col min="9198" max="9198" width="8.6640625" style="84" customWidth="1"/>
    <col min="9199" max="9199" width="62.88671875" style="84" customWidth="1"/>
    <col min="9200" max="9200" width="7.6640625" style="84" customWidth="1"/>
    <col min="9201" max="9202" width="12.6640625" style="84" customWidth="1"/>
    <col min="9203" max="9453" width="9.109375" style="84"/>
    <col min="9454" max="9454" width="8.6640625" style="84" customWidth="1"/>
    <col min="9455" max="9455" width="62.88671875" style="84" customWidth="1"/>
    <col min="9456" max="9456" width="7.6640625" style="84" customWidth="1"/>
    <col min="9457" max="9458" width="12.6640625" style="84" customWidth="1"/>
    <col min="9459" max="9709" width="9.109375" style="84"/>
    <col min="9710" max="9710" width="8.6640625" style="84" customWidth="1"/>
    <col min="9711" max="9711" width="62.88671875" style="84" customWidth="1"/>
    <col min="9712" max="9712" width="7.6640625" style="84" customWidth="1"/>
    <col min="9713" max="9714" width="12.6640625" style="84" customWidth="1"/>
    <col min="9715" max="9965" width="9.109375" style="84"/>
    <col min="9966" max="9966" width="8.6640625" style="84" customWidth="1"/>
    <col min="9967" max="9967" width="62.88671875" style="84" customWidth="1"/>
    <col min="9968" max="9968" width="7.6640625" style="84" customWidth="1"/>
    <col min="9969" max="9970" width="12.6640625" style="84" customWidth="1"/>
    <col min="9971" max="10221" width="9.109375" style="84"/>
    <col min="10222" max="10222" width="8.6640625" style="84" customWidth="1"/>
    <col min="10223" max="10223" width="62.88671875" style="84" customWidth="1"/>
    <col min="10224" max="10224" width="7.6640625" style="84" customWidth="1"/>
    <col min="10225" max="10226" width="12.6640625" style="84" customWidth="1"/>
    <col min="10227" max="10477" width="9.109375" style="84"/>
    <col min="10478" max="10478" width="8.6640625" style="84" customWidth="1"/>
    <col min="10479" max="10479" width="62.88671875" style="84" customWidth="1"/>
    <col min="10480" max="10480" width="7.6640625" style="84" customWidth="1"/>
    <col min="10481" max="10482" width="12.6640625" style="84" customWidth="1"/>
    <col min="10483" max="10733" width="9.109375" style="84"/>
    <col min="10734" max="10734" width="8.6640625" style="84" customWidth="1"/>
    <col min="10735" max="10735" width="62.88671875" style="84" customWidth="1"/>
    <col min="10736" max="10736" width="7.6640625" style="84" customWidth="1"/>
    <col min="10737" max="10738" width="12.6640625" style="84" customWidth="1"/>
    <col min="10739" max="10989" width="9.109375" style="84"/>
    <col min="10990" max="10990" width="8.6640625" style="84" customWidth="1"/>
    <col min="10991" max="10991" width="62.88671875" style="84" customWidth="1"/>
    <col min="10992" max="10992" width="7.6640625" style="84" customWidth="1"/>
    <col min="10993" max="10994" width="12.6640625" style="84" customWidth="1"/>
    <col min="10995" max="11245" width="9.109375" style="84"/>
    <col min="11246" max="11246" width="8.6640625" style="84" customWidth="1"/>
    <col min="11247" max="11247" width="62.88671875" style="84" customWidth="1"/>
    <col min="11248" max="11248" width="7.6640625" style="84" customWidth="1"/>
    <col min="11249" max="11250" width="12.6640625" style="84" customWidth="1"/>
    <col min="11251" max="11501" width="9.109375" style="84"/>
    <col min="11502" max="11502" width="8.6640625" style="84" customWidth="1"/>
    <col min="11503" max="11503" width="62.88671875" style="84" customWidth="1"/>
    <col min="11504" max="11504" width="7.6640625" style="84" customWidth="1"/>
    <col min="11505" max="11506" width="12.6640625" style="84" customWidth="1"/>
    <col min="11507" max="11757" width="9.109375" style="84"/>
    <col min="11758" max="11758" width="8.6640625" style="84" customWidth="1"/>
    <col min="11759" max="11759" width="62.88671875" style="84" customWidth="1"/>
    <col min="11760" max="11760" width="7.6640625" style="84" customWidth="1"/>
    <col min="11761" max="11762" width="12.6640625" style="84" customWidth="1"/>
    <col min="11763" max="12013" width="9.109375" style="84"/>
    <col min="12014" max="12014" width="8.6640625" style="84" customWidth="1"/>
    <col min="12015" max="12015" width="62.88671875" style="84" customWidth="1"/>
    <col min="12016" max="12016" width="7.6640625" style="84" customWidth="1"/>
    <col min="12017" max="12018" width="12.6640625" style="84" customWidth="1"/>
    <col min="12019" max="12269" width="9.109375" style="84"/>
    <col min="12270" max="12270" width="8.6640625" style="84" customWidth="1"/>
    <col min="12271" max="12271" width="62.88671875" style="84" customWidth="1"/>
    <col min="12272" max="12272" width="7.6640625" style="84" customWidth="1"/>
    <col min="12273" max="12274" width="12.6640625" style="84" customWidth="1"/>
    <col min="12275" max="12525" width="9.109375" style="84"/>
    <col min="12526" max="12526" width="8.6640625" style="84" customWidth="1"/>
    <col min="12527" max="12527" width="62.88671875" style="84" customWidth="1"/>
    <col min="12528" max="12528" width="7.6640625" style="84" customWidth="1"/>
    <col min="12529" max="12530" width="12.6640625" style="84" customWidth="1"/>
    <col min="12531" max="12781" width="9.109375" style="84"/>
    <col min="12782" max="12782" width="8.6640625" style="84" customWidth="1"/>
    <col min="12783" max="12783" width="62.88671875" style="84" customWidth="1"/>
    <col min="12784" max="12784" width="7.6640625" style="84" customWidth="1"/>
    <col min="12785" max="12786" width="12.6640625" style="84" customWidth="1"/>
    <col min="12787" max="13037" width="9.109375" style="84"/>
    <col min="13038" max="13038" width="8.6640625" style="84" customWidth="1"/>
    <col min="13039" max="13039" width="62.88671875" style="84" customWidth="1"/>
    <col min="13040" max="13040" width="7.6640625" style="84" customWidth="1"/>
    <col min="13041" max="13042" width="12.6640625" style="84" customWidth="1"/>
    <col min="13043" max="13293" width="9.109375" style="84"/>
    <col min="13294" max="13294" width="8.6640625" style="84" customWidth="1"/>
    <col min="13295" max="13295" width="62.88671875" style="84" customWidth="1"/>
    <col min="13296" max="13296" width="7.6640625" style="84" customWidth="1"/>
    <col min="13297" max="13298" width="12.6640625" style="84" customWidth="1"/>
    <col min="13299" max="13549" width="9.109375" style="84"/>
    <col min="13550" max="13550" width="8.6640625" style="84" customWidth="1"/>
    <col min="13551" max="13551" width="62.88671875" style="84" customWidth="1"/>
    <col min="13552" max="13552" width="7.6640625" style="84" customWidth="1"/>
    <col min="13553" max="13554" width="12.6640625" style="84" customWidth="1"/>
    <col min="13555" max="13805" width="9.109375" style="84"/>
    <col min="13806" max="13806" width="8.6640625" style="84" customWidth="1"/>
    <col min="13807" max="13807" width="62.88671875" style="84" customWidth="1"/>
    <col min="13808" max="13808" width="7.6640625" style="84" customWidth="1"/>
    <col min="13809" max="13810" width="12.6640625" style="84" customWidth="1"/>
    <col min="13811" max="14061" width="9.109375" style="84"/>
    <col min="14062" max="14062" width="8.6640625" style="84" customWidth="1"/>
    <col min="14063" max="14063" width="62.88671875" style="84" customWidth="1"/>
    <col min="14064" max="14064" width="7.6640625" style="84" customWidth="1"/>
    <col min="14065" max="14066" width="12.6640625" style="84" customWidth="1"/>
    <col min="14067" max="14317" width="9.109375" style="84"/>
    <col min="14318" max="14318" width="8.6640625" style="84" customWidth="1"/>
    <col min="14319" max="14319" width="62.88671875" style="84" customWidth="1"/>
    <col min="14320" max="14320" width="7.6640625" style="84" customWidth="1"/>
    <col min="14321" max="14322" width="12.6640625" style="84" customWidth="1"/>
    <col min="14323" max="14573" width="9.109375" style="84"/>
    <col min="14574" max="14574" width="8.6640625" style="84" customWidth="1"/>
    <col min="14575" max="14575" width="62.88671875" style="84" customWidth="1"/>
    <col min="14576" max="14576" width="7.6640625" style="84" customWidth="1"/>
    <col min="14577" max="14578" width="12.6640625" style="84" customWidth="1"/>
    <col min="14579" max="14829" width="9.109375" style="84"/>
    <col min="14830" max="14830" width="8.6640625" style="84" customWidth="1"/>
    <col min="14831" max="14831" width="62.88671875" style="84" customWidth="1"/>
    <col min="14832" max="14832" width="7.6640625" style="84" customWidth="1"/>
    <col min="14833" max="14834" width="12.6640625" style="84" customWidth="1"/>
    <col min="14835" max="15085" width="9.109375" style="84"/>
    <col min="15086" max="15086" width="8.6640625" style="84" customWidth="1"/>
    <col min="15087" max="15087" width="62.88671875" style="84" customWidth="1"/>
    <col min="15088" max="15088" width="7.6640625" style="84" customWidth="1"/>
    <col min="15089" max="15090" width="12.6640625" style="84" customWidth="1"/>
    <col min="15091" max="15341" width="9.109375" style="84"/>
    <col min="15342" max="15342" width="8.6640625" style="84" customWidth="1"/>
    <col min="15343" max="15343" width="62.88671875" style="84" customWidth="1"/>
    <col min="15344" max="15344" width="7.6640625" style="84" customWidth="1"/>
    <col min="15345" max="15346" width="12.6640625" style="84" customWidth="1"/>
    <col min="15347" max="15597" width="9.109375" style="84"/>
    <col min="15598" max="15598" width="8.6640625" style="84" customWidth="1"/>
    <col min="15599" max="15599" width="62.88671875" style="84" customWidth="1"/>
    <col min="15600" max="15600" width="7.6640625" style="84" customWidth="1"/>
    <col min="15601" max="15602" width="12.6640625" style="84" customWidth="1"/>
    <col min="15603" max="15853" width="9.109375" style="84"/>
    <col min="15854" max="15854" width="8.6640625" style="84" customWidth="1"/>
    <col min="15855" max="15855" width="62.88671875" style="84" customWidth="1"/>
    <col min="15856" max="15856" width="7.6640625" style="84" customWidth="1"/>
    <col min="15857" max="15858" width="12.6640625" style="84" customWidth="1"/>
    <col min="15859" max="16109" width="9.109375" style="84"/>
    <col min="16110" max="16110" width="8.6640625" style="84" customWidth="1"/>
    <col min="16111" max="16111" width="62.88671875" style="84" customWidth="1"/>
    <col min="16112" max="16112" width="7.6640625" style="84" customWidth="1"/>
    <col min="16113" max="16114" width="12.6640625" style="84" customWidth="1"/>
    <col min="16115" max="16379" width="9.109375" style="84"/>
    <col min="16380" max="16384" width="9.109375" style="84" customWidth="1"/>
  </cols>
  <sheetData>
    <row r="3" spans="1:12" ht="18" customHeight="1">
      <c r="A3" s="365" t="s">
        <v>135</v>
      </c>
      <c r="B3" s="366"/>
      <c r="C3" s="363">
        <v>2021</v>
      </c>
      <c r="D3" s="363">
        <v>2022</v>
      </c>
      <c r="E3" s="363">
        <v>2023</v>
      </c>
      <c r="F3" s="363">
        <v>2024</v>
      </c>
      <c r="G3" s="363">
        <v>2025</v>
      </c>
      <c r="H3" s="363">
        <v>2026</v>
      </c>
      <c r="I3" s="363">
        <v>2027</v>
      </c>
      <c r="J3" s="363">
        <v>2028</v>
      </c>
      <c r="K3" s="363">
        <v>2029</v>
      </c>
      <c r="L3" s="363">
        <v>2030</v>
      </c>
    </row>
    <row r="4" spans="1:12" ht="14.4">
      <c r="A4" s="367"/>
      <c r="B4" s="149"/>
      <c r="C4" s="150"/>
      <c r="D4" s="150"/>
      <c r="E4" s="150"/>
      <c r="F4" s="150"/>
      <c r="G4" s="150"/>
      <c r="H4" s="355"/>
      <c r="I4" s="150"/>
      <c r="J4" s="150"/>
      <c r="K4" s="150"/>
      <c r="L4" s="150"/>
    </row>
    <row r="5" spans="1:12" ht="12.75" customHeight="1">
      <c r="A5" s="368" t="s">
        <v>82</v>
      </c>
      <c r="B5" s="151"/>
      <c r="C5" s="150"/>
      <c r="D5" s="150"/>
      <c r="E5" s="150"/>
      <c r="F5" s="150"/>
      <c r="G5" s="150"/>
      <c r="H5" s="355"/>
      <c r="I5" s="150"/>
      <c r="J5" s="150"/>
      <c r="K5" s="150"/>
      <c r="L5" s="150"/>
    </row>
    <row r="6" spans="1:12" ht="12.75" customHeight="1">
      <c r="A6" s="368"/>
      <c r="B6" s="151"/>
      <c r="C6" s="329"/>
      <c r="D6" s="328"/>
      <c r="E6" s="328"/>
      <c r="F6" s="328"/>
      <c r="G6" s="328"/>
      <c r="H6" s="356"/>
      <c r="I6" s="328"/>
      <c r="J6" s="328"/>
      <c r="K6" s="328"/>
      <c r="L6" s="328"/>
    </row>
    <row r="7" spans="1:12" ht="12.75" customHeight="1">
      <c r="A7" s="355" t="s">
        <v>87</v>
      </c>
      <c r="B7" s="152"/>
      <c r="C7" s="275">
        <f>+'Previsão Receitas'!B8</f>
        <v>7613376.0599999996</v>
      </c>
      <c r="D7" s="275">
        <f>+'Previsão Receitas'!C8</f>
        <v>5617197.96</v>
      </c>
      <c r="E7" s="275">
        <f>+'Previsão Receitas'!D8</f>
        <v>5898057.858</v>
      </c>
      <c r="F7" s="275">
        <f>+'Previsão Receitas'!E8</f>
        <v>6487863.6438000007</v>
      </c>
      <c r="G7" s="275">
        <f>+'Previsão Receitas'!F8</f>
        <v>6812256.8259900007</v>
      </c>
      <c r="H7" s="275">
        <f>+'Previsão Receitas'!G8</f>
        <v>7834095.3498884998</v>
      </c>
      <c r="I7" s="275">
        <f>+'Previsão Receitas'!H8</f>
        <v>8617504.8848773502</v>
      </c>
      <c r="J7" s="275">
        <f>+'Previsão Receitas'!I8</f>
        <v>9479255.3733650856</v>
      </c>
      <c r="K7" s="275">
        <f>+'Previsão Receitas'!J8</f>
        <v>10427180.910701595</v>
      </c>
      <c r="L7" s="275">
        <f>+'Previsão Receitas'!K8</f>
        <v>11469899.001771756</v>
      </c>
    </row>
    <row r="8" spans="1:12" ht="12.75" customHeight="1">
      <c r="A8" s="355" t="s">
        <v>88</v>
      </c>
      <c r="B8" s="152"/>
      <c r="C8" s="84">
        <v>7157.47</v>
      </c>
      <c r="D8" s="84">
        <v>3722.78</v>
      </c>
      <c r="H8" s="357"/>
      <c r="I8" s="275"/>
      <c r="J8" s="275"/>
      <c r="K8" s="275"/>
      <c r="L8" s="275"/>
    </row>
    <row r="9" spans="1:12" ht="12.75" customHeight="1">
      <c r="A9" s="355" t="s">
        <v>86</v>
      </c>
      <c r="B9" s="152"/>
      <c r="C9" s="150"/>
      <c r="D9" s="150"/>
      <c r="E9" s="150"/>
      <c r="F9" s="150"/>
      <c r="G9" s="150"/>
      <c r="H9" s="355"/>
      <c r="I9" s="150"/>
      <c r="J9" s="150"/>
      <c r="K9" s="150"/>
      <c r="L9" s="150"/>
    </row>
    <row r="10" spans="1:12" ht="12.75" customHeight="1">
      <c r="A10" s="355" t="s">
        <v>89</v>
      </c>
      <c r="B10" s="152"/>
      <c r="C10" s="153"/>
      <c r="D10" s="153"/>
      <c r="E10" s="153"/>
      <c r="F10" s="153"/>
      <c r="G10" s="153"/>
      <c r="H10" s="358"/>
      <c r="I10" s="153"/>
      <c r="J10" s="153"/>
      <c r="K10" s="153"/>
      <c r="L10" s="153"/>
    </row>
    <row r="11" spans="1:12" ht="12.75" customHeight="1">
      <c r="A11" s="355" t="s">
        <v>90</v>
      </c>
      <c r="B11" s="152"/>
      <c r="C11" s="178">
        <f>-'Capital Circulante'!B18</f>
        <v>-4956545.58</v>
      </c>
      <c r="D11" s="178">
        <f>-'Capital Circulante'!C18</f>
        <v>-3553935.64</v>
      </c>
      <c r="E11" s="178">
        <f>-'Capital Circulante'!D18</f>
        <v>-2949028.929</v>
      </c>
      <c r="F11" s="178">
        <f>-'Capital Circulante'!E18</f>
        <v>-3243931.8219000003</v>
      </c>
      <c r="G11" s="178">
        <f>-'Capital Circulante'!F18</f>
        <v>-3406128.4129950004</v>
      </c>
      <c r="H11" s="178">
        <f>-'Capital Circulante'!G18</f>
        <v>-3917047.6749442499</v>
      </c>
      <c r="I11" s="178">
        <f>-'Capital Circulante'!H18</f>
        <v>-4308752.4424386751</v>
      </c>
      <c r="J11" s="178">
        <f>-'Capital Circulante'!I18</f>
        <v>-4739627.6866825428</v>
      </c>
      <c r="K11" s="178">
        <f>-'Capital Circulante'!J18</f>
        <v>-5213590.4553507976</v>
      </c>
      <c r="L11" s="178">
        <f>-'Capital Circulante'!K18</f>
        <v>-5734949.5008858778</v>
      </c>
    </row>
    <row r="12" spans="1:12" ht="12.75" customHeight="1">
      <c r="A12" s="355" t="s">
        <v>91</v>
      </c>
      <c r="B12" s="152"/>
      <c r="C12" s="178">
        <f>-'Fornecimento  Serviços Externos'!C12</f>
        <v>-1180801.3500000001</v>
      </c>
      <c r="D12" s="178">
        <f>-'Fornecimento  Serviços Externos'!D12</f>
        <v>-1309346.8700000001</v>
      </c>
      <c r="E12" s="178">
        <f>-'Fornecimento  Serviços Externos'!E12</f>
        <v>-1359053.3073400001</v>
      </c>
      <c r="F12" s="178">
        <f>-'Fornecimento  Serviços Externos'!F12</f>
        <v>-1494708.6380740001</v>
      </c>
      <c r="G12" s="178">
        <f>-'Fornecimento  Serviços Externos'!G12</f>
        <v>-1498696.5017178003</v>
      </c>
      <c r="H12" s="178">
        <f>-'Fornecimento  Serviços Externos'!H12</f>
        <v>-1645160.0234765848</v>
      </c>
      <c r="I12" s="178">
        <f>-'Fornecimento  Serviços Externos'!I12</f>
        <v>-1723500.9769754701</v>
      </c>
      <c r="J12" s="178">
        <f>-'Fornecimento  Serviços Externos'!J12</f>
        <v>-1421888.3060047629</v>
      </c>
      <c r="K12" s="178">
        <f>-'Fornecimento  Serviços Externos'!K12</f>
        <v>-1564077.1366052392</v>
      </c>
      <c r="L12" s="178">
        <f>-'Fornecimento  Serviços Externos'!L12</f>
        <v>-1720484.8502657632</v>
      </c>
    </row>
    <row r="13" spans="1:12" ht="12.75" customHeight="1">
      <c r="A13" s="355" t="s">
        <v>92</v>
      </c>
      <c r="B13" s="152"/>
      <c r="C13" s="178">
        <f>-'63_G. Pess.'!C15</f>
        <v>-731846.19</v>
      </c>
      <c r="D13" s="178">
        <f>-'63_G. Pess.'!D15</f>
        <v>-1081626.93</v>
      </c>
      <c r="E13" s="178">
        <f>-'63_G. Pess.'!E15</f>
        <v>-1180795.2299999997</v>
      </c>
      <c r="F13" s="178">
        <f>-'63_G. Pess.'!F15</f>
        <v>-1279963.5299999996</v>
      </c>
      <c r="G13" s="178">
        <f>-'63_G. Pess.'!G15</f>
        <v>-1296158.9399999995</v>
      </c>
      <c r="H13" s="178">
        <f>-'63_G. Pess.'!H15</f>
        <v>-1296158.9399999995</v>
      </c>
      <c r="I13" s="178">
        <f>-'63_G. Pess.'!I15</f>
        <v>-1296158.9399999995</v>
      </c>
      <c r="J13" s="178">
        <f>-'63_G. Pess.'!J15</f>
        <v>-1296158.9399999995</v>
      </c>
      <c r="K13" s="178">
        <f>-'63_G. Pess.'!K15</f>
        <v>-1296158.9399999995</v>
      </c>
      <c r="L13" s="178">
        <f>-'63_G. Pess.'!L15</f>
        <v>-1296158.9399999995</v>
      </c>
    </row>
    <row r="14" spans="1:12" ht="12.75" customHeight="1">
      <c r="A14" s="355" t="s">
        <v>93</v>
      </c>
      <c r="B14" s="152"/>
      <c r="C14" s="150"/>
      <c r="D14" s="150"/>
      <c r="H14" s="355"/>
      <c r="I14" s="150"/>
      <c r="J14" s="150"/>
      <c r="K14" s="150"/>
      <c r="L14" s="150"/>
    </row>
    <row r="15" spans="1:12" ht="12.75" customHeight="1">
      <c r="A15" s="355" t="s">
        <v>94</v>
      </c>
      <c r="B15" s="152"/>
      <c r="C15" s="150">
        <v>2813.8</v>
      </c>
      <c r="D15" s="150">
        <v>25285.84</v>
      </c>
      <c r="E15" s="275">
        <f>+'MAPA INVESTIMENTOS'!B23</f>
        <v>50864.640000000007</v>
      </c>
      <c r="F15" s="275">
        <f>+'MAPA INVESTIMENTOS'!C23</f>
        <v>249180.67599999998</v>
      </c>
      <c r="G15" s="275">
        <f>+'MAPA INVESTIMENTOS'!D23</f>
        <v>1000</v>
      </c>
      <c r="H15" s="355"/>
      <c r="I15" s="150"/>
      <c r="J15" s="150"/>
      <c r="K15" s="150"/>
      <c r="L15" s="150"/>
    </row>
    <row r="16" spans="1:12" ht="12.75" customHeight="1">
      <c r="A16" s="355" t="s">
        <v>95</v>
      </c>
      <c r="B16" s="152"/>
      <c r="C16" s="154">
        <v>-32137.85</v>
      </c>
      <c r="D16" s="154">
        <v>-29599.46</v>
      </c>
      <c r="E16" s="154"/>
      <c r="F16" s="154"/>
      <c r="G16" s="154"/>
      <c r="H16" s="360"/>
      <c r="I16" s="154"/>
      <c r="J16" s="154"/>
      <c r="K16" s="154"/>
      <c r="L16" s="154"/>
    </row>
    <row r="17" spans="1:12" ht="12.75" customHeight="1">
      <c r="A17" s="369"/>
      <c r="B17" s="155"/>
      <c r="C17" s="150"/>
      <c r="D17" s="150"/>
      <c r="E17" s="150"/>
      <c r="F17" s="150"/>
      <c r="G17" s="150"/>
      <c r="H17" s="355"/>
      <c r="I17" s="150"/>
      <c r="J17" s="150"/>
      <c r="K17" s="150"/>
      <c r="L17" s="150"/>
    </row>
    <row r="18" spans="1:12" ht="23.25" customHeight="1">
      <c r="A18" s="370" t="s">
        <v>136</v>
      </c>
      <c r="B18" s="156"/>
      <c r="C18" s="157">
        <f t="shared" ref="C18:F18" si="0">SUM(C7:C17)</f>
        <v>722016.35999999929</v>
      </c>
      <c r="D18" s="157">
        <f t="shared" si="0"/>
        <v>-328302.31999999995</v>
      </c>
      <c r="E18" s="157">
        <f t="shared" si="0"/>
        <v>460045.03166000021</v>
      </c>
      <c r="F18" s="157">
        <f t="shared" si="0"/>
        <v>718440.32982600061</v>
      </c>
      <c r="G18" s="157">
        <f t="shared" ref="G18" si="1">SUM(G7:G17)</f>
        <v>612272.97127720062</v>
      </c>
      <c r="H18" s="361">
        <f>SUM(H7:H17)</f>
        <v>975728.71146766562</v>
      </c>
      <c r="I18" s="157">
        <f>SUM(I7:I17)</f>
        <v>1289092.5254632058</v>
      </c>
      <c r="J18" s="157">
        <f t="shared" ref="J18:L18" si="2">SUM(J7:J17)</f>
        <v>2021580.4406777807</v>
      </c>
      <c r="K18" s="157">
        <f t="shared" si="2"/>
        <v>2353354.3787455587</v>
      </c>
      <c r="L18" s="157">
        <f t="shared" si="2"/>
        <v>2718305.710620115</v>
      </c>
    </row>
    <row r="19" spans="1:12" ht="12.75" customHeight="1">
      <c r="A19" s="369"/>
      <c r="B19" s="155"/>
      <c r="C19" s="150"/>
      <c r="D19" s="150"/>
      <c r="E19" s="150"/>
      <c r="F19" s="150"/>
      <c r="G19" s="150"/>
      <c r="H19" s="355"/>
      <c r="I19" s="150"/>
      <c r="J19" s="150"/>
      <c r="K19" s="150"/>
      <c r="L19" s="150"/>
    </row>
    <row r="20" spans="1:12" ht="12.75" customHeight="1">
      <c r="A20" s="369" t="s">
        <v>96</v>
      </c>
      <c r="B20" s="155"/>
      <c r="C20" s="178">
        <v>-127990.92</v>
      </c>
      <c r="D20" s="178">
        <v>-57770.64</v>
      </c>
      <c r="E20" s="178">
        <f>-Amortizações!M21</f>
        <v>-18140.510000000002</v>
      </c>
      <c r="F20" s="178">
        <f>-Amortizações!N21</f>
        <v>-57726.619770000005</v>
      </c>
      <c r="G20" s="178">
        <f>-Amortizações!O21</f>
        <v>-109489.48777000001</v>
      </c>
      <c r="H20" s="178">
        <f>-Amortizações!P21</f>
        <v>-109489.48777000001</v>
      </c>
      <c r="I20" s="178">
        <f>-Amortizações!Q21</f>
        <v>-106920.77800000001</v>
      </c>
      <c r="J20" s="178">
        <f>-Amortizações!R21</f>
        <v>-89557.768000000011</v>
      </c>
      <c r="K20" s="178">
        <f>-Amortizações!S21</f>
        <v>-4406.4799999999996</v>
      </c>
      <c r="L20" s="178">
        <f>-Amortizações!T21</f>
        <v>-4406.4799999999996</v>
      </c>
    </row>
    <row r="21" spans="1:12" ht="12.75" customHeight="1">
      <c r="A21" s="369" t="s">
        <v>137</v>
      </c>
      <c r="B21" s="155"/>
      <c r="C21" s="150"/>
      <c r="D21" s="150"/>
      <c r="E21" s="150"/>
      <c r="F21" s="150"/>
      <c r="G21" s="150"/>
      <c r="H21" s="355"/>
      <c r="I21" s="150"/>
      <c r="J21" s="150"/>
      <c r="K21" s="150"/>
      <c r="L21" s="150"/>
    </row>
    <row r="22" spans="1:12" ht="12.75" customHeight="1">
      <c r="A22" s="369"/>
      <c r="B22" s="155"/>
      <c r="C22" s="150"/>
      <c r="D22" s="150"/>
      <c r="E22" s="150"/>
      <c r="F22" s="150"/>
      <c r="G22" s="150"/>
      <c r="H22" s="355"/>
      <c r="I22" s="150"/>
      <c r="J22" s="150"/>
      <c r="K22" s="150"/>
      <c r="L22" s="150"/>
    </row>
    <row r="23" spans="1:12" ht="12.75" customHeight="1">
      <c r="A23" s="371" t="s">
        <v>83</v>
      </c>
      <c r="B23" s="158"/>
      <c r="C23" s="159">
        <f t="shared" ref="C23:F23" si="3">+C18+C20+C21</f>
        <v>594025.43999999925</v>
      </c>
      <c r="D23" s="159">
        <f t="shared" si="3"/>
        <v>-386072.95999999996</v>
      </c>
      <c r="E23" s="159">
        <f t="shared" si="3"/>
        <v>441904.5216600002</v>
      </c>
      <c r="F23" s="159">
        <f t="shared" si="3"/>
        <v>660713.71005600062</v>
      </c>
      <c r="G23" s="159">
        <f t="shared" ref="G23" si="4">+G18+G20+G21</f>
        <v>502783.48350720061</v>
      </c>
      <c r="H23" s="362">
        <f>+H18+H20+H21</f>
        <v>866239.22369766561</v>
      </c>
      <c r="I23" s="159">
        <f>+I18+I20+I21</f>
        <v>1182171.7474632058</v>
      </c>
      <c r="J23" s="159">
        <f t="shared" ref="J23:L23" si="5">+J18+J20+J21</f>
        <v>1932022.6726777807</v>
      </c>
      <c r="K23" s="159">
        <f t="shared" si="5"/>
        <v>2348947.8987455587</v>
      </c>
      <c r="L23" s="159">
        <f t="shared" si="5"/>
        <v>2713899.2306201151</v>
      </c>
    </row>
    <row r="24" spans="1:12" ht="12.75" customHeight="1">
      <c r="A24" s="369"/>
      <c r="B24" s="155"/>
      <c r="C24" s="150"/>
      <c r="D24" s="150"/>
      <c r="E24" s="150"/>
      <c r="F24" s="150"/>
      <c r="G24" s="150"/>
      <c r="H24" s="355"/>
      <c r="I24" s="150"/>
      <c r="J24" s="150"/>
      <c r="K24" s="150"/>
      <c r="L24" s="150"/>
    </row>
    <row r="25" spans="1:12" ht="12.75" customHeight="1">
      <c r="A25" s="369" t="s">
        <v>97</v>
      </c>
      <c r="B25" s="155"/>
      <c r="C25" s="150"/>
      <c r="D25" s="150"/>
      <c r="E25" s="150"/>
      <c r="F25" s="150"/>
      <c r="G25" s="150"/>
      <c r="H25" s="355"/>
      <c r="I25" s="150"/>
      <c r="J25" s="150"/>
      <c r="K25" s="150"/>
      <c r="L25" s="150"/>
    </row>
    <row r="26" spans="1:12" ht="12.75" customHeight="1">
      <c r="A26" s="369" t="s">
        <v>98</v>
      </c>
      <c r="B26" s="155"/>
      <c r="C26" s="178">
        <v>-25711.99</v>
      </c>
      <c r="D26" s="178">
        <v>-38486.67</v>
      </c>
      <c r="E26" s="178">
        <f>-'Serviço da Divida Emp. Bancario'!F19</f>
        <v>0</v>
      </c>
      <c r="F26" s="178">
        <f>-'Serviço da Divida Emp. Bancario'!G19</f>
        <v>0</v>
      </c>
      <c r="G26" s="178">
        <f>-'Serviço da Divida Emp. Bancario'!H19</f>
        <v>0</v>
      </c>
      <c r="H26" s="359">
        <f>-'Serviço da Divida Emp. Bancario'!I19</f>
        <v>0</v>
      </c>
      <c r="I26" s="178">
        <f>-'Serviço da Divida Emp. Bancario'!J19</f>
        <v>0</v>
      </c>
      <c r="J26" s="178">
        <f>-'Serviço da Divida Emp. Bancario'!K19</f>
        <v>0</v>
      </c>
      <c r="K26" s="178">
        <f>-'Serviço da Divida Emp. Bancario'!L19</f>
        <v>0</v>
      </c>
      <c r="L26" s="178">
        <f>-'Serviço da Divida Emp. Bancario'!M19</f>
        <v>0</v>
      </c>
    </row>
    <row r="27" spans="1:12" ht="12.75" customHeight="1">
      <c r="A27" s="355"/>
      <c r="B27" s="152"/>
      <c r="C27" s="150"/>
      <c r="D27" s="150"/>
      <c r="E27" s="150"/>
      <c r="F27" s="150"/>
      <c r="G27" s="150"/>
      <c r="H27" s="355"/>
      <c r="I27" s="150"/>
      <c r="J27" s="150"/>
      <c r="K27" s="150"/>
      <c r="L27" s="150"/>
    </row>
    <row r="28" spans="1:12" ht="12.75" customHeight="1">
      <c r="A28" s="371" t="s">
        <v>84</v>
      </c>
      <c r="B28" s="158"/>
      <c r="C28" s="159">
        <f t="shared" ref="C28:F28" si="6">SUM(C23:C26)</f>
        <v>568313.44999999925</v>
      </c>
      <c r="D28" s="159">
        <f>SUM(D23:D26)</f>
        <v>-424559.62999999995</v>
      </c>
      <c r="E28" s="159">
        <f t="shared" si="6"/>
        <v>441904.5216600002</v>
      </c>
      <c r="F28" s="159">
        <f t="shared" si="6"/>
        <v>660713.71005600062</v>
      </c>
      <c r="G28" s="159">
        <f t="shared" ref="G28" si="7">SUM(G23:G26)</f>
        <v>502783.48350720061</v>
      </c>
      <c r="H28" s="362">
        <f>SUM(H23:H26)</f>
        <v>866239.22369766561</v>
      </c>
      <c r="I28" s="159">
        <f>SUM(I23:I26)</f>
        <v>1182171.7474632058</v>
      </c>
      <c r="J28" s="159">
        <f t="shared" ref="J28:L28" si="8">SUM(J23:J26)</f>
        <v>1932022.6726777807</v>
      </c>
      <c r="K28" s="159">
        <f t="shared" si="8"/>
        <v>2348947.8987455587</v>
      </c>
      <c r="L28" s="159">
        <f t="shared" si="8"/>
        <v>2713899.2306201151</v>
      </c>
    </row>
    <row r="29" spans="1:12" ht="12.75" customHeight="1">
      <c r="A29" s="367"/>
      <c r="B29" s="160">
        <v>0.17</v>
      </c>
      <c r="C29" s="178">
        <f>-15000*$B$29</f>
        <v>-2550</v>
      </c>
      <c r="D29" s="178">
        <v>0</v>
      </c>
      <c r="E29" s="178">
        <f t="shared" ref="E29:L29" si="9">-15000*$B$29</f>
        <v>-2550</v>
      </c>
      <c r="F29" s="178">
        <f t="shared" si="9"/>
        <v>-2550</v>
      </c>
      <c r="G29" s="178">
        <f t="shared" si="9"/>
        <v>-2550</v>
      </c>
      <c r="H29" s="359">
        <f t="shared" si="9"/>
        <v>-2550</v>
      </c>
      <c r="I29" s="178">
        <f t="shared" si="9"/>
        <v>-2550</v>
      </c>
      <c r="J29" s="178">
        <f t="shared" si="9"/>
        <v>-2550</v>
      </c>
      <c r="K29" s="178">
        <f t="shared" si="9"/>
        <v>-2550</v>
      </c>
      <c r="L29" s="178">
        <f t="shared" si="9"/>
        <v>-2550</v>
      </c>
    </row>
    <row r="30" spans="1:12" ht="12.75" customHeight="1">
      <c r="A30" s="369" t="s">
        <v>99</v>
      </c>
      <c r="B30" s="160">
        <v>0.21</v>
      </c>
      <c r="C30" s="178">
        <f>-(C28-15000)*$B$30</f>
        <v>-116195.82449999984</v>
      </c>
      <c r="D30" s="178">
        <v>0</v>
      </c>
      <c r="E30" s="178">
        <f t="shared" ref="E30:F30" si="10">-(E28-15000)*$B$30</f>
        <v>-89649.949548600038</v>
      </c>
      <c r="F30" s="178">
        <f t="shared" si="10"/>
        <v>-135599.87911176012</v>
      </c>
      <c r="G30" s="178">
        <f t="shared" ref="G30:H30" si="11">-(G28-15000)*$B$30</f>
        <v>-102434.53153651212</v>
      </c>
      <c r="H30" s="359">
        <f t="shared" si="11"/>
        <v>-178760.23697650977</v>
      </c>
      <c r="I30" s="178">
        <f t="shared" ref="I30:L30" si="12">-(I28-15000)*$B$30</f>
        <v>-245106.06696727322</v>
      </c>
      <c r="J30" s="178">
        <f t="shared" si="12"/>
        <v>-402574.76126233395</v>
      </c>
      <c r="K30" s="178">
        <f t="shared" si="12"/>
        <v>-490129.05873656733</v>
      </c>
      <c r="L30" s="178">
        <f t="shared" si="12"/>
        <v>-566768.8384302241</v>
      </c>
    </row>
    <row r="31" spans="1:12" ht="12.75" customHeight="1">
      <c r="A31" s="371" t="s">
        <v>85</v>
      </c>
      <c r="B31" s="161"/>
      <c r="C31" s="159">
        <f>+C28+C29+C30</f>
        <v>449567.62549999938</v>
      </c>
      <c r="D31" s="159">
        <f t="shared" ref="D31:F31" si="13">SUM(D28:D30)</f>
        <v>-424559.62999999995</v>
      </c>
      <c r="E31" s="159">
        <f t="shared" si="13"/>
        <v>349704.57211140019</v>
      </c>
      <c r="F31" s="159">
        <f t="shared" si="13"/>
        <v>522563.8309442405</v>
      </c>
      <c r="G31" s="159">
        <f t="shared" ref="G31:H31" si="14">SUM(G28:G30)</f>
        <v>397798.95197068847</v>
      </c>
      <c r="H31" s="159">
        <f t="shared" si="14"/>
        <v>684928.98672115582</v>
      </c>
      <c r="I31" s="159">
        <f t="shared" ref="I31:L31" si="15">SUM(I28:I30)</f>
        <v>934515.68049593258</v>
      </c>
      <c r="J31" s="159">
        <f t="shared" si="15"/>
        <v>1526897.9114154468</v>
      </c>
      <c r="K31" s="159">
        <f t="shared" si="15"/>
        <v>1856268.8400089913</v>
      </c>
      <c r="L31" s="159">
        <f t="shared" si="15"/>
        <v>2144580.3921898911</v>
      </c>
    </row>
    <row r="32" spans="1:12" ht="12.75" customHeight="1">
      <c r="A32" s="372"/>
      <c r="B32" s="373"/>
      <c r="C32" s="364"/>
      <c r="D32" s="364"/>
      <c r="E32" s="364"/>
      <c r="F32" s="364"/>
      <c r="G32" s="364"/>
      <c r="H32" s="374"/>
      <c r="I32" s="364"/>
      <c r="J32" s="364"/>
      <c r="K32" s="364"/>
      <c r="L32" s="364"/>
    </row>
    <row r="34" spans="1:6" ht="12.75" customHeight="1">
      <c r="A34" s="92"/>
      <c r="C34" s="93"/>
      <c r="D34" s="93"/>
      <c r="E34" s="93"/>
      <c r="F34" s="93"/>
    </row>
    <row r="35" spans="1:6" ht="20.100000000000001" customHeight="1">
      <c r="A35" s="106" t="s">
        <v>131</v>
      </c>
    </row>
    <row r="36" spans="1:6" ht="12.75" customHeight="1">
      <c r="C36" s="93"/>
      <c r="D36" s="93"/>
      <c r="E36" s="93"/>
      <c r="F36" s="93"/>
    </row>
  </sheetData>
  <hyperlinks>
    <hyperlink ref="A35" location="Índice!A1" display="Índice" xr:uid="{00000000-0004-0000-0B00-000000000000}"/>
  </hyperlinks>
  <pageMargins left="0.78740157480314965" right="0" top="0" bottom="0" header="0" footer="0"/>
  <pageSetup paperSize="9" orientation="landscape" useFirstPageNumber="1" r:id="rId1"/>
  <headerFooter>
    <oddHeader>&amp;L11 - Demonstração Resultados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61"/>
  <sheetViews>
    <sheetView showGridLines="0" zoomScaleNormal="100" zoomScaleSheetLayoutView="100" workbookViewId="0">
      <selection activeCell="F71" sqref="F71"/>
    </sheetView>
  </sheetViews>
  <sheetFormatPr defaultRowHeight="12.75" customHeight="1"/>
  <cols>
    <col min="1" max="1" width="46" style="97" bestFit="1" customWidth="1"/>
    <col min="2" max="3" width="11.88671875" style="310" customWidth="1"/>
    <col min="4" max="4" width="12.88671875" style="310" customWidth="1"/>
    <col min="5" max="5" width="15.21875" style="273" bestFit="1" customWidth="1"/>
    <col min="6" max="9" width="14.21875" style="273" bestFit="1" customWidth="1"/>
    <col min="10" max="11" width="16.21875" style="273" bestFit="1" customWidth="1"/>
    <col min="12" max="243" width="9.109375" style="85"/>
    <col min="244" max="244" width="12.44140625" style="85" customWidth="1"/>
    <col min="245" max="245" width="50.6640625" style="85" customWidth="1"/>
    <col min="246" max="246" width="7.6640625" style="85" customWidth="1"/>
    <col min="247" max="248" width="12.6640625" style="85" customWidth="1"/>
    <col min="249" max="249" width="3.88671875" style="85" customWidth="1"/>
    <col min="250" max="499" width="9.109375" style="85"/>
    <col min="500" max="500" width="12.44140625" style="85" customWidth="1"/>
    <col min="501" max="501" width="50.6640625" style="85" customWidth="1"/>
    <col min="502" max="502" width="7.6640625" style="85" customWidth="1"/>
    <col min="503" max="504" width="12.6640625" style="85" customWidth="1"/>
    <col min="505" max="505" width="3.88671875" style="85" customWidth="1"/>
    <col min="506" max="755" width="9.109375" style="85"/>
    <col min="756" max="756" width="12.44140625" style="85" customWidth="1"/>
    <col min="757" max="757" width="50.6640625" style="85" customWidth="1"/>
    <col min="758" max="758" width="7.6640625" style="85" customWidth="1"/>
    <col min="759" max="760" width="12.6640625" style="85" customWidth="1"/>
    <col min="761" max="761" width="3.88671875" style="85" customWidth="1"/>
    <col min="762" max="1011" width="9.109375" style="85"/>
    <col min="1012" max="1012" width="12.44140625" style="85" customWidth="1"/>
    <col min="1013" max="1013" width="50.6640625" style="85" customWidth="1"/>
    <col min="1014" max="1014" width="7.6640625" style="85" customWidth="1"/>
    <col min="1015" max="1016" width="12.6640625" style="85" customWidth="1"/>
    <col min="1017" max="1017" width="3.88671875" style="85" customWidth="1"/>
    <col min="1018" max="1267" width="9.109375" style="85"/>
    <col min="1268" max="1268" width="12.44140625" style="85" customWidth="1"/>
    <col min="1269" max="1269" width="50.6640625" style="85" customWidth="1"/>
    <col min="1270" max="1270" width="7.6640625" style="85" customWidth="1"/>
    <col min="1271" max="1272" width="12.6640625" style="85" customWidth="1"/>
    <col min="1273" max="1273" width="3.88671875" style="85" customWidth="1"/>
    <col min="1274" max="1523" width="9.109375" style="85"/>
    <col min="1524" max="1524" width="12.44140625" style="85" customWidth="1"/>
    <col min="1525" max="1525" width="50.6640625" style="85" customWidth="1"/>
    <col min="1526" max="1526" width="7.6640625" style="85" customWidth="1"/>
    <col min="1527" max="1528" width="12.6640625" style="85" customWidth="1"/>
    <col min="1529" max="1529" width="3.88671875" style="85" customWidth="1"/>
    <col min="1530" max="1779" width="9.109375" style="85"/>
    <col min="1780" max="1780" width="12.44140625" style="85" customWidth="1"/>
    <col min="1781" max="1781" width="50.6640625" style="85" customWidth="1"/>
    <col min="1782" max="1782" width="7.6640625" style="85" customWidth="1"/>
    <col min="1783" max="1784" width="12.6640625" style="85" customWidth="1"/>
    <col min="1785" max="1785" width="3.88671875" style="85" customWidth="1"/>
    <col min="1786" max="2035" width="9.109375" style="85"/>
    <col min="2036" max="2036" width="12.44140625" style="85" customWidth="1"/>
    <col min="2037" max="2037" width="50.6640625" style="85" customWidth="1"/>
    <col min="2038" max="2038" width="7.6640625" style="85" customWidth="1"/>
    <col min="2039" max="2040" width="12.6640625" style="85" customWidth="1"/>
    <col min="2041" max="2041" width="3.88671875" style="85" customWidth="1"/>
    <col min="2042" max="2291" width="9.109375" style="85"/>
    <col min="2292" max="2292" width="12.44140625" style="85" customWidth="1"/>
    <col min="2293" max="2293" width="50.6640625" style="85" customWidth="1"/>
    <col min="2294" max="2294" width="7.6640625" style="85" customWidth="1"/>
    <col min="2295" max="2296" width="12.6640625" style="85" customWidth="1"/>
    <col min="2297" max="2297" width="3.88671875" style="85" customWidth="1"/>
    <col min="2298" max="2547" width="9.109375" style="85"/>
    <col min="2548" max="2548" width="12.44140625" style="85" customWidth="1"/>
    <col min="2549" max="2549" width="50.6640625" style="85" customWidth="1"/>
    <col min="2550" max="2550" width="7.6640625" style="85" customWidth="1"/>
    <col min="2551" max="2552" width="12.6640625" style="85" customWidth="1"/>
    <col min="2553" max="2553" width="3.88671875" style="85" customWidth="1"/>
    <col min="2554" max="2803" width="9.109375" style="85"/>
    <col min="2804" max="2804" width="12.44140625" style="85" customWidth="1"/>
    <col min="2805" max="2805" width="50.6640625" style="85" customWidth="1"/>
    <col min="2806" max="2806" width="7.6640625" style="85" customWidth="1"/>
    <col min="2807" max="2808" width="12.6640625" style="85" customWidth="1"/>
    <col min="2809" max="2809" width="3.88671875" style="85" customWidth="1"/>
    <col min="2810" max="3059" width="9.109375" style="85"/>
    <col min="3060" max="3060" width="12.44140625" style="85" customWidth="1"/>
    <col min="3061" max="3061" width="50.6640625" style="85" customWidth="1"/>
    <col min="3062" max="3062" width="7.6640625" style="85" customWidth="1"/>
    <col min="3063" max="3064" width="12.6640625" style="85" customWidth="1"/>
    <col min="3065" max="3065" width="3.88671875" style="85" customWidth="1"/>
    <col min="3066" max="3315" width="9.109375" style="85"/>
    <col min="3316" max="3316" width="12.44140625" style="85" customWidth="1"/>
    <col min="3317" max="3317" width="50.6640625" style="85" customWidth="1"/>
    <col min="3318" max="3318" width="7.6640625" style="85" customWidth="1"/>
    <col min="3319" max="3320" width="12.6640625" style="85" customWidth="1"/>
    <col min="3321" max="3321" width="3.88671875" style="85" customWidth="1"/>
    <col min="3322" max="3571" width="9.109375" style="85"/>
    <col min="3572" max="3572" width="12.44140625" style="85" customWidth="1"/>
    <col min="3573" max="3573" width="50.6640625" style="85" customWidth="1"/>
    <col min="3574" max="3574" width="7.6640625" style="85" customWidth="1"/>
    <col min="3575" max="3576" width="12.6640625" style="85" customWidth="1"/>
    <col min="3577" max="3577" width="3.88671875" style="85" customWidth="1"/>
    <col min="3578" max="3827" width="9.109375" style="85"/>
    <col min="3828" max="3828" width="12.44140625" style="85" customWidth="1"/>
    <col min="3829" max="3829" width="50.6640625" style="85" customWidth="1"/>
    <col min="3830" max="3830" width="7.6640625" style="85" customWidth="1"/>
    <col min="3831" max="3832" width="12.6640625" style="85" customWidth="1"/>
    <col min="3833" max="3833" width="3.88671875" style="85" customWidth="1"/>
    <col min="3834" max="4083" width="9.109375" style="85"/>
    <col min="4084" max="4084" width="12.44140625" style="85" customWidth="1"/>
    <col min="4085" max="4085" width="50.6640625" style="85" customWidth="1"/>
    <col min="4086" max="4086" width="7.6640625" style="85" customWidth="1"/>
    <col min="4087" max="4088" width="12.6640625" style="85" customWidth="1"/>
    <col min="4089" max="4089" width="3.88671875" style="85" customWidth="1"/>
    <col min="4090" max="4339" width="9.109375" style="85"/>
    <col min="4340" max="4340" width="12.44140625" style="85" customWidth="1"/>
    <col min="4341" max="4341" width="50.6640625" style="85" customWidth="1"/>
    <col min="4342" max="4342" width="7.6640625" style="85" customWidth="1"/>
    <col min="4343" max="4344" width="12.6640625" style="85" customWidth="1"/>
    <col min="4345" max="4345" width="3.88671875" style="85" customWidth="1"/>
    <col min="4346" max="4595" width="9.109375" style="85"/>
    <col min="4596" max="4596" width="12.44140625" style="85" customWidth="1"/>
    <col min="4597" max="4597" width="50.6640625" style="85" customWidth="1"/>
    <col min="4598" max="4598" width="7.6640625" style="85" customWidth="1"/>
    <col min="4599" max="4600" width="12.6640625" style="85" customWidth="1"/>
    <col min="4601" max="4601" width="3.88671875" style="85" customWidth="1"/>
    <col min="4602" max="4851" width="9.109375" style="85"/>
    <col min="4852" max="4852" width="12.44140625" style="85" customWidth="1"/>
    <col min="4853" max="4853" width="50.6640625" style="85" customWidth="1"/>
    <col min="4854" max="4854" width="7.6640625" style="85" customWidth="1"/>
    <col min="4855" max="4856" width="12.6640625" style="85" customWidth="1"/>
    <col min="4857" max="4857" width="3.88671875" style="85" customWidth="1"/>
    <col min="4858" max="5107" width="9.109375" style="85"/>
    <col min="5108" max="5108" width="12.44140625" style="85" customWidth="1"/>
    <col min="5109" max="5109" width="50.6640625" style="85" customWidth="1"/>
    <col min="5110" max="5110" width="7.6640625" style="85" customWidth="1"/>
    <col min="5111" max="5112" width="12.6640625" style="85" customWidth="1"/>
    <col min="5113" max="5113" width="3.88671875" style="85" customWidth="1"/>
    <col min="5114" max="5363" width="9.109375" style="85"/>
    <col min="5364" max="5364" width="12.44140625" style="85" customWidth="1"/>
    <col min="5365" max="5365" width="50.6640625" style="85" customWidth="1"/>
    <col min="5366" max="5366" width="7.6640625" style="85" customWidth="1"/>
    <col min="5367" max="5368" width="12.6640625" style="85" customWidth="1"/>
    <col min="5369" max="5369" width="3.88671875" style="85" customWidth="1"/>
    <col min="5370" max="5619" width="9.109375" style="85"/>
    <col min="5620" max="5620" width="12.44140625" style="85" customWidth="1"/>
    <col min="5621" max="5621" width="50.6640625" style="85" customWidth="1"/>
    <col min="5622" max="5622" width="7.6640625" style="85" customWidth="1"/>
    <col min="5623" max="5624" width="12.6640625" style="85" customWidth="1"/>
    <col min="5625" max="5625" width="3.88671875" style="85" customWidth="1"/>
    <col min="5626" max="5875" width="9.109375" style="85"/>
    <col min="5876" max="5876" width="12.44140625" style="85" customWidth="1"/>
    <col min="5877" max="5877" width="50.6640625" style="85" customWidth="1"/>
    <col min="5878" max="5878" width="7.6640625" style="85" customWidth="1"/>
    <col min="5879" max="5880" width="12.6640625" style="85" customWidth="1"/>
    <col min="5881" max="5881" width="3.88671875" style="85" customWidth="1"/>
    <col min="5882" max="6131" width="9.109375" style="85"/>
    <col min="6132" max="6132" width="12.44140625" style="85" customWidth="1"/>
    <col min="6133" max="6133" width="50.6640625" style="85" customWidth="1"/>
    <col min="6134" max="6134" width="7.6640625" style="85" customWidth="1"/>
    <col min="6135" max="6136" width="12.6640625" style="85" customWidth="1"/>
    <col min="6137" max="6137" width="3.88671875" style="85" customWidth="1"/>
    <col min="6138" max="6387" width="9.109375" style="85"/>
    <col min="6388" max="6388" width="12.44140625" style="85" customWidth="1"/>
    <col min="6389" max="6389" width="50.6640625" style="85" customWidth="1"/>
    <col min="6390" max="6390" width="7.6640625" style="85" customWidth="1"/>
    <col min="6391" max="6392" width="12.6640625" style="85" customWidth="1"/>
    <col min="6393" max="6393" width="3.88671875" style="85" customWidth="1"/>
    <col min="6394" max="6643" width="9.109375" style="85"/>
    <col min="6644" max="6644" width="12.44140625" style="85" customWidth="1"/>
    <col min="6645" max="6645" width="50.6640625" style="85" customWidth="1"/>
    <col min="6646" max="6646" width="7.6640625" style="85" customWidth="1"/>
    <col min="6647" max="6648" width="12.6640625" style="85" customWidth="1"/>
    <col min="6649" max="6649" width="3.88671875" style="85" customWidth="1"/>
    <col min="6650" max="6899" width="9.109375" style="85"/>
    <col min="6900" max="6900" width="12.44140625" style="85" customWidth="1"/>
    <col min="6901" max="6901" width="50.6640625" style="85" customWidth="1"/>
    <col min="6902" max="6902" width="7.6640625" style="85" customWidth="1"/>
    <col min="6903" max="6904" width="12.6640625" style="85" customWidth="1"/>
    <col min="6905" max="6905" width="3.88671875" style="85" customWidth="1"/>
    <col min="6906" max="7155" width="9.109375" style="85"/>
    <col min="7156" max="7156" width="12.44140625" style="85" customWidth="1"/>
    <col min="7157" max="7157" width="50.6640625" style="85" customWidth="1"/>
    <col min="7158" max="7158" width="7.6640625" style="85" customWidth="1"/>
    <col min="7159" max="7160" width="12.6640625" style="85" customWidth="1"/>
    <col min="7161" max="7161" width="3.88671875" style="85" customWidth="1"/>
    <col min="7162" max="7411" width="9.109375" style="85"/>
    <col min="7412" max="7412" width="12.44140625" style="85" customWidth="1"/>
    <col min="7413" max="7413" width="50.6640625" style="85" customWidth="1"/>
    <col min="7414" max="7414" width="7.6640625" style="85" customWidth="1"/>
    <col min="7415" max="7416" width="12.6640625" style="85" customWidth="1"/>
    <col min="7417" max="7417" width="3.88671875" style="85" customWidth="1"/>
    <col min="7418" max="7667" width="9.109375" style="85"/>
    <col min="7668" max="7668" width="12.44140625" style="85" customWidth="1"/>
    <col min="7669" max="7669" width="50.6640625" style="85" customWidth="1"/>
    <col min="7670" max="7670" width="7.6640625" style="85" customWidth="1"/>
    <col min="7671" max="7672" width="12.6640625" style="85" customWidth="1"/>
    <col min="7673" max="7673" width="3.88671875" style="85" customWidth="1"/>
    <col min="7674" max="7923" width="9.109375" style="85"/>
    <col min="7924" max="7924" width="12.44140625" style="85" customWidth="1"/>
    <col min="7925" max="7925" width="50.6640625" style="85" customWidth="1"/>
    <col min="7926" max="7926" width="7.6640625" style="85" customWidth="1"/>
    <col min="7927" max="7928" width="12.6640625" style="85" customWidth="1"/>
    <col min="7929" max="7929" width="3.88671875" style="85" customWidth="1"/>
    <col min="7930" max="8179" width="9.109375" style="85"/>
    <col min="8180" max="8180" width="12.44140625" style="85" customWidth="1"/>
    <col min="8181" max="8181" width="50.6640625" style="85" customWidth="1"/>
    <col min="8182" max="8182" width="7.6640625" style="85" customWidth="1"/>
    <col min="8183" max="8184" width="12.6640625" style="85" customWidth="1"/>
    <col min="8185" max="8185" width="3.88671875" style="85" customWidth="1"/>
    <col min="8186" max="8435" width="9.109375" style="85"/>
    <col min="8436" max="8436" width="12.44140625" style="85" customWidth="1"/>
    <col min="8437" max="8437" width="50.6640625" style="85" customWidth="1"/>
    <col min="8438" max="8438" width="7.6640625" style="85" customWidth="1"/>
    <col min="8439" max="8440" width="12.6640625" style="85" customWidth="1"/>
    <col min="8441" max="8441" width="3.88671875" style="85" customWidth="1"/>
    <col min="8442" max="8691" width="9.109375" style="85"/>
    <col min="8692" max="8692" width="12.44140625" style="85" customWidth="1"/>
    <col min="8693" max="8693" width="50.6640625" style="85" customWidth="1"/>
    <col min="8694" max="8694" width="7.6640625" style="85" customWidth="1"/>
    <col min="8695" max="8696" width="12.6640625" style="85" customWidth="1"/>
    <col min="8697" max="8697" width="3.88671875" style="85" customWidth="1"/>
    <col min="8698" max="8947" width="9.109375" style="85"/>
    <col min="8948" max="8948" width="12.44140625" style="85" customWidth="1"/>
    <col min="8949" max="8949" width="50.6640625" style="85" customWidth="1"/>
    <col min="8950" max="8950" width="7.6640625" style="85" customWidth="1"/>
    <col min="8951" max="8952" width="12.6640625" style="85" customWidth="1"/>
    <col min="8953" max="8953" width="3.88671875" style="85" customWidth="1"/>
    <col min="8954" max="9203" width="9.109375" style="85"/>
    <col min="9204" max="9204" width="12.44140625" style="85" customWidth="1"/>
    <col min="9205" max="9205" width="50.6640625" style="85" customWidth="1"/>
    <col min="9206" max="9206" width="7.6640625" style="85" customWidth="1"/>
    <col min="9207" max="9208" width="12.6640625" style="85" customWidth="1"/>
    <col min="9209" max="9209" width="3.88671875" style="85" customWidth="1"/>
    <col min="9210" max="9459" width="9.109375" style="85"/>
    <col min="9460" max="9460" width="12.44140625" style="85" customWidth="1"/>
    <col min="9461" max="9461" width="50.6640625" style="85" customWidth="1"/>
    <col min="9462" max="9462" width="7.6640625" style="85" customWidth="1"/>
    <col min="9463" max="9464" width="12.6640625" style="85" customWidth="1"/>
    <col min="9465" max="9465" width="3.88671875" style="85" customWidth="1"/>
    <col min="9466" max="9715" width="9.109375" style="85"/>
    <col min="9716" max="9716" width="12.44140625" style="85" customWidth="1"/>
    <col min="9717" max="9717" width="50.6640625" style="85" customWidth="1"/>
    <col min="9718" max="9718" width="7.6640625" style="85" customWidth="1"/>
    <col min="9719" max="9720" width="12.6640625" style="85" customWidth="1"/>
    <col min="9721" max="9721" width="3.88671875" style="85" customWidth="1"/>
    <col min="9722" max="9971" width="9.109375" style="85"/>
    <col min="9972" max="9972" width="12.44140625" style="85" customWidth="1"/>
    <col min="9973" max="9973" width="50.6640625" style="85" customWidth="1"/>
    <col min="9974" max="9974" width="7.6640625" style="85" customWidth="1"/>
    <col min="9975" max="9976" width="12.6640625" style="85" customWidth="1"/>
    <col min="9977" max="9977" width="3.88671875" style="85" customWidth="1"/>
    <col min="9978" max="10227" width="9.109375" style="85"/>
    <col min="10228" max="10228" width="12.44140625" style="85" customWidth="1"/>
    <col min="10229" max="10229" width="50.6640625" style="85" customWidth="1"/>
    <col min="10230" max="10230" width="7.6640625" style="85" customWidth="1"/>
    <col min="10231" max="10232" width="12.6640625" style="85" customWidth="1"/>
    <col min="10233" max="10233" width="3.88671875" style="85" customWidth="1"/>
    <col min="10234" max="10483" width="9.109375" style="85"/>
    <col min="10484" max="10484" width="12.44140625" style="85" customWidth="1"/>
    <col min="10485" max="10485" width="50.6640625" style="85" customWidth="1"/>
    <col min="10486" max="10486" width="7.6640625" style="85" customWidth="1"/>
    <col min="10487" max="10488" width="12.6640625" style="85" customWidth="1"/>
    <col min="10489" max="10489" width="3.88671875" style="85" customWidth="1"/>
    <col min="10490" max="10739" width="9.109375" style="85"/>
    <col min="10740" max="10740" width="12.44140625" style="85" customWidth="1"/>
    <col min="10741" max="10741" width="50.6640625" style="85" customWidth="1"/>
    <col min="10742" max="10742" width="7.6640625" style="85" customWidth="1"/>
    <col min="10743" max="10744" width="12.6640625" style="85" customWidth="1"/>
    <col min="10745" max="10745" width="3.88671875" style="85" customWidth="1"/>
    <col min="10746" max="10995" width="9.109375" style="85"/>
    <col min="10996" max="10996" width="12.44140625" style="85" customWidth="1"/>
    <col min="10997" max="10997" width="50.6640625" style="85" customWidth="1"/>
    <col min="10998" max="10998" width="7.6640625" style="85" customWidth="1"/>
    <col min="10999" max="11000" width="12.6640625" style="85" customWidth="1"/>
    <col min="11001" max="11001" width="3.88671875" style="85" customWidth="1"/>
    <col min="11002" max="11251" width="9.109375" style="85"/>
    <col min="11252" max="11252" width="12.44140625" style="85" customWidth="1"/>
    <col min="11253" max="11253" width="50.6640625" style="85" customWidth="1"/>
    <col min="11254" max="11254" width="7.6640625" style="85" customWidth="1"/>
    <col min="11255" max="11256" width="12.6640625" style="85" customWidth="1"/>
    <col min="11257" max="11257" width="3.88671875" style="85" customWidth="1"/>
    <col min="11258" max="11507" width="9.109375" style="85"/>
    <col min="11508" max="11508" width="12.44140625" style="85" customWidth="1"/>
    <col min="11509" max="11509" width="50.6640625" style="85" customWidth="1"/>
    <col min="11510" max="11510" width="7.6640625" style="85" customWidth="1"/>
    <col min="11511" max="11512" width="12.6640625" style="85" customWidth="1"/>
    <col min="11513" max="11513" width="3.88671875" style="85" customWidth="1"/>
    <col min="11514" max="11763" width="9.109375" style="85"/>
    <col min="11764" max="11764" width="12.44140625" style="85" customWidth="1"/>
    <col min="11765" max="11765" width="50.6640625" style="85" customWidth="1"/>
    <col min="11766" max="11766" width="7.6640625" style="85" customWidth="1"/>
    <col min="11767" max="11768" width="12.6640625" style="85" customWidth="1"/>
    <col min="11769" max="11769" width="3.88671875" style="85" customWidth="1"/>
    <col min="11770" max="12019" width="9.109375" style="85"/>
    <col min="12020" max="12020" width="12.44140625" style="85" customWidth="1"/>
    <col min="12021" max="12021" width="50.6640625" style="85" customWidth="1"/>
    <col min="12022" max="12022" width="7.6640625" style="85" customWidth="1"/>
    <col min="12023" max="12024" width="12.6640625" style="85" customWidth="1"/>
    <col min="12025" max="12025" width="3.88671875" style="85" customWidth="1"/>
    <col min="12026" max="12275" width="9.109375" style="85"/>
    <col min="12276" max="12276" width="12.44140625" style="85" customWidth="1"/>
    <col min="12277" max="12277" width="50.6640625" style="85" customWidth="1"/>
    <col min="12278" max="12278" width="7.6640625" style="85" customWidth="1"/>
    <col min="12279" max="12280" width="12.6640625" style="85" customWidth="1"/>
    <col min="12281" max="12281" width="3.88671875" style="85" customWidth="1"/>
    <col min="12282" max="12531" width="9.109375" style="85"/>
    <col min="12532" max="12532" width="12.44140625" style="85" customWidth="1"/>
    <col min="12533" max="12533" width="50.6640625" style="85" customWidth="1"/>
    <col min="12534" max="12534" width="7.6640625" style="85" customWidth="1"/>
    <col min="12535" max="12536" width="12.6640625" style="85" customWidth="1"/>
    <col min="12537" max="12537" width="3.88671875" style="85" customWidth="1"/>
    <col min="12538" max="12787" width="9.109375" style="85"/>
    <col min="12788" max="12788" width="12.44140625" style="85" customWidth="1"/>
    <col min="12789" max="12789" width="50.6640625" style="85" customWidth="1"/>
    <col min="12790" max="12790" width="7.6640625" style="85" customWidth="1"/>
    <col min="12791" max="12792" width="12.6640625" style="85" customWidth="1"/>
    <col min="12793" max="12793" width="3.88671875" style="85" customWidth="1"/>
    <col min="12794" max="13043" width="9.109375" style="85"/>
    <col min="13044" max="13044" width="12.44140625" style="85" customWidth="1"/>
    <col min="13045" max="13045" width="50.6640625" style="85" customWidth="1"/>
    <col min="13046" max="13046" width="7.6640625" style="85" customWidth="1"/>
    <col min="13047" max="13048" width="12.6640625" style="85" customWidth="1"/>
    <col min="13049" max="13049" width="3.88671875" style="85" customWidth="1"/>
    <col min="13050" max="13299" width="9.109375" style="85"/>
    <col min="13300" max="13300" width="12.44140625" style="85" customWidth="1"/>
    <col min="13301" max="13301" width="50.6640625" style="85" customWidth="1"/>
    <col min="13302" max="13302" width="7.6640625" style="85" customWidth="1"/>
    <col min="13303" max="13304" width="12.6640625" style="85" customWidth="1"/>
    <col min="13305" max="13305" width="3.88671875" style="85" customWidth="1"/>
    <col min="13306" max="13555" width="9.109375" style="85"/>
    <col min="13556" max="13556" width="12.44140625" style="85" customWidth="1"/>
    <col min="13557" max="13557" width="50.6640625" style="85" customWidth="1"/>
    <col min="13558" max="13558" width="7.6640625" style="85" customWidth="1"/>
    <col min="13559" max="13560" width="12.6640625" style="85" customWidth="1"/>
    <col min="13561" max="13561" width="3.88671875" style="85" customWidth="1"/>
    <col min="13562" max="13811" width="9.109375" style="85"/>
    <col min="13812" max="13812" width="12.44140625" style="85" customWidth="1"/>
    <col min="13813" max="13813" width="50.6640625" style="85" customWidth="1"/>
    <col min="13814" max="13814" width="7.6640625" style="85" customWidth="1"/>
    <col min="13815" max="13816" width="12.6640625" style="85" customWidth="1"/>
    <col min="13817" max="13817" width="3.88671875" style="85" customWidth="1"/>
    <col min="13818" max="14067" width="9.109375" style="85"/>
    <col min="14068" max="14068" width="12.44140625" style="85" customWidth="1"/>
    <col min="14069" max="14069" width="50.6640625" style="85" customWidth="1"/>
    <col min="14070" max="14070" width="7.6640625" style="85" customWidth="1"/>
    <col min="14071" max="14072" width="12.6640625" style="85" customWidth="1"/>
    <col min="14073" max="14073" width="3.88671875" style="85" customWidth="1"/>
    <col min="14074" max="14323" width="9.109375" style="85"/>
    <col min="14324" max="14324" width="12.44140625" style="85" customWidth="1"/>
    <col min="14325" max="14325" width="50.6640625" style="85" customWidth="1"/>
    <col min="14326" max="14326" width="7.6640625" style="85" customWidth="1"/>
    <col min="14327" max="14328" width="12.6640625" style="85" customWidth="1"/>
    <col min="14329" max="14329" width="3.88671875" style="85" customWidth="1"/>
    <col min="14330" max="14579" width="9.109375" style="85"/>
    <col min="14580" max="14580" width="12.44140625" style="85" customWidth="1"/>
    <col min="14581" max="14581" width="50.6640625" style="85" customWidth="1"/>
    <col min="14582" max="14582" width="7.6640625" style="85" customWidth="1"/>
    <col min="14583" max="14584" width="12.6640625" style="85" customWidth="1"/>
    <col min="14585" max="14585" width="3.88671875" style="85" customWidth="1"/>
    <col min="14586" max="14835" width="9.109375" style="85"/>
    <col min="14836" max="14836" width="12.44140625" style="85" customWidth="1"/>
    <col min="14837" max="14837" width="50.6640625" style="85" customWidth="1"/>
    <col min="14838" max="14838" width="7.6640625" style="85" customWidth="1"/>
    <col min="14839" max="14840" width="12.6640625" style="85" customWidth="1"/>
    <col min="14841" max="14841" width="3.88671875" style="85" customWidth="1"/>
    <col min="14842" max="15091" width="9.109375" style="85"/>
    <col min="15092" max="15092" width="12.44140625" style="85" customWidth="1"/>
    <col min="15093" max="15093" width="50.6640625" style="85" customWidth="1"/>
    <col min="15094" max="15094" width="7.6640625" style="85" customWidth="1"/>
    <col min="15095" max="15096" width="12.6640625" style="85" customWidth="1"/>
    <col min="15097" max="15097" width="3.88671875" style="85" customWidth="1"/>
    <col min="15098" max="15347" width="9.109375" style="85"/>
    <col min="15348" max="15348" width="12.44140625" style="85" customWidth="1"/>
    <col min="15349" max="15349" width="50.6640625" style="85" customWidth="1"/>
    <col min="15350" max="15350" width="7.6640625" style="85" customWidth="1"/>
    <col min="15351" max="15352" width="12.6640625" style="85" customWidth="1"/>
    <col min="15353" max="15353" width="3.88671875" style="85" customWidth="1"/>
    <col min="15354" max="15603" width="9.109375" style="85"/>
    <col min="15604" max="15604" width="12.44140625" style="85" customWidth="1"/>
    <col min="15605" max="15605" width="50.6640625" style="85" customWidth="1"/>
    <col min="15606" max="15606" width="7.6640625" style="85" customWidth="1"/>
    <col min="15607" max="15608" width="12.6640625" style="85" customWidth="1"/>
    <col min="15609" max="15609" width="3.88671875" style="85" customWidth="1"/>
    <col min="15610" max="15859" width="9.109375" style="85"/>
    <col min="15860" max="15860" width="12.44140625" style="85" customWidth="1"/>
    <col min="15861" max="15861" width="50.6640625" style="85" customWidth="1"/>
    <col min="15862" max="15862" width="7.6640625" style="85" customWidth="1"/>
    <col min="15863" max="15864" width="12.6640625" style="85" customWidth="1"/>
    <col min="15865" max="15865" width="3.88671875" style="85" customWidth="1"/>
    <col min="15866" max="16115" width="9.109375" style="85"/>
    <col min="16116" max="16116" width="12.44140625" style="85" customWidth="1"/>
    <col min="16117" max="16117" width="50.6640625" style="85" customWidth="1"/>
    <col min="16118" max="16118" width="7.6640625" style="85" customWidth="1"/>
    <col min="16119" max="16120" width="12.6640625" style="85" customWidth="1"/>
    <col min="16121" max="16121" width="3.88671875" style="85" customWidth="1"/>
    <col min="16122" max="16384" width="9.109375" style="85"/>
  </cols>
  <sheetData>
    <row r="1" spans="1:11" ht="20.25" customHeight="1">
      <c r="A1" s="459" t="s">
        <v>81</v>
      </c>
      <c r="B1" s="461" t="s">
        <v>138</v>
      </c>
      <c r="C1" s="462"/>
      <c r="D1" s="462"/>
      <c r="E1" s="462"/>
      <c r="F1" s="462"/>
      <c r="G1" s="462"/>
      <c r="H1" s="462"/>
      <c r="I1" s="462"/>
      <c r="J1" s="462"/>
      <c r="K1" s="462"/>
    </row>
    <row r="2" spans="1:11" s="274" customFormat="1" ht="15" customHeight="1">
      <c r="A2" s="460"/>
      <c r="B2" s="297"/>
      <c r="C2" s="297">
        <v>2021</v>
      </c>
      <c r="D2" s="297">
        <v>2022</v>
      </c>
      <c r="E2" s="171">
        <v>2023</v>
      </c>
      <c r="F2" s="171">
        <f t="shared" ref="F2:I2" si="0">+E2+1</f>
        <v>2024</v>
      </c>
      <c r="G2" s="171">
        <f t="shared" si="0"/>
        <v>2025</v>
      </c>
      <c r="H2" s="171">
        <f t="shared" si="0"/>
        <v>2026</v>
      </c>
      <c r="I2" s="171">
        <f t="shared" si="0"/>
        <v>2027</v>
      </c>
      <c r="J2" s="171">
        <f t="shared" ref="J2" si="1">+I2+1</f>
        <v>2028</v>
      </c>
      <c r="K2" s="171">
        <f t="shared" ref="K2" si="2">+J2+1</f>
        <v>2029</v>
      </c>
    </row>
    <row r="3" spans="1:11" ht="15" customHeight="1">
      <c r="A3" s="162" t="s">
        <v>3</v>
      </c>
      <c r="B3" s="298"/>
      <c r="C3" s="298"/>
      <c r="D3" s="298"/>
      <c r="E3" s="276"/>
      <c r="F3" s="276"/>
      <c r="G3" s="276"/>
      <c r="H3" s="276"/>
      <c r="I3" s="276"/>
      <c r="J3" s="276"/>
      <c r="K3" s="276"/>
    </row>
    <row r="4" spans="1:11" ht="15" customHeight="1">
      <c r="A4" s="162"/>
      <c r="B4" s="298"/>
      <c r="C4" s="298"/>
      <c r="D4" s="298"/>
      <c r="E4" s="277"/>
      <c r="F4" s="277"/>
      <c r="G4" s="277"/>
      <c r="H4" s="277"/>
      <c r="I4" s="277"/>
      <c r="J4" s="277"/>
      <c r="K4" s="277"/>
    </row>
    <row r="5" spans="1:11" ht="15" customHeight="1">
      <c r="A5" s="162" t="s">
        <v>100</v>
      </c>
      <c r="B5" s="298"/>
      <c r="C5" s="298"/>
      <c r="D5" s="298"/>
      <c r="E5" s="277"/>
      <c r="F5" s="277"/>
      <c r="G5" s="277"/>
      <c r="H5" s="277"/>
      <c r="I5" s="277"/>
      <c r="J5" s="277"/>
      <c r="K5" s="277"/>
    </row>
    <row r="6" spans="1:11" ht="15" customHeight="1">
      <c r="A6" s="163" t="s">
        <v>110</v>
      </c>
      <c r="B6" s="298"/>
      <c r="C6" s="299">
        <v>371234.14</v>
      </c>
      <c r="D6" s="299">
        <v>574837.67000000004</v>
      </c>
      <c r="E6" s="214">
        <f>+Amortizações!D5</f>
        <v>615244.78999999992</v>
      </c>
      <c r="F6" s="214">
        <f>+Amortizações!E5</f>
        <v>2500</v>
      </c>
      <c r="G6" s="214">
        <f>+Amortizações!F5</f>
        <v>0</v>
      </c>
      <c r="H6" s="214">
        <f>+Amortizações!G5</f>
        <v>0</v>
      </c>
      <c r="I6" s="214">
        <f>+Amortizações!H5</f>
        <v>0</v>
      </c>
      <c r="J6" s="214">
        <f>+Amortizações!I5</f>
        <v>0</v>
      </c>
      <c r="K6" s="214">
        <f>+Amortizações!J5</f>
        <v>0</v>
      </c>
    </row>
    <row r="7" spans="1:11" ht="15" customHeight="1">
      <c r="A7" s="163" t="s">
        <v>111</v>
      </c>
      <c r="B7" s="298"/>
      <c r="C7" s="299">
        <v>16433.2</v>
      </c>
      <c r="D7" s="299">
        <v>18177.63</v>
      </c>
      <c r="E7" s="214">
        <f>+Amortizações!D18</f>
        <v>7706.9</v>
      </c>
      <c r="F7" s="214">
        <f>+Amortizações!E18</f>
        <v>0</v>
      </c>
      <c r="G7" s="214">
        <f>+Amortizações!F18</f>
        <v>-2568.7097699999999</v>
      </c>
      <c r="H7" s="214">
        <f>+Amortizações!G18</f>
        <v>-5137.4195399999999</v>
      </c>
      <c r="I7" s="214">
        <f>+Amortizações!H18</f>
        <v>-7706.1293100000003</v>
      </c>
      <c r="J7" s="214">
        <f>+Amortizações!I18</f>
        <v>-10274.83908</v>
      </c>
      <c r="K7" s="214">
        <f>+Amortizações!J18</f>
        <v>-10274.83908</v>
      </c>
    </row>
    <row r="8" spans="1:11" ht="15" customHeight="1">
      <c r="A8" s="163" t="s">
        <v>161</v>
      </c>
      <c r="B8" s="299"/>
      <c r="C8" s="299">
        <v>5482.82</v>
      </c>
      <c r="D8" s="299">
        <v>12633.05</v>
      </c>
      <c r="E8" s="278"/>
      <c r="F8" s="278"/>
      <c r="G8" s="278"/>
      <c r="H8" s="278"/>
      <c r="I8" s="278"/>
      <c r="J8" s="278"/>
      <c r="K8" s="278"/>
    </row>
    <row r="9" spans="1:11" ht="15" customHeight="1">
      <c r="A9" s="163" t="s">
        <v>172</v>
      </c>
      <c r="B9" s="319"/>
      <c r="C9" s="319">
        <v>16145</v>
      </c>
      <c r="D9" s="319">
        <v>500000</v>
      </c>
      <c r="E9" s="278"/>
      <c r="F9" s="278"/>
      <c r="G9" s="278"/>
      <c r="H9" s="278"/>
      <c r="I9" s="278"/>
      <c r="J9" s="278"/>
      <c r="K9" s="278"/>
    </row>
    <row r="10" spans="1:11" ht="15" customHeight="1">
      <c r="A10" s="163"/>
      <c r="B10" s="319"/>
      <c r="C10" s="319"/>
      <c r="D10" s="319">
        <v>16145</v>
      </c>
      <c r="E10" s="278"/>
      <c r="F10" s="278"/>
      <c r="G10" s="278"/>
      <c r="H10" s="278"/>
      <c r="I10" s="278"/>
      <c r="J10" s="278"/>
      <c r="K10" s="278"/>
    </row>
    <row r="11" spans="1:11" ht="15" customHeight="1">
      <c r="A11" s="164"/>
      <c r="B11" s="300">
        <f>SUM(B6:B8)</f>
        <v>0</v>
      </c>
      <c r="C11" s="300">
        <f>SUM(C6:C9)</f>
        <v>409295.16000000003</v>
      </c>
      <c r="D11" s="300">
        <f>SUM(D6:D10)</f>
        <v>1121793.3500000001</v>
      </c>
      <c r="E11" s="279">
        <f t="shared" ref="E11:J11" si="3">SUM(E6:E7)</f>
        <v>622951.68999999994</v>
      </c>
      <c r="F11" s="279">
        <f t="shared" si="3"/>
        <v>2500</v>
      </c>
      <c r="G11" s="279">
        <f t="shared" si="3"/>
        <v>-2568.7097699999999</v>
      </c>
      <c r="H11" s="279">
        <f t="shared" si="3"/>
        <v>-5137.4195399999999</v>
      </c>
      <c r="I11" s="279">
        <f t="shared" si="3"/>
        <v>-7706.1293100000003</v>
      </c>
      <c r="J11" s="279">
        <f t="shared" si="3"/>
        <v>-10274.83908</v>
      </c>
      <c r="K11" s="279">
        <f>SUM(K6:K9)</f>
        <v>-10274.83908</v>
      </c>
    </row>
    <row r="12" spans="1:11" ht="15" customHeight="1">
      <c r="A12" s="163"/>
      <c r="B12" s="298"/>
      <c r="C12" s="298"/>
      <c r="D12" s="301"/>
      <c r="E12" s="276"/>
      <c r="F12" s="276"/>
      <c r="G12" s="276"/>
      <c r="H12" s="276"/>
      <c r="I12" s="276"/>
      <c r="J12" s="276"/>
      <c r="K12" s="276"/>
    </row>
    <row r="13" spans="1:11" ht="15" customHeight="1">
      <c r="A13" s="162" t="s">
        <v>101</v>
      </c>
      <c r="B13" s="298"/>
      <c r="C13" s="298"/>
      <c r="D13" s="299"/>
      <c r="E13" s="277"/>
      <c r="F13" s="277"/>
      <c r="G13" s="277"/>
      <c r="H13" s="277"/>
      <c r="I13" s="277"/>
      <c r="J13" s="277"/>
      <c r="K13" s="277"/>
    </row>
    <row r="14" spans="1:11" ht="15" customHeight="1">
      <c r="A14" s="163" t="s">
        <v>112</v>
      </c>
      <c r="B14" s="299"/>
      <c r="C14" s="299">
        <v>1149471.32</v>
      </c>
      <c r="D14" s="299">
        <v>1602410.47</v>
      </c>
      <c r="E14" s="280">
        <f>+'Capital Circulante'!B4</f>
        <v>413045.46500000003</v>
      </c>
      <c r="F14" s="280">
        <f>+'Capital Circulante'!C4</f>
        <v>296161.30333333334</v>
      </c>
      <c r="G14" s="280">
        <f>+'Capital Circulante'!D4</f>
        <v>245752.41074999998</v>
      </c>
      <c r="H14" s="280">
        <f>+'Capital Circulante'!E4</f>
        <v>270327.65182500001</v>
      </c>
      <c r="I14" s="280">
        <f>+'Capital Circulante'!F4</f>
        <v>283844.03441625001</v>
      </c>
      <c r="J14" s="280">
        <f>+'Capital Circulante'!G4</f>
        <v>326420.63957868749</v>
      </c>
      <c r="K14" s="280">
        <f>+'Capital Circulante'!H4</f>
        <v>359062.70353655628</v>
      </c>
    </row>
    <row r="15" spans="1:11" ht="15" customHeight="1">
      <c r="A15" s="163" t="s">
        <v>1</v>
      </c>
      <c r="B15" s="299"/>
      <c r="C15" s="299">
        <v>2586768.19</v>
      </c>
      <c r="D15" s="299">
        <v>2419623.02</v>
      </c>
      <c r="E15" s="214">
        <f>+'Capital Circulante'!B3</f>
        <v>634448.00499999989</v>
      </c>
      <c r="F15" s="214">
        <f>+'Capital Circulante'!C3</f>
        <v>468099.82999999996</v>
      </c>
      <c r="G15" s="214">
        <f>+'Capital Circulante'!D3</f>
        <v>491504.82149999996</v>
      </c>
      <c r="H15" s="214">
        <f>+'Capital Circulante'!E3</f>
        <v>540655.30365000002</v>
      </c>
      <c r="I15" s="214">
        <f>+'Capital Circulante'!F3</f>
        <v>567688.06883250002</v>
      </c>
      <c r="J15" s="214">
        <f>+'Capital Circulante'!G3</f>
        <v>652841.27915737499</v>
      </c>
      <c r="K15" s="214">
        <f>+'Capital Circulante'!H3</f>
        <v>718125.40707311255</v>
      </c>
    </row>
    <row r="16" spans="1:11" ht="15" customHeight="1">
      <c r="A16" s="163" t="s">
        <v>162</v>
      </c>
      <c r="B16" s="299"/>
      <c r="C16" s="299"/>
      <c r="D16" s="299"/>
      <c r="E16" s="214"/>
      <c r="F16" s="214"/>
      <c r="G16" s="214"/>
      <c r="H16" s="214"/>
      <c r="I16" s="214"/>
      <c r="J16" s="214"/>
      <c r="K16" s="214"/>
    </row>
    <row r="17" spans="1:11" ht="15" customHeight="1">
      <c r="A17" s="163" t="s">
        <v>163</v>
      </c>
      <c r="B17" s="299"/>
      <c r="C17" s="299">
        <v>29321.41</v>
      </c>
      <c r="D17" s="299"/>
      <c r="E17" s="214"/>
      <c r="F17" s="214"/>
      <c r="G17" s="214"/>
      <c r="H17" s="214"/>
      <c r="I17" s="214"/>
      <c r="J17" s="214"/>
      <c r="K17" s="214"/>
    </row>
    <row r="18" spans="1:11" ht="15" customHeight="1">
      <c r="A18" s="163" t="s">
        <v>164</v>
      </c>
      <c r="B18" s="299"/>
      <c r="C18" s="324">
        <v>939964.66</v>
      </c>
      <c r="D18" s="324"/>
      <c r="E18" s="324"/>
      <c r="F18" s="324"/>
      <c r="G18" s="324"/>
      <c r="H18" s="324"/>
      <c r="I18" s="324"/>
      <c r="J18" s="324"/>
      <c r="K18" s="324"/>
    </row>
    <row r="19" spans="1:11" ht="15" customHeight="1">
      <c r="A19" s="163" t="s">
        <v>114</v>
      </c>
      <c r="B19" s="299"/>
      <c r="C19" s="299">
        <v>2777.73</v>
      </c>
      <c r="D19" s="299">
        <v>2777.73</v>
      </c>
      <c r="E19" s="214"/>
      <c r="F19" s="214"/>
      <c r="G19" s="214"/>
      <c r="H19" s="214"/>
      <c r="I19" s="214"/>
      <c r="J19" s="214"/>
      <c r="K19" s="214"/>
    </row>
    <row r="20" spans="1:11" ht="15" customHeight="1">
      <c r="A20" s="163" t="s">
        <v>192</v>
      </c>
      <c r="B20" s="299"/>
      <c r="C20" s="299">
        <v>2200</v>
      </c>
      <c r="D20" s="299">
        <v>2200</v>
      </c>
      <c r="E20" s="214"/>
      <c r="F20" s="214"/>
      <c r="G20" s="214"/>
      <c r="H20" s="214"/>
      <c r="I20" s="214"/>
      <c r="J20" s="214"/>
      <c r="K20" s="214"/>
    </row>
    <row r="21" spans="1:11" ht="15" customHeight="1">
      <c r="A21" s="163" t="s">
        <v>115</v>
      </c>
      <c r="B21" s="299"/>
      <c r="C21" s="299">
        <v>32174.29</v>
      </c>
      <c r="D21" s="299">
        <v>208162.51</v>
      </c>
      <c r="E21" s="214">
        <f>+'Plano Financeiro '!B19</f>
        <v>162576.50299999933</v>
      </c>
      <c r="F21" s="214">
        <f>+'Plano Financeiro '!C19</f>
        <v>-35402.941333333845</v>
      </c>
      <c r="G21" s="214">
        <f>+'Plano Financeiro '!D19</f>
        <v>314679.35238973307</v>
      </c>
      <c r="H21" s="214">
        <f>+'Plano Financeiro '!E19</f>
        <v>792614.22127704485</v>
      </c>
      <c r="I21" s="214">
        <f>+'Plano Financeiro '!F19</f>
        <v>1208692.5072341212</v>
      </c>
      <c r="J21" s="214">
        <f>+'Plano Financeiro '!G19</f>
        <v>1865653.3543088723</v>
      </c>
      <c r="K21" s="214">
        <f>+'Plano Financeiro '!H19</f>
        <v>2783824.3871092126</v>
      </c>
    </row>
    <row r="22" spans="1:11" ht="15" customHeight="1">
      <c r="A22" s="164"/>
      <c r="B22" s="300">
        <f t="shared" ref="B22:K22" si="4">SUM(B14:B21)</f>
        <v>0</v>
      </c>
      <c r="C22" s="300">
        <f t="shared" si="4"/>
        <v>4742677.6000000006</v>
      </c>
      <c r="D22" s="300">
        <f t="shared" si="4"/>
        <v>4235173.7300000004</v>
      </c>
      <c r="E22" s="279">
        <f t="shared" si="4"/>
        <v>1210069.9729999993</v>
      </c>
      <c r="F22" s="279">
        <f t="shared" si="4"/>
        <v>728858.19199999946</v>
      </c>
      <c r="G22" s="279">
        <f t="shared" si="4"/>
        <v>1051936.584639733</v>
      </c>
      <c r="H22" s="279">
        <f t="shared" si="4"/>
        <v>1603597.1767520448</v>
      </c>
      <c r="I22" s="279">
        <f t="shared" si="4"/>
        <v>2060224.6104828713</v>
      </c>
      <c r="J22" s="279">
        <f t="shared" si="4"/>
        <v>2844915.2730449345</v>
      </c>
      <c r="K22" s="279">
        <f t="shared" si="4"/>
        <v>3861012.4977188814</v>
      </c>
    </row>
    <row r="23" spans="1:11" ht="15" customHeight="1">
      <c r="A23" s="163"/>
      <c r="B23" s="298"/>
      <c r="C23" s="298"/>
      <c r="D23" s="298"/>
      <c r="E23" s="277"/>
      <c r="F23" s="277"/>
      <c r="G23" s="277"/>
      <c r="H23" s="277"/>
      <c r="I23" s="277"/>
      <c r="J23" s="277"/>
      <c r="K23" s="277"/>
    </row>
    <row r="24" spans="1:11" ht="15" customHeight="1">
      <c r="A24" s="162" t="s">
        <v>2</v>
      </c>
      <c r="B24" s="302">
        <f t="shared" ref="B24:K24" si="5">+B11+B22</f>
        <v>0</v>
      </c>
      <c r="C24" s="302">
        <f t="shared" si="5"/>
        <v>5151972.7600000007</v>
      </c>
      <c r="D24" s="302">
        <f t="shared" si="5"/>
        <v>5356967.08</v>
      </c>
      <c r="E24" s="281">
        <f t="shared" si="5"/>
        <v>1833021.6629999992</v>
      </c>
      <c r="F24" s="281">
        <f t="shared" si="5"/>
        <v>731358.19199999946</v>
      </c>
      <c r="G24" s="281">
        <f t="shared" si="5"/>
        <v>1049367.8748697329</v>
      </c>
      <c r="H24" s="281">
        <f t="shared" si="5"/>
        <v>1598459.7572120449</v>
      </c>
      <c r="I24" s="281">
        <f t="shared" si="5"/>
        <v>2052518.4811728713</v>
      </c>
      <c r="J24" s="281">
        <f t="shared" si="5"/>
        <v>2834640.4339649347</v>
      </c>
      <c r="K24" s="281">
        <f t="shared" si="5"/>
        <v>3850737.6586388815</v>
      </c>
    </row>
    <row r="25" spans="1:11" ht="15" customHeight="1">
      <c r="A25" s="164"/>
      <c r="B25" s="303"/>
      <c r="C25" s="303"/>
      <c r="D25" s="303"/>
      <c r="E25" s="282"/>
      <c r="F25" s="282"/>
      <c r="G25" s="282"/>
      <c r="H25" s="282"/>
      <c r="I25" s="282"/>
      <c r="J25" s="282"/>
      <c r="K25" s="282"/>
    </row>
    <row r="26" spans="1:11" ht="15" customHeight="1">
      <c r="A26" s="163"/>
      <c r="B26" s="298"/>
      <c r="C26" s="298"/>
      <c r="D26" s="298"/>
      <c r="E26" s="276"/>
      <c r="F26" s="276"/>
      <c r="G26" s="276"/>
      <c r="H26" s="276"/>
      <c r="I26" s="276"/>
      <c r="J26" s="276"/>
      <c r="K26" s="276"/>
    </row>
    <row r="27" spans="1:11" ht="15" customHeight="1">
      <c r="A27" s="162" t="s">
        <v>102</v>
      </c>
      <c r="B27" s="298"/>
      <c r="C27" s="298"/>
      <c r="D27" s="298"/>
      <c r="E27" s="283"/>
      <c r="F27" s="277"/>
      <c r="G27" s="277"/>
      <c r="H27" s="277"/>
      <c r="I27" s="277"/>
      <c r="J27" s="277"/>
      <c r="K27" s="277"/>
    </row>
    <row r="28" spans="1:11" ht="15" customHeight="1">
      <c r="A28" s="163"/>
      <c r="B28" s="298"/>
      <c r="C28" s="298"/>
      <c r="D28" s="298"/>
      <c r="E28" s="277"/>
      <c r="F28" s="277"/>
      <c r="G28" s="277"/>
      <c r="H28" s="277"/>
      <c r="I28" s="277"/>
      <c r="J28" s="277"/>
      <c r="K28" s="277"/>
    </row>
    <row r="29" spans="1:11" ht="15" customHeight="1">
      <c r="A29" s="162" t="s">
        <v>103</v>
      </c>
      <c r="B29" s="298"/>
      <c r="C29" s="298"/>
      <c r="D29" s="298"/>
      <c r="E29" s="277"/>
      <c r="F29" s="277"/>
      <c r="G29" s="277"/>
      <c r="H29" s="277"/>
      <c r="I29" s="277"/>
      <c r="J29" s="277"/>
      <c r="K29" s="277"/>
    </row>
    <row r="30" spans="1:11" ht="15" customHeight="1">
      <c r="A30" s="163" t="s">
        <v>116</v>
      </c>
      <c r="B30" s="299"/>
      <c r="C30" s="299">
        <v>200000</v>
      </c>
      <c r="D30" s="299">
        <v>200000</v>
      </c>
      <c r="E30" s="337">
        <v>200000</v>
      </c>
      <c r="F30" s="337">
        <v>200000</v>
      </c>
      <c r="G30" s="337">
        <v>200000</v>
      </c>
      <c r="H30" s="337">
        <v>200000</v>
      </c>
      <c r="I30" s="337">
        <v>200000</v>
      </c>
      <c r="J30" s="337">
        <v>200000</v>
      </c>
      <c r="K30" s="337">
        <v>200000</v>
      </c>
    </row>
    <row r="31" spans="1:11" ht="15" customHeight="1">
      <c r="A31" s="163" t="s">
        <v>117</v>
      </c>
      <c r="B31" s="299"/>
      <c r="C31" s="298"/>
      <c r="D31" s="298"/>
      <c r="E31" s="277"/>
      <c r="F31" s="277"/>
      <c r="G31" s="277"/>
      <c r="H31" s="277"/>
      <c r="I31" s="277"/>
      <c r="J31" s="277"/>
      <c r="K31" s="277"/>
    </row>
    <row r="32" spans="1:11" ht="15" customHeight="1">
      <c r="A32" s="163" t="s">
        <v>118</v>
      </c>
      <c r="B32" s="299"/>
      <c r="C32" s="299">
        <v>117496.81</v>
      </c>
      <c r="D32" s="408">
        <v>117496.81</v>
      </c>
      <c r="E32" s="214">
        <f>+'MAPA INVESTIMENTOS'!B22</f>
        <v>76296.960000000006</v>
      </c>
      <c r="F32" s="214">
        <f>+E32+'MAPA INVESTIMENTOS'!C22</f>
        <v>450067.97399999999</v>
      </c>
      <c r="G32" s="214">
        <f>+F32+'MAPA INVESTIMENTOS'!D22</f>
        <v>451567.97399999999</v>
      </c>
      <c r="H32" s="214">
        <f>+G32</f>
        <v>451567.97399999999</v>
      </c>
      <c r="I32" s="214">
        <f t="shared" ref="I32:K32" si="6">+H32</f>
        <v>451567.97399999999</v>
      </c>
      <c r="J32" s="214">
        <f t="shared" si="6"/>
        <v>451567.97399999999</v>
      </c>
      <c r="K32" s="214">
        <f t="shared" si="6"/>
        <v>451567.97399999999</v>
      </c>
    </row>
    <row r="33" spans="1:11" ht="15" customHeight="1">
      <c r="A33" s="163" t="s">
        <v>119</v>
      </c>
      <c r="B33" s="299"/>
      <c r="C33" s="299">
        <v>38350.230000000003</v>
      </c>
      <c r="D33" s="299">
        <v>38350.230000000003</v>
      </c>
      <c r="E33" s="337"/>
      <c r="F33" s="337"/>
      <c r="G33" s="337"/>
      <c r="H33" s="337"/>
      <c r="I33" s="337"/>
      <c r="J33" s="337"/>
      <c r="K33" s="337"/>
    </row>
    <row r="34" spans="1:11" ht="15" customHeight="1">
      <c r="A34" s="163" t="s">
        <v>120</v>
      </c>
      <c r="B34" s="299"/>
      <c r="C34" s="299">
        <v>73055.740000000005</v>
      </c>
      <c r="D34" s="299">
        <v>73055.740000000005</v>
      </c>
      <c r="E34" s="337"/>
      <c r="F34" s="337"/>
      <c r="G34" s="337"/>
      <c r="H34" s="337"/>
      <c r="I34" s="337"/>
      <c r="J34" s="337"/>
      <c r="K34" s="337"/>
    </row>
    <row r="35" spans="1:11" ht="15" customHeight="1">
      <c r="A35" s="163" t="s">
        <v>121</v>
      </c>
      <c r="B35" s="299"/>
      <c r="C35" s="301">
        <v>975329.78</v>
      </c>
      <c r="D35" s="299">
        <v>1425031.46</v>
      </c>
      <c r="E35" s="288">
        <v>0</v>
      </c>
      <c r="F35" s="214">
        <f t="shared" ref="F35:I35" si="7">+E35+E38</f>
        <v>449567.62549999938</v>
      </c>
      <c r="G35" s="214">
        <f t="shared" si="7"/>
        <v>25007.995499999437</v>
      </c>
      <c r="H35" s="214">
        <f t="shared" si="7"/>
        <v>374712.56761139963</v>
      </c>
      <c r="I35" s="214">
        <f t="shared" si="7"/>
        <v>897276.39855564013</v>
      </c>
      <c r="J35" s="214">
        <f t="shared" ref="J35:K35" si="8">+I35+I38</f>
        <v>1295075.3505263287</v>
      </c>
      <c r="K35" s="214">
        <f t="shared" si="8"/>
        <v>1980004.3372474844</v>
      </c>
    </row>
    <row r="36" spans="1:11" ht="15" customHeight="1">
      <c r="A36" s="163"/>
      <c r="B36" s="298"/>
      <c r="C36" s="298"/>
      <c r="D36" s="299"/>
      <c r="E36" s="277"/>
      <c r="F36" s="277"/>
      <c r="G36" s="277"/>
      <c r="H36" s="277"/>
      <c r="I36" s="277"/>
      <c r="J36" s="277"/>
      <c r="K36" s="277"/>
    </row>
    <row r="37" spans="1:11" ht="15" customHeight="1">
      <c r="A37" s="163"/>
      <c r="B37" s="298"/>
      <c r="C37" s="298"/>
      <c r="D37" s="299"/>
      <c r="E37" s="214"/>
      <c r="F37" s="214"/>
      <c r="G37" s="214"/>
      <c r="H37" s="214"/>
      <c r="I37" s="214"/>
      <c r="J37" s="214"/>
      <c r="K37" s="214"/>
    </row>
    <row r="38" spans="1:11" ht="15" customHeight="1">
      <c r="A38" s="163" t="s">
        <v>85</v>
      </c>
      <c r="B38" s="304">
        <v>0</v>
      </c>
      <c r="C38" s="299">
        <v>449701.68</v>
      </c>
      <c r="D38" s="304">
        <v>-424559.63</v>
      </c>
      <c r="E38" s="214">
        <f>+'DR SNC'!C31</f>
        <v>449567.62549999938</v>
      </c>
      <c r="F38" s="214">
        <f>+'DR SNC'!D31</f>
        <v>-424559.62999999995</v>
      </c>
      <c r="G38" s="214">
        <f>+'DR SNC'!E31</f>
        <v>349704.57211140019</v>
      </c>
      <c r="H38" s="214">
        <f>+'DR SNC'!F31</f>
        <v>522563.8309442405</v>
      </c>
      <c r="I38" s="214">
        <f>+'DR SNC'!G31</f>
        <v>397798.95197068847</v>
      </c>
      <c r="J38" s="214">
        <f>+'DR SNC'!H31</f>
        <v>684928.98672115582</v>
      </c>
      <c r="K38" s="214">
        <f>+'DR SNC'!I31</f>
        <v>934515.68049593258</v>
      </c>
    </row>
    <row r="39" spans="1:11" ht="15" customHeight="1">
      <c r="A39" s="163" t="s">
        <v>122</v>
      </c>
      <c r="B39" s="298"/>
      <c r="C39" s="298"/>
      <c r="D39" s="299"/>
      <c r="E39" s="277"/>
      <c r="F39" s="277"/>
      <c r="G39" s="277"/>
      <c r="H39" s="277"/>
      <c r="I39" s="277"/>
      <c r="J39" s="277"/>
      <c r="K39" s="277"/>
    </row>
    <row r="40" spans="1:11" ht="15" customHeight="1">
      <c r="A40" s="163"/>
      <c r="B40" s="298"/>
      <c r="C40" s="298"/>
      <c r="D40" s="299"/>
      <c r="E40" s="277"/>
      <c r="F40" s="277"/>
      <c r="G40" s="277"/>
      <c r="H40" s="277"/>
      <c r="I40" s="277"/>
      <c r="J40" s="277"/>
      <c r="K40" s="277"/>
    </row>
    <row r="41" spans="1:11" ht="15" customHeight="1">
      <c r="A41" s="165" t="s">
        <v>104</v>
      </c>
      <c r="B41" s="305">
        <f t="shared" ref="B41:D41" si="9">SUM(B30:B40)</f>
        <v>0</v>
      </c>
      <c r="C41" s="305">
        <f t="shared" si="9"/>
        <v>1853934.24</v>
      </c>
      <c r="D41" s="305">
        <f t="shared" si="9"/>
        <v>1429374.6099999999</v>
      </c>
      <c r="E41" s="284">
        <f>SUM(E30:E40)</f>
        <v>725864.58549999935</v>
      </c>
      <c r="F41" s="284">
        <f>SUM(F30:F40)</f>
        <v>675075.96949999942</v>
      </c>
      <c r="G41" s="284">
        <f>SUM(G29:G40)</f>
        <v>1026280.5416113996</v>
      </c>
      <c r="H41" s="284">
        <f>SUM(H29:H40)</f>
        <v>1548844.3725556401</v>
      </c>
      <c r="I41" s="284">
        <f>SUM(I29:I40)</f>
        <v>1946643.3245263286</v>
      </c>
      <c r="J41" s="284">
        <f t="shared" ref="J41:K41" si="10">SUM(J29:J40)</f>
        <v>2631572.3112474843</v>
      </c>
      <c r="K41" s="284">
        <f t="shared" si="10"/>
        <v>3566087.991743417</v>
      </c>
    </row>
    <row r="42" spans="1:11" ht="15" customHeight="1">
      <c r="A42" s="163"/>
      <c r="B42" s="298"/>
      <c r="C42" s="298"/>
      <c r="D42" s="298"/>
      <c r="E42" s="276"/>
      <c r="F42" s="276"/>
      <c r="G42" s="276"/>
      <c r="H42" s="276"/>
      <c r="I42" s="276"/>
      <c r="J42" s="276"/>
      <c r="K42" s="276"/>
    </row>
    <row r="43" spans="1:11" ht="15" customHeight="1">
      <c r="A43" s="162" t="s">
        <v>105</v>
      </c>
      <c r="B43" s="298"/>
      <c r="C43" s="298"/>
      <c r="D43" s="298"/>
      <c r="E43" s="277"/>
      <c r="F43" s="277"/>
      <c r="G43" s="277"/>
      <c r="H43" s="277"/>
      <c r="I43" s="277"/>
      <c r="J43" s="277"/>
      <c r="K43" s="277"/>
    </row>
    <row r="44" spans="1:11" ht="15" customHeight="1">
      <c r="A44" s="163"/>
      <c r="B44" s="298"/>
      <c r="C44" s="298"/>
      <c r="D44" s="298"/>
      <c r="E44" s="277"/>
      <c r="F44" s="277"/>
      <c r="G44" s="277"/>
      <c r="H44" s="277"/>
      <c r="I44" s="277"/>
      <c r="J44" s="277"/>
      <c r="K44" s="277"/>
    </row>
    <row r="45" spans="1:11" ht="15" customHeight="1">
      <c r="A45" s="162" t="s">
        <v>106</v>
      </c>
      <c r="B45" s="298"/>
      <c r="C45" s="298"/>
      <c r="D45" s="298"/>
      <c r="E45" s="277"/>
      <c r="F45" s="277"/>
      <c r="G45" s="277"/>
      <c r="H45" s="277"/>
      <c r="I45" s="277"/>
      <c r="J45" s="277"/>
      <c r="K45" s="277"/>
    </row>
    <row r="46" spans="1:11" ht="15" customHeight="1">
      <c r="A46" s="163" t="s">
        <v>123</v>
      </c>
      <c r="B46" s="298"/>
      <c r="C46" s="298">
        <v>1445646.4</v>
      </c>
      <c r="D46" s="408">
        <v>2690253.81</v>
      </c>
      <c r="E46" s="214">
        <f>+'Serviço da Divida Emp. Bancario'!C8</f>
        <v>0</v>
      </c>
      <c r="F46" s="214">
        <f>+'Serviço da Divida Emp. Bancario'!D8</f>
        <v>0</v>
      </c>
      <c r="G46" s="214">
        <f>+'Serviço da Divida Emp. Bancario'!E8</f>
        <v>0</v>
      </c>
      <c r="H46" s="214">
        <f>+'Serviço da Divida Emp. Bancario'!F8</f>
        <v>387058.2634285714</v>
      </c>
      <c r="I46" s="214">
        <f>+'Serviço da Divida Emp. Bancario'!G8</f>
        <v>322548.55285714281</v>
      </c>
      <c r="J46" s="214">
        <f>+'Serviço da Divida Emp. Bancario'!H8</f>
        <v>258038.84228571423</v>
      </c>
      <c r="K46" s="214">
        <f>+'Serviço da Divida Emp. Bancario'!I8</f>
        <v>193529.13171428564</v>
      </c>
    </row>
    <row r="47" spans="1:11" ht="15" customHeight="1">
      <c r="A47" s="163" t="s">
        <v>124</v>
      </c>
      <c r="B47" s="298"/>
      <c r="C47" s="298"/>
      <c r="D47" s="298"/>
      <c r="E47" s="214">
        <f>+'Plano Financeiro '!$B$14</f>
        <v>20000</v>
      </c>
      <c r="F47" s="214">
        <f>+'Plano Financeiro '!$B$14</f>
        <v>20000</v>
      </c>
      <c r="G47" s="214">
        <f>+'Plano Financeiro '!$B$14</f>
        <v>20000</v>
      </c>
      <c r="H47" s="214">
        <f>+'Plano Financeiro '!$B$14</f>
        <v>20000</v>
      </c>
      <c r="I47" s="214">
        <f>+'Plano Financeiro '!$B$14</f>
        <v>20000</v>
      </c>
      <c r="J47" s="214">
        <f>+'Plano Financeiro '!$B$14</f>
        <v>20000</v>
      </c>
      <c r="K47" s="214">
        <f>+'Plano Financeiro '!$B$14</f>
        <v>20000</v>
      </c>
    </row>
    <row r="48" spans="1:11" ht="15" customHeight="1">
      <c r="A48" s="163"/>
      <c r="B48" s="298"/>
      <c r="C48" s="298"/>
      <c r="D48" s="298"/>
      <c r="E48" s="277"/>
      <c r="F48" s="277"/>
      <c r="G48" s="277"/>
      <c r="H48" s="277"/>
      <c r="I48" s="277"/>
      <c r="J48" s="277"/>
      <c r="K48" s="277"/>
    </row>
    <row r="49" spans="1:11" ht="15" customHeight="1">
      <c r="A49" s="164"/>
      <c r="B49" s="305">
        <f t="shared" ref="B49:D49" si="11">SUM(B46:B48)</f>
        <v>0</v>
      </c>
      <c r="C49" s="305">
        <f t="shared" si="11"/>
        <v>1445646.4</v>
      </c>
      <c r="D49" s="305">
        <f t="shared" si="11"/>
        <v>2690253.81</v>
      </c>
      <c r="E49" s="284">
        <f>SUM(E46:E48)</f>
        <v>20000</v>
      </c>
      <c r="F49" s="284">
        <f>SUM(F46:F48)</f>
        <v>20000</v>
      </c>
      <c r="G49" s="284">
        <f>SUM(G46:G48)</f>
        <v>20000</v>
      </c>
      <c r="H49" s="284">
        <f>SUM(H46:H48)</f>
        <v>407058.2634285714</v>
      </c>
      <c r="I49" s="284">
        <f>SUM(I46:I48)</f>
        <v>342548.55285714281</v>
      </c>
      <c r="J49" s="284">
        <f t="shared" ref="J49:K49" si="12">SUM(J46:J48)</f>
        <v>278038.84228571423</v>
      </c>
      <c r="K49" s="284">
        <f t="shared" si="12"/>
        <v>213529.13171428564</v>
      </c>
    </row>
    <row r="50" spans="1:11" ht="15" customHeight="1">
      <c r="A50" s="162" t="s">
        <v>107</v>
      </c>
      <c r="B50" s="299"/>
      <c r="C50" s="299"/>
      <c r="D50" s="299"/>
      <c r="E50" s="276"/>
      <c r="F50" s="276"/>
      <c r="G50" s="276"/>
      <c r="H50" s="276"/>
      <c r="I50" s="276"/>
      <c r="J50" s="276"/>
      <c r="K50" s="276"/>
    </row>
    <row r="51" spans="1:11" ht="15" customHeight="1">
      <c r="A51" s="163" t="s">
        <v>4</v>
      </c>
      <c r="B51" s="299"/>
      <c r="C51" s="299">
        <v>1425400.46</v>
      </c>
      <c r="D51" s="299">
        <v>724908.82</v>
      </c>
      <c r="E51" s="214">
        <f>+'Capital Circulante'!B6</f>
        <v>511445.57749999996</v>
      </c>
      <c r="F51" s="214">
        <f>+'Capital Circulante'!C6</f>
        <v>405273.54249999998</v>
      </c>
      <c r="G51" s="214">
        <f>+'Capital Circulante'!D6</f>
        <v>359006.85302833334</v>
      </c>
      <c r="H51" s="214">
        <f>+'Capital Circulante'!E6</f>
        <v>394886.70499783335</v>
      </c>
      <c r="I51" s="214">
        <f>+'Capital Circulante'!F6</f>
        <v>408735.40955940005</v>
      </c>
      <c r="J51" s="214">
        <f>+'Capital Circulante'!G6</f>
        <v>463517.30820173619</v>
      </c>
      <c r="K51" s="214">
        <f>+'Capital Circulante'!H6</f>
        <v>502687.78495117871</v>
      </c>
    </row>
    <row r="52" spans="1:11" ht="15" customHeight="1">
      <c r="A52" s="163" t="s">
        <v>166</v>
      </c>
      <c r="B52" s="299"/>
      <c r="C52" s="299">
        <v>191383.69</v>
      </c>
      <c r="D52" s="299">
        <v>191383.69</v>
      </c>
      <c r="E52" s="214"/>
      <c r="F52" s="214"/>
      <c r="G52" s="214"/>
      <c r="H52" s="214"/>
      <c r="I52" s="214"/>
      <c r="J52" s="214"/>
      <c r="K52" s="214"/>
    </row>
    <row r="53" spans="1:11" ht="15" customHeight="1">
      <c r="A53" s="163" t="s">
        <v>113</v>
      </c>
      <c r="B53" s="299"/>
      <c r="C53" s="299">
        <v>110352.51</v>
      </c>
      <c r="D53" s="299">
        <v>214996.13</v>
      </c>
      <c r="E53" s="214"/>
      <c r="F53" s="214"/>
      <c r="G53" s="214"/>
      <c r="H53" s="214"/>
      <c r="I53" s="214"/>
      <c r="J53" s="214"/>
      <c r="K53" s="214"/>
    </row>
    <row r="54" spans="1:11" ht="15" customHeight="1">
      <c r="A54" s="163" t="s">
        <v>123</v>
      </c>
      <c r="B54" s="299"/>
      <c r="C54" s="299"/>
      <c r="D54" s="299"/>
      <c r="E54" s="214">
        <v>0</v>
      </c>
      <c r="F54" s="214"/>
      <c r="G54" s="214"/>
      <c r="H54" s="214"/>
      <c r="I54" s="214"/>
      <c r="J54" s="214"/>
      <c r="K54" s="214"/>
    </row>
    <row r="55" spans="1:11" ht="15" customHeight="1">
      <c r="A55" s="163" t="s">
        <v>124</v>
      </c>
      <c r="B55" s="299"/>
      <c r="C55" s="299">
        <v>122552.49</v>
      </c>
      <c r="D55" s="299">
        <v>103347.05</v>
      </c>
      <c r="E55" s="277"/>
      <c r="F55" s="277"/>
      <c r="G55" s="277"/>
      <c r="H55" s="277"/>
      <c r="I55" s="277"/>
      <c r="J55" s="277"/>
      <c r="K55" s="277"/>
    </row>
    <row r="56" spans="1:11" ht="15" customHeight="1">
      <c r="A56" s="163" t="s">
        <v>114</v>
      </c>
      <c r="B56" s="299"/>
      <c r="C56" s="299">
        <v>2702.97</v>
      </c>
      <c r="D56" s="408">
        <v>2702.97</v>
      </c>
      <c r="E56" s="277"/>
      <c r="F56" s="277"/>
      <c r="G56" s="277"/>
      <c r="H56" s="277"/>
      <c r="I56" s="277"/>
      <c r="J56" s="277"/>
      <c r="K56" s="277"/>
    </row>
    <row r="57" spans="1:11" ht="15" customHeight="1">
      <c r="A57" s="164"/>
      <c r="B57" s="305">
        <f t="shared" ref="B57:D57" si="13">SUM(B51:B56)</f>
        <v>0</v>
      </c>
      <c r="C57" s="305">
        <f t="shared" si="13"/>
        <v>1852392.1199999999</v>
      </c>
      <c r="D57" s="305">
        <f t="shared" si="13"/>
        <v>1237338.6600000001</v>
      </c>
      <c r="E57" s="284">
        <f>SUM(E51:E56)</f>
        <v>511445.57749999996</v>
      </c>
      <c r="F57" s="284">
        <f>SUM(F51:F56)</f>
        <v>405273.54249999998</v>
      </c>
      <c r="G57" s="284">
        <f>SUM(G51:G56)</f>
        <v>359006.85302833334</v>
      </c>
      <c r="H57" s="284">
        <f>SUM(H51:H56)</f>
        <v>394886.70499783335</v>
      </c>
      <c r="I57" s="284">
        <f>SUM(I51:I56)</f>
        <v>408735.40955940005</v>
      </c>
      <c r="J57" s="284">
        <f t="shared" ref="J57:K57" si="14">SUM(J51:J56)</f>
        <v>463517.30820173619</v>
      </c>
      <c r="K57" s="284">
        <f t="shared" si="14"/>
        <v>502687.78495117871</v>
      </c>
    </row>
    <row r="58" spans="1:11" ht="15" customHeight="1">
      <c r="A58" s="163"/>
      <c r="B58" s="306"/>
      <c r="C58" s="306"/>
      <c r="D58" s="306"/>
      <c r="E58" s="276"/>
      <c r="F58" s="276"/>
      <c r="G58" s="276"/>
      <c r="H58" s="276"/>
      <c r="I58" s="276"/>
      <c r="J58" s="276"/>
      <c r="K58" s="276"/>
    </row>
    <row r="59" spans="1:11" ht="15" customHeight="1">
      <c r="A59" s="163"/>
      <c r="B59" s="298"/>
      <c r="C59" s="298"/>
      <c r="D59" s="298"/>
      <c r="E59" s="277"/>
      <c r="F59" s="277"/>
      <c r="G59" s="277"/>
      <c r="H59" s="277"/>
      <c r="I59" s="277"/>
      <c r="J59" s="277"/>
      <c r="K59" s="277"/>
    </row>
    <row r="60" spans="1:11" ht="15" customHeight="1">
      <c r="A60" s="166" t="s">
        <v>108</v>
      </c>
      <c r="B60" s="307">
        <f t="shared" ref="B60:D60" si="15">+B49+B57</f>
        <v>0</v>
      </c>
      <c r="C60" s="307">
        <f t="shared" si="15"/>
        <v>3298038.5199999996</v>
      </c>
      <c r="D60" s="307">
        <f t="shared" si="15"/>
        <v>3927592.47</v>
      </c>
      <c r="E60" s="285">
        <f>+E49+E57</f>
        <v>531445.5774999999</v>
      </c>
      <c r="F60" s="285">
        <f>+F49+F57</f>
        <v>425273.54249999998</v>
      </c>
      <c r="G60" s="285">
        <f>+G49+G57</f>
        <v>379006.85302833334</v>
      </c>
      <c r="H60" s="285">
        <f>+H49+H57</f>
        <v>801944.96842640475</v>
      </c>
      <c r="I60" s="285">
        <f>+I49+I57</f>
        <v>751283.96241654293</v>
      </c>
      <c r="J60" s="285">
        <f t="shared" ref="J60:K60" si="16">+J49+J57</f>
        <v>741556.15048745042</v>
      </c>
      <c r="K60" s="285">
        <f t="shared" si="16"/>
        <v>716216.91666546441</v>
      </c>
    </row>
    <row r="61" spans="1:11" ht="15" customHeight="1">
      <c r="A61" s="162"/>
      <c r="B61" s="298"/>
      <c r="C61" s="298"/>
      <c r="D61" s="298"/>
      <c r="E61" s="277"/>
      <c r="F61" s="277"/>
      <c r="G61" s="277"/>
      <c r="H61" s="277"/>
      <c r="I61" s="277"/>
      <c r="J61" s="277"/>
      <c r="K61" s="277"/>
    </row>
    <row r="62" spans="1:11" ht="15" customHeight="1">
      <c r="A62" s="163"/>
      <c r="B62" s="298"/>
      <c r="C62" s="298"/>
      <c r="D62" s="298"/>
      <c r="E62" s="277"/>
      <c r="F62" s="277"/>
      <c r="G62" s="277"/>
      <c r="H62" s="277"/>
      <c r="I62" s="277"/>
      <c r="J62" s="277"/>
      <c r="K62" s="277"/>
    </row>
    <row r="63" spans="1:11" ht="15" customHeight="1">
      <c r="A63" s="165" t="s">
        <v>109</v>
      </c>
      <c r="B63" s="305">
        <f t="shared" ref="B63:D63" si="17">+B41+B60</f>
        <v>0</v>
      </c>
      <c r="C63" s="305">
        <f t="shared" si="17"/>
        <v>5151972.76</v>
      </c>
      <c r="D63" s="305">
        <f t="shared" si="17"/>
        <v>5356967.08</v>
      </c>
      <c r="E63" s="284">
        <f>+E41+E60</f>
        <v>1257310.1629999992</v>
      </c>
      <c r="F63" s="284">
        <f>+F41+F60</f>
        <v>1100349.5119999994</v>
      </c>
      <c r="G63" s="284">
        <f>+G41+G60</f>
        <v>1405287.394639733</v>
      </c>
      <c r="H63" s="284">
        <f>+H41+H60</f>
        <v>2350789.340982045</v>
      </c>
      <c r="I63" s="284">
        <f>+I41+I60</f>
        <v>2697927.2869428713</v>
      </c>
      <c r="J63" s="284">
        <f t="shared" ref="J63:K63" si="18">+J41+J60</f>
        <v>3373128.4617349347</v>
      </c>
      <c r="K63" s="284">
        <f t="shared" si="18"/>
        <v>4282304.9084088812</v>
      </c>
    </row>
    <row r="64" spans="1:11" ht="15" customHeight="1">
      <c r="A64" s="162"/>
      <c r="B64" s="298"/>
      <c r="C64" s="298"/>
      <c r="D64" s="298"/>
      <c r="E64" s="276"/>
      <c r="F64" s="276"/>
      <c r="G64" s="276"/>
      <c r="H64" s="276"/>
      <c r="I64" s="276"/>
      <c r="J64" s="276"/>
      <c r="K64" s="276"/>
    </row>
    <row r="65" spans="1:11" ht="15" customHeight="1">
      <c r="A65" s="165" t="s">
        <v>125</v>
      </c>
      <c r="B65" s="308">
        <f t="shared" ref="B65:D65" si="19">+B24-B63</f>
        <v>0</v>
      </c>
      <c r="C65" s="308">
        <f t="shared" si="19"/>
        <v>0</v>
      </c>
      <c r="D65" s="308">
        <f t="shared" si="19"/>
        <v>0</v>
      </c>
      <c r="E65" s="296">
        <f>+E24-E63</f>
        <v>575711.5</v>
      </c>
      <c r="F65" s="286">
        <f>+F24-F63</f>
        <v>-368991.31999999995</v>
      </c>
      <c r="G65" s="286">
        <f>+G24-G63</f>
        <v>-355919.51977000013</v>
      </c>
      <c r="H65" s="286">
        <f>+H24-H63</f>
        <v>-752329.58377000014</v>
      </c>
      <c r="I65" s="286">
        <f>+I24-I63</f>
        <v>-645408.80576999998</v>
      </c>
      <c r="J65" s="287">
        <f t="shared" ref="J65:K65" si="20">+J24-J63</f>
        <v>-538488.02777000004</v>
      </c>
      <c r="K65" s="287">
        <f t="shared" si="20"/>
        <v>-431567.24976999965</v>
      </c>
    </row>
    <row r="66" spans="1:11" ht="12.75" customHeight="1">
      <c r="A66" s="289" t="s">
        <v>165</v>
      </c>
      <c r="B66" s="309" t="e">
        <f>+B41/B24</f>
        <v>#DIV/0!</v>
      </c>
      <c r="C66" s="309">
        <f t="shared" ref="C66:K66" si="21">+C41/C24</f>
        <v>0.35984938709186803</v>
      </c>
      <c r="D66" s="309">
        <f t="shared" si="21"/>
        <v>0.26682534886886028</v>
      </c>
      <c r="E66" s="290">
        <f>+E41/E24</f>
        <v>0.39599345722516954</v>
      </c>
      <c r="F66" s="290">
        <f t="shared" si="21"/>
        <v>0.92304424409865626</v>
      </c>
      <c r="G66" s="290">
        <f t="shared" si="21"/>
        <v>0.97799881832555691</v>
      </c>
      <c r="H66" s="290">
        <f t="shared" si="21"/>
        <v>0.96896050436518866</v>
      </c>
      <c r="I66" s="290">
        <f t="shared" si="21"/>
        <v>0.94841695330994413</v>
      </c>
      <c r="J66" s="290">
        <f t="shared" si="21"/>
        <v>0.92836194662142379</v>
      </c>
      <c r="K66" s="290">
        <f t="shared" si="21"/>
        <v>0.9260791847876545</v>
      </c>
    </row>
    <row r="67" spans="1:11" ht="12.75" customHeight="1">
      <c r="B67" s="311"/>
      <c r="C67" s="311"/>
      <c r="D67" s="311"/>
    </row>
    <row r="68" spans="1:11" ht="20.100000000000001" customHeight="1">
      <c r="A68" s="106" t="s">
        <v>131</v>
      </c>
      <c r="B68" s="312"/>
      <c r="C68" s="312"/>
      <c r="D68" s="312"/>
    </row>
    <row r="69" spans="1:11" ht="12.75" customHeight="1">
      <c r="B69" s="311"/>
      <c r="C69" s="311"/>
      <c r="D69" s="311"/>
    </row>
    <row r="70" spans="1:11" ht="12.75" customHeight="1">
      <c r="B70" s="311"/>
      <c r="C70" s="311"/>
      <c r="D70" s="311"/>
    </row>
    <row r="71" spans="1:11" ht="12.75" customHeight="1">
      <c r="B71" s="311"/>
      <c r="C71" s="311"/>
      <c r="D71" s="311"/>
    </row>
    <row r="72" spans="1:11" ht="12.75" customHeight="1">
      <c r="B72" s="311"/>
      <c r="C72" s="311"/>
      <c r="D72" s="311"/>
    </row>
    <row r="73" spans="1:11" ht="12.75" customHeight="1">
      <c r="B73" s="311"/>
      <c r="C73" s="311"/>
      <c r="D73" s="311"/>
    </row>
    <row r="74" spans="1:11" ht="12.75" customHeight="1">
      <c r="B74" s="311"/>
      <c r="C74" s="311"/>
      <c r="D74" s="311"/>
    </row>
    <row r="75" spans="1:11" ht="12.75" customHeight="1">
      <c r="B75" s="311"/>
      <c r="C75" s="311"/>
      <c r="D75" s="311"/>
    </row>
    <row r="76" spans="1:11" ht="12.75" customHeight="1">
      <c r="B76" s="311"/>
      <c r="C76" s="311"/>
      <c r="D76" s="311"/>
    </row>
    <row r="77" spans="1:11" ht="12.75" customHeight="1">
      <c r="B77" s="311"/>
      <c r="C77" s="311"/>
      <c r="D77" s="311"/>
    </row>
    <row r="78" spans="1:11" ht="12.75" customHeight="1">
      <c r="B78" s="311"/>
      <c r="C78" s="311"/>
      <c r="D78" s="311"/>
    </row>
    <row r="79" spans="1:11" ht="12.75" customHeight="1">
      <c r="B79" s="311"/>
      <c r="C79" s="311"/>
      <c r="D79" s="311"/>
    </row>
    <row r="80" spans="1:11" ht="12.75" customHeight="1">
      <c r="B80" s="311"/>
      <c r="C80" s="311"/>
      <c r="D80" s="311"/>
    </row>
    <row r="81" spans="2:4" ht="12.75" customHeight="1">
      <c r="B81" s="311"/>
      <c r="C81" s="311"/>
      <c r="D81" s="311"/>
    </row>
    <row r="82" spans="2:4" ht="12.75" customHeight="1">
      <c r="B82" s="311"/>
      <c r="C82" s="311"/>
      <c r="D82" s="311"/>
    </row>
    <row r="83" spans="2:4" ht="12.75" customHeight="1">
      <c r="B83" s="311"/>
      <c r="C83" s="311"/>
      <c r="D83" s="311"/>
    </row>
    <row r="84" spans="2:4" ht="12.75" customHeight="1">
      <c r="B84" s="311"/>
      <c r="C84" s="311"/>
      <c r="D84" s="311"/>
    </row>
    <row r="85" spans="2:4" ht="12.75" customHeight="1">
      <c r="B85" s="311"/>
      <c r="C85" s="311"/>
      <c r="D85" s="311"/>
    </row>
    <row r="86" spans="2:4" ht="12.75" customHeight="1">
      <c r="B86" s="311"/>
      <c r="C86" s="311"/>
      <c r="D86" s="311"/>
    </row>
    <row r="87" spans="2:4" ht="12.75" customHeight="1">
      <c r="B87" s="311"/>
      <c r="C87" s="311"/>
      <c r="D87" s="311"/>
    </row>
    <row r="88" spans="2:4" ht="12.75" customHeight="1">
      <c r="B88" s="311"/>
      <c r="C88" s="311"/>
      <c r="D88" s="311"/>
    </row>
    <row r="89" spans="2:4" ht="12.75" customHeight="1">
      <c r="B89" s="311"/>
      <c r="C89" s="311"/>
      <c r="D89" s="311"/>
    </row>
    <row r="90" spans="2:4" ht="12.75" customHeight="1">
      <c r="B90" s="311"/>
      <c r="C90" s="311"/>
      <c r="D90" s="311"/>
    </row>
    <row r="91" spans="2:4" ht="12.75" customHeight="1">
      <c r="B91" s="311"/>
      <c r="C91" s="311"/>
      <c r="D91" s="311"/>
    </row>
    <row r="92" spans="2:4" ht="12.75" customHeight="1">
      <c r="B92" s="311"/>
      <c r="C92" s="311"/>
      <c r="D92" s="311"/>
    </row>
    <row r="93" spans="2:4" ht="12.75" customHeight="1">
      <c r="B93" s="311"/>
      <c r="C93" s="311"/>
      <c r="D93" s="311"/>
    </row>
    <row r="94" spans="2:4" ht="12.75" customHeight="1">
      <c r="B94" s="311"/>
      <c r="C94" s="311"/>
      <c r="D94" s="311"/>
    </row>
    <row r="95" spans="2:4" ht="12.75" customHeight="1">
      <c r="B95" s="311"/>
      <c r="C95" s="311"/>
      <c r="D95" s="311"/>
    </row>
    <row r="96" spans="2:4" ht="12.75" customHeight="1">
      <c r="B96" s="311"/>
      <c r="C96" s="311"/>
      <c r="D96" s="311"/>
    </row>
    <row r="97" spans="2:4" ht="12.75" customHeight="1">
      <c r="B97" s="311"/>
      <c r="C97" s="311"/>
      <c r="D97" s="311"/>
    </row>
    <row r="98" spans="2:4" ht="12.75" customHeight="1">
      <c r="B98" s="311"/>
      <c r="C98" s="311"/>
      <c r="D98" s="311"/>
    </row>
    <row r="99" spans="2:4" ht="12.75" customHeight="1">
      <c r="B99" s="311"/>
      <c r="C99" s="311"/>
      <c r="D99" s="311"/>
    </row>
    <row r="100" spans="2:4" ht="12.75" customHeight="1">
      <c r="B100" s="311"/>
      <c r="C100" s="311"/>
      <c r="D100" s="311"/>
    </row>
    <row r="101" spans="2:4" ht="12.75" customHeight="1">
      <c r="B101" s="311"/>
      <c r="C101" s="311"/>
      <c r="D101" s="311"/>
    </row>
    <row r="102" spans="2:4" ht="12.75" customHeight="1">
      <c r="B102" s="311"/>
      <c r="C102" s="311"/>
      <c r="D102" s="311"/>
    </row>
    <row r="103" spans="2:4" ht="12.75" customHeight="1">
      <c r="B103" s="311"/>
      <c r="C103" s="311"/>
      <c r="D103" s="311"/>
    </row>
    <row r="104" spans="2:4" ht="12.75" customHeight="1">
      <c r="B104" s="311"/>
      <c r="C104" s="311"/>
      <c r="D104" s="311"/>
    </row>
    <row r="105" spans="2:4" ht="12.75" customHeight="1">
      <c r="B105" s="311"/>
      <c r="C105" s="311"/>
      <c r="D105" s="311"/>
    </row>
    <row r="106" spans="2:4" ht="12.75" customHeight="1">
      <c r="B106" s="311"/>
      <c r="C106" s="311"/>
      <c r="D106" s="311"/>
    </row>
    <row r="107" spans="2:4" ht="12.75" customHeight="1">
      <c r="B107" s="311"/>
      <c r="C107" s="311"/>
      <c r="D107" s="311"/>
    </row>
    <row r="108" spans="2:4" ht="12.75" customHeight="1">
      <c r="B108" s="311"/>
      <c r="C108" s="311"/>
      <c r="D108" s="311"/>
    </row>
    <row r="109" spans="2:4" ht="12.75" customHeight="1">
      <c r="B109" s="311"/>
      <c r="C109" s="311"/>
      <c r="D109" s="311"/>
    </row>
    <row r="110" spans="2:4" ht="12.75" customHeight="1">
      <c r="B110" s="311"/>
      <c r="C110" s="311"/>
      <c r="D110" s="311"/>
    </row>
    <row r="111" spans="2:4" ht="12.75" customHeight="1">
      <c r="B111" s="311"/>
      <c r="C111" s="311"/>
      <c r="D111" s="311"/>
    </row>
    <row r="112" spans="2:4" ht="12.75" customHeight="1">
      <c r="B112" s="311"/>
      <c r="C112" s="311"/>
      <c r="D112" s="311"/>
    </row>
    <row r="113" spans="2:4" ht="12.75" customHeight="1">
      <c r="B113" s="311"/>
      <c r="C113" s="311"/>
      <c r="D113" s="311"/>
    </row>
    <row r="114" spans="2:4" ht="12.75" customHeight="1">
      <c r="B114" s="311"/>
      <c r="C114" s="311"/>
      <c r="D114" s="311"/>
    </row>
    <row r="115" spans="2:4" ht="12.75" customHeight="1">
      <c r="B115" s="311"/>
      <c r="C115" s="311"/>
      <c r="D115" s="311"/>
    </row>
    <row r="116" spans="2:4" ht="12.75" customHeight="1">
      <c r="B116" s="311"/>
      <c r="C116" s="311"/>
      <c r="D116" s="311"/>
    </row>
    <row r="117" spans="2:4" ht="12.75" customHeight="1">
      <c r="B117" s="311"/>
      <c r="C117" s="311"/>
      <c r="D117" s="311"/>
    </row>
    <row r="118" spans="2:4" ht="12.75" customHeight="1">
      <c r="B118" s="311"/>
      <c r="C118" s="311"/>
      <c r="D118" s="311"/>
    </row>
    <row r="119" spans="2:4" ht="12.75" customHeight="1">
      <c r="B119" s="311"/>
      <c r="C119" s="311"/>
      <c r="D119" s="311"/>
    </row>
    <row r="120" spans="2:4" ht="12.75" customHeight="1">
      <c r="B120" s="311"/>
      <c r="C120" s="311"/>
      <c r="D120" s="311"/>
    </row>
    <row r="121" spans="2:4" ht="12.75" customHeight="1">
      <c r="B121" s="311"/>
      <c r="C121" s="311"/>
      <c r="D121" s="311"/>
    </row>
    <row r="122" spans="2:4" ht="12.75" customHeight="1">
      <c r="B122" s="311"/>
      <c r="C122" s="311"/>
      <c r="D122" s="311"/>
    </row>
    <row r="123" spans="2:4" ht="12.75" customHeight="1">
      <c r="B123" s="311"/>
      <c r="C123" s="311"/>
      <c r="D123" s="311"/>
    </row>
    <row r="124" spans="2:4" ht="12.75" customHeight="1">
      <c r="B124" s="311"/>
      <c r="C124" s="311"/>
      <c r="D124" s="311"/>
    </row>
    <row r="125" spans="2:4" ht="12.75" customHeight="1">
      <c r="B125" s="311"/>
      <c r="C125" s="311"/>
      <c r="D125" s="311"/>
    </row>
    <row r="126" spans="2:4" ht="12.75" customHeight="1">
      <c r="B126" s="311"/>
      <c r="C126" s="311"/>
      <c r="D126" s="311"/>
    </row>
    <row r="127" spans="2:4" ht="12.75" customHeight="1">
      <c r="B127" s="311"/>
      <c r="C127" s="311"/>
      <c r="D127" s="311"/>
    </row>
    <row r="128" spans="2:4" ht="12.75" customHeight="1">
      <c r="B128" s="311"/>
      <c r="C128" s="311"/>
      <c r="D128" s="311"/>
    </row>
    <row r="129" spans="2:4" ht="12.75" customHeight="1">
      <c r="B129" s="311"/>
      <c r="C129" s="311"/>
      <c r="D129" s="311"/>
    </row>
    <row r="130" spans="2:4" ht="12.75" customHeight="1">
      <c r="B130" s="311"/>
      <c r="C130" s="311"/>
      <c r="D130" s="311"/>
    </row>
    <row r="131" spans="2:4" ht="12.75" customHeight="1">
      <c r="B131" s="311"/>
      <c r="C131" s="311"/>
      <c r="D131" s="311"/>
    </row>
    <row r="132" spans="2:4" ht="12.75" customHeight="1">
      <c r="B132" s="311"/>
      <c r="C132" s="311"/>
      <c r="D132" s="311"/>
    </row>
    <row r="133" spans="2:4" ht="12.75" customHeight="1">
      <c r="B133" s="311"/>
      <c r="C133" s="311"/>
      <c r="D133" s="311"/>
    </row>
    <row r="134" spans="2:4" ht="12.75" customHeight="1">
      <c r="B134" s="311"/>
      <c r="C134" s="311"/>
      <c r="D134" s="311"/>
    </row>
    <row r="135" spans="2:4" ht="12.75" customHeight="1">
      <c r="B135" s="311"/>
      <c r="C135" s="311"/>
      <c r="D135" s="311"/>
    </row>
    <row r="136" spans="2:4" ht="12.75" customHeight="1">
      <c r="B136" s="311"/>
      <c r="C136" s="311"/>
      <c r="D136" s="311"/>
    </row>
    <row r="137" spans="2:4" ht="12.75" customHeight="1">
      <c r="B137" s="311"/>
      <c r="C137" s="311"/>
      <c r="D137" s="311"/>
    </row>
    <row r="138" spans="2:4" ht="12.75" customHeight="1">
      <c r="B138" s="311"/>
      <c r="C138" s="311"/>
      <c r="D138" s="311"/>
    </row>
    <row r="139" spans="2:4" ht="12.75" customHeight="1">
      <c r="B139" s="311"/>
      <c r="C139" s="311"/>
      <c r="D139" s="311"/>
    </row>
    <row r="140" spans="2:4" ht="12.75" customHeight="1">
      <c r="B140" s="311"/>
      <c r="C140" s="311"/>
      <c r="D140" s="311"/>
    </row>
    <row r="141" spans="2:4" ht="12.75" customHeight="1">
      <c r="B141" s="311"/>
      <c r="C141" s="311"/>
      <c r="D141" s="311"/>
    </row>
    <row r="142" spans="2:4" ht="12.75" customHeight="1">
      <c r="B142" s="311"/>
      <c r="C142" s="311"/>
      <c r="D142" s="311"/>
    </row>
    <row r="143" spans="2:4" ht="12.75" customHeight="1">
      <c r="B143" s="311"/>
      <c r="C143" s="311"/>
      <c r="D143" s="311"/>
    </row>
    <row r="144" spans="2:4" ht="12.75" customHeight="1">
      <c r="B144" s="311"/>
      <c r="C144" s="311"/>
      <c r="D144" s="311"/>
    </row>
    <row r="145" spans="2:4" ht="12.75" customHeight="1">
      <c r="B145" s="311"/>
      <c r="C145" s="311"/>
      <c r="D145" s="311"/>
    </row>
    <row r="146" spans="2:4" ht="12.75" customHeight="1">
      <c r="B146" s="311"/>
      <c r="C146" s="311"/>
      <c r="D146" s="311"/>
    </row>
    <row r="147" spans="2:4" ht="12.75" customHeight="1">
      <c r="B147" s="311"/>
      <c r="C147" s="311"/>
      <c r="D147" s="311"/>
    </row>
    <row r="148" spans="2:4" ht="12.75" customHeight="1">
      <c r="B148" s="311"/>
      <c r="C148" s="311"/>
      <c r="D148" s="311"/>
    </row>
    <row r="149" spans="2:4" ht="12.75" customHeight="1">
      <c r="B149" s="311"/>
      <c r="C149" s="311"/>
      <c r="D149" s="311"/>
    </row>
    <row r="150" spans="2:4" ht="12.75" customHeight="1">
      <c r="B150" s="311"/>
      <c r="C150" s="311"/>
      <c r="D150" s="311"/>
    </row>
    <row r="151" spans="2:4" ht="12.75" customHeight="1">
      <c r="B151" s="311"/>
      <c r="C151" s="311"/>
      <c r="D151" s="311"/>
    </row>
    <row r="152" spans="2:4" ht="12.75" customHeight="1">
      <c r="B152" s="311"/>
      <c r="C152" s="311"/>
      <c r="D152" s="311"/>
    </row>
    <row r="153" spans="2:4" ht="12.75" customHeight="1">
      <c r="B153" s="311"/>
      <c r="C153" s="311"/>
      <c r="D153" s="311"/>
    </row>
    <row r="154" spans="2:4" ht="12.75" customHeight="1">
      <c r="B154" s="311"/>
      <c r="C154" s="311"/>
      <c r="D154" s="311"/>
    </row>
    <row r="155" spans="2:4" ht="12.75" customHeight="1">
      <c r="B155" s="311"/>
      <c r="C155" s="311"/>
      <c r="D155" s="311"/>
    </row>
    <row r="156" spans="2:4" ht="12.75" customHeight="1">
      <c r="B156" s="311"/>
      <c r="C156" s="311"/>
      <c r="D156" s="311"/>
    </row>
    <row r="157" spans="2:4" ht="12.75" customHeight="1">
      <c r="B157" s="311"/>
      <c r="C157" s="311"/>
      <c r="D157" s="311"/>
    </row>
    <row r="158" spans="2:4" ht="12.75" customHeight="1">
      <c r="B158" s="311"/>
      <c r="C158" s="311"/>
      <c r="D158" s="311"/>
    </row>
    <row r="159" spans="2:4" ht="12.75" customHeight="1">
      <c r="B159" s="311"/>
      <c r="C159" s="311"/>
      <c r="D159" s="311"/>
    </row>
    <row r="160" spans="2:4" ht="12.75" customHeight="1">
      <c r="B160" s="311"/>
      <c r="C160" s="311"/>
      <c r="D160" s="311"/>
    </row>
    <row r="161" spans="2:4" ht="12.75" customHeight="1">
      <c r="B161" s="311"/>
      <c r="C161" s="311"/>
      <c r="D161" s="311"/>
    </row>
    <row r="162" spans="2:4" ht="12.75" customHeight="1">
      <c r="B162" s="311"/>
      <c r="C162" s="311"/>
      <c r="D162" s="311"/>
    </row>
    <row r="163" spans="2:4" ht="12.75" customHeight="1">
      <c r="B163" s="311"/>
      <c r="C163" s="311"/>
      <c r="D163" s="311"/>
    </row>
    <row r="164" spans="2:4" ht="12.75" customHeight="1">
      <c r="B164" s="311"/>
      <c r="C164" s="311"/>
      <c r="D164" s="311"/>
    </row>
    <row r="165" spans="2:4" ht="12.75" customHeight="1">
      <c r="B165" s="311"/>
      <c r="C165" s="311"/>
      <c r="D165" s="311"/>
    </row>
    <row r="166" spans="2:4" ht="12.75" customHeight="1">
      <c r="B166" s="311"/>
      <c r="C166" s="311"/>
      <c r="D166" s="311"/>
    </row>
    <row r="167" spans="2:4" ht="12.75" customHeight="1">
      <c r="B167" s="311"/>
      <c r="C167" s="311"/>
      <c r="D167" s="311"/>
    </row>
    <row r="168" spans="2:4" ht="12.75" customHeight="1">
      <c r="B168" s="311"/>
      <c r="C168" s="311"/>
      <c r="D168" s="311"/>
    </row>
    <row r="169" spans="2:4" ht="12.75" customHeight="1">
      <c r="B169" s="311"/>
      <c r="C169" s="311"/>
      <c r="D169" s="311"/>
    </row>
    <row r="170" spans="2:4" ht="12.75" customHeight="1">
      <c r="B170" s="311"/>
      <c r="C170" s="311"/>
      <c r="D170" s="311"/>
    </row>
    <row r="171" spans="2:4" ht="12.75" customHeight="1">
      <c r="B171" s="311"/>
      <c r="C171" s="311"/>
      <c r="D171" s="311"/>
    </row>
    <row r="172" spans="2:4" ht="12.75" customHeight="1">
      <c r="B172" s="311"/>
      <c r="C172" s="311"/>
      <c r="D172" s="311"/>
    </row>
    <row r="173" spans="2:4" ht="12.75" customHeight="1">
      <c r="B173" s="311"/>
      <c r="C173" s="311"/>
      <c r="D173" s="311"/>
    </row>
    <row r="174" spans="2:4" ht="12.75" customHeight="1">
      <c r="B174" s="311"/>
      <c r="C174" s="311"/>
      <c r="D174" s="311"/>
    </row>
    <row r="175" spans="2:4" ht="12.75" customHeight="1">
      <c r="B175" s="311"/>
      <c r="C175" s="311"/>
      <c r="D175" s="311"/>
    </row>
    <row r="176" spans="2:4" ht="12.75" customHeight="1">
      <c r="B176" s="311"/>
      <c r="C176" s="311"/>
      <c r="D176" s="311"/>
    </row>
    <row r="177" spans="2:4" ht="12.75" customHeight="1">
      <c r="B177" s="311"/>
      <c r="C177" s="311"/>
      <c r="D177" s="311"/>
    </row>
    <row r="178" spans="2:4" ht="12.75" customHeight="1">
      <c r="B178" s="311"/>
      <c r="C178" s="311"/>
      <c r="D178" s="311"/>
    </row>
    <row r="179" spans="2:4" ht="12.75" customHeight="1">
      <c r="B179" s="311"/>
      <c r="C179" s="311"/>
      <c r="D179" s="311"/>
    </row>
    <row r="180" spans="2:4" ht="12.75" customHeight="1">
      <c r="B180" s="311"/>
      <c r="C180" s="311"/>
      <c r="D180" s="311"/>
    </row>
    <row r="181" spans="2:4" ht="12.75" customHeight="1">
      <c r="B181" s="311"/>
      <c r="C181" s="311"/>
      <c r="D181" s="311"/>
    </row>
    <row r="182" spans="2:4" ht="12.75" customHeight="1">
      <c r="B182" s="311"/>
      <c r="C182" s="311"/>
      <c r="D182" s="311"/>
    </row>
    <row r="183" spans="2:4" ht="12.75" customHeight="1">
      <c r="B183" s="311"/>
      <c r="C183" s="311"/>
      <c r="D183" s="311"/>
    </row>
    <row r="184" spans="2:4" ht="12.75" customHeight="1">
      <c r="B184" s="311"/>
      <c r="C184" s="311"/>
      <c r="D184" s="311"/>
    </row>
    <row r="185" spans="2:4" ht="12.75" customHeight="1">
      <c r="B185" s="311"/>
      <c r="C185" s="311"/>
      <c r="D185" s="311"/>
    </row>
    <row r="186" spans="2:4" ht="12.75" customHeight="1">
      <c r="B186" s="311"/>
      <c r="C186" s="311"/>
      <c r="D186" s="311"/>
    </row>
    <row r="187" spans="2:4" ht="12.75" customHeight="1">
      <c r="B187" s="311"/>
      <c r="C187" s="311"/>
      <c r="D187" s="311"/>
    </row>
    <row r="188" spans="2:4" ht="12.75" customHeight="1">
      <c r="B188" s="311"/>
      <c r="C188" s="311"/>
      <c r="D188" s="311"/>
    </row>
    <row r="189" spans="2:4" ht="12.75" customHeight="1">
      <c r="B189" s="311"/>
      <c r="C189" s="311"/>
      <c r="D189" s="311"/>
    </row>
    <row r="190" spans="2:4" ht="12.75" customHeight="1">
      <c r="B190" s="311"/>
      <c r="C190" s="311"/>
      <c r="D190" s="311"/>
    </row>
    <row r="191" spans="2:4" ht="12.75" customHeight="1">
      <c r="B191" s="311"/>
      <c r="C191" s="311"/>
      <c r="D191" s="311"/>
    </row>
    <row r="192" spans="2:4" ht="12.75" customHeight="1">
      <c r="B192" s="311"/>
      <c r="C192" s="311"/>
      <c r="D192" s="311"/>
    </row>
    <row r="193" spans="2:4" ht="12.75" customHeight="1">
      <c r="B193" s="311"/>
      <c r="C193" s="311"/>
      <c r="D193" s="311"/>
    </row>
    <row r="194" spans="2:4" ht="12.75" customHeight="1">
      <c r="B194" s="311"/>
      <c r="C194" s="311"/>
      <c r="D194" s="311"/>
    </row>
    <row r="195" spans="2:4" ht="12.75" customHeight="1">
      <c r="B195" s="311"/>
      <c r="C195" s="311"/>
      <c r="D195" s="311"/>
    </row>
    <row r="196" spans="2:4" ht="12.75" customHeight="1">
      <c r="B196" s="311"/>
      <c r="C196" s="311"/>
      <c r="D196" s="311"/>
    </row>
    <row r="197" spans="2:4" ht="12.75" customHeight="1">
      <c r="B197" s="311"/>
      <c r="C197" s="311"/>
      <c r="D197" s="311"/>
    </row>
    <row r="198" spans="2:4" ht="12.75" customHeight="1">
      <c r="B198" s="311"/>
      <c r="C198" s="311"/>
      <c r="D198" s="311"/>
    </row>
    <row r="199" spans="2:4" ht="12.75" customHeight="1">
      <c r="B199" s="311"/>
      <c r="C199" s="311"/>
      <c r="D199" s="311"/>
    </row>
    <row r="200" spans="2:4" ht="12.75" customHeight="1">
      <c r="B200" s="311"/>
      <c r="C200" s="311"/>
      <c r="D200" s="311"/>
    </row>
    <row r="201" spans="2:4" ht="12.75" customHeight="1">
      <c r="B201" s="311"/>
      <c r="C201" s="311"/>
      <c r="D201" s="311"/>
    </row>
    <row r="202" spans="2:4" ht="12.75" customHeight="1">
      <c r="B202" s="311"/>
      <c r="C202" s="311"/>
      <c r="D202" s="311"/>
    </row>
    <row r="203" spans="2:4" ht="12.75" customHeight="1">
      <c r="B203" s="311"/>
      <c r="C203" s="311"/>
      <c r="D203" s="311"/>
    </row>
    <row r="204" spans="2:4" ht="12.75" customHeight="1">
      <c r="B204" s="311"/>
      <c r="C204" s="311"/>
      <c r="D204" s="311"/>
    </row>
    <row r="205" spans="2:4" ht="12.75" customHeight="1">
      <c r="B205" s="311"/>
      <c r="C205" s="311"/>
      <c r="D205" s="311"/>
    </row>
    <row r="206" spans="2:4" ht="12.75" customHeight="1">
      <c r="B206" s="311"/>
      <c r="C206" s="311"/>
      <c r="D206" s="311"/>
    </row>
    <row r="207" spans="2:4" ht="12.75" customHeight="1">
      <c r="B207" s="311"/>
      <c r="C207" s="311"/>
      <c r="D207" s="311"/>
    </row>
    <row r="208" spans="2:4" ht="12.75" customHeight="1">
      <c r="B208" s="311"/>
      <c r="C208" s="311"/>
      <c r="D208" s="311"/>
    </row>
    <row r="209" spans="2:4" ht="12.75" customHeight="1">
      <c r="B209" s="311"/>
      <c r="C209" s="311"/>
      <c r="D209" s="311"/>
    </row>
    <row r="210" spans="2:4" ht="12.75" customHeight="1">
      <c r="B210" s="311"/>
      <c r="C210" s="311"/>
      <c r="D210" s="311"/>
    </row>
    <row r="211" spans="2:4" ht="12.75" customHeight="1">
      <c r="B211" s="311"/>
      <c r="C211" s="311"/>
      <c r="D211" s="311"/>
    </row>
    <row r="212" spans="2:4" ht="12.75" customHeight="1">
      <c r="B212" s="311"/>
      <c r="C212" s="311"/>
      <c r="D212" s="311"/>
    </row>
    <row r="213" spans="2:4" ht="12.75" customHeight="1">
      <c r="B213" s="311"/>
      <c r="C213" s="311"/>
      <c r="D213" s="311"/>
    </row>
    <row r="214" spans="2:4" ht="12.75" customHeight="1">
      <c r="B214" s="311"/>
      <c r="C214" s="311"/>
      <c r="D214" s="311"/>
    </row>
    <row r="215" spans="2:4" ht="12.75" customHeight="1">
      <c r="B215" s="311"/>
      <c r="C215" s="311"/>
      <c r="D215" s="311"/>
    </row>
    <row r="216" spans="2:4" ht="12.75" customHeight="1">
      <c r="B216" s="311"/>
      <c r="C216" s="311"/>
      <c r="D216" s="311"/>
    </row>
    <row r="217" spans="2:4" ht="12.75" customHeight="1">
      <c r="B217" s="311"/>
      <c r="C217" s="311"/>
      <c r="D217" s="311"/>
    </row>
    <row r="218" spans="2:4" ht="12.75" customHeight="1">
      <c r="B218" s="311"/>
      <c r="C218" s="311"/>
      <c r="D218" s="311"/>
    </row>
    <row r="219" spans="2:4" ht="12.75" customHeight="1">
      <c r="B219" s="311"/>
      <c r="C219" s="311"/>
      <c r="D219" s="311"/>
    </row>
    <row r="220" spans="2:4" ht="12.75" customHeight="1">
      <c r="B220" s="311"/>
      <c r="C220" s="311"/>
      <c r="D220" s="311"/>
    </row>
    <row r="221" spans="2:4" ht="12.75" customHeight="1">
      <c r="B221" s="311"/>
      <c r="C221" s="311"/>
      <c r="D221" s="311"/>
    </row>
    <row r="222" spans="2:4" ht="12.75" customHeight="1">
      <c r="B222" s="311"/>
      <c r="C222" s="311"/>
      <c r="D222" s="311"/>
    </row>
    <row r="223" spans="2:4" ht="12.75" customHeight="1">
      <c r="B223" s="311"/>
      <c r="C223" s="311"/>
      <c r="D223" s="311"/>
    </row>
    <row r="224" spans="2:4" ht="12.75" customHeight="1">
      <c r="B224" s="311"/>
      <c r="C224" s="311"/>
      <c r="D224" s="311"/>
    </row>
    <row r="225" spans="2:4" ht="12.75" customHeight="1">
      <c r="B225" s="311"/>
      <c r="C225" s="311"/>
      <c r="D225" s="311"/>
    </row>
    <row r="226" spans="2:4" ht="12.75" customHeight="1">
      <c r="B226" s="311"/>
      <c r="C226" s="311"/>
      <c r="D226" s="311"/>
    </row>
    <row r="227" spans="2:4" ht="12.75" customHeight="1">
      <c r="B227" s="311"/>
      <c r="C227" s="311"/>
      <c r="D227" s="311"/>
    </row>
    <row r="228" spans="2:4" ht="12.75" customHeight="1">
      <c r="B228" s="311"/>
      <c r="C228" s="311"/>
      <c r="D228" s="311"/>
    </row>
    <row r="229" spans="2:4" ht="12.75" customHeight="1">
      <c r="B229" s="311"/>
      <c r="C229" s="311"/>
      <c r="D229" s="311"/>
    </row>
    <row r="230" spans="2:4" ht="12.75" customHeight="1">
      <c r="B230" s="311"/>
      <c r="C230" s="311"/>
      <c r="D230" s="311"/>
    </row>
    <row r="231" spans="2:4" ht="12.75" customHeight="1">
      <c r="B231" s="311"/>
      <c r="C231" s="311"/>
      <c r="D231" s="311"/>
    </row>
    <row r="232" spans="2:4" ht="12.75" customHeight="1">
      <c r="B232" s="311"/>
      <c r="C232" s="311"/>
      <c r="D232" s="311"/>
    </row>
    <row r="233" spans="2:4" ht="12.75" customHeight="1">
      <c r="B233" s="311"/>
      <c r="C233" s="311"/>
      <c r="D233" s="311"/>
    </row>
    <row r="234" spans="2:4" ht="12.75" customHeight="1">
      <c r="B234" s="311"/>
      <c r="C234" s="311"/>
      <c r="D234" s="311"/>
    </row>
    <row r="235" spans="2:4" ht="12.75" customHeight="1">
      <c r="B235" s="311"/>
      <c r="C235" s="311"/>
      <c r="D235" s="311"/>
    </row>
    <row r="236" spans="2:4" ht="12.75" customHeight="1">
      <c r="B236" s="311"/>
      <c r="C236" s="311"/>
      <c r="D236" s="311"/>
    </row>
    <row r="237" spans="2:4" ht="12.75" customHeight="1">
      <c r="B237" s="311"/>
      <c r="C237" s="311"/>
      <c r="D237" s="311"/>
    </row>
    <row r="238" spans="2:4" ht="12.75" customHeight="1">
      <c r="B238" s="311"/>
      <c r="C238" s="311"/>
      <c r="D238" s="311"/>
    </row>
    <row r="239" spans="2:4" ht="12.75" customHeight="1">
      <c r="B239" s="311"/>
      <c r="C239" s="311"/>
      <c r="D239" s="311"/>
    </row>
    <row r="240" spans="2:4" ht="12.75" customHeight="1">
      <c r="B240" s="311"/>
      <c r="C240" s="311"/>
      <c r="D240" s="311"/>
    </row>
    <row r="241" spans="2:4" ht="12.75" customHeight="1">
      <c r="B241" s="311"/>
      <c r="C241" s="311"/>
      <c r="D241" s="311"/>
    </row>
    <row r="242" spans="2:4" ht="12.75" customHeight="1">
      <c r="B242" s="311"/>
      <c r="C242" s="311"/>
      <c r="D242" s="311"/>
    </row>
    <row r="243" spans="2:4" ht="12.75" customHeight="1">
      <c r="B243" s="311"/>
      <c r="C243" s="311"/>
      <c r="D243" s="311"/>
    </row>
    <row r="244" spans="2:4" ht="12.75" customHeight="1">
      <c r="B244" s="311"/>
      <c r="C244" s="311"/>
      <c r="D244" s="311"/>
    </row>
    <row r="245" spans="2:4" ht="12.75" customHeight="1">
      <c r="B245" s="311"/>
      <c r="C245" s="311"/>
      <c r="D245" s="311"/>
    </row>
    <row r="246" spans="2:4" ht="12.75" customHeight="1">
      <c r="B246" s="311"/>
      <c r="C246" s="311"/>
      <c r="D246" s="311"/>
    </row>
    <row r="247" spans="2:4" ht="12.75" customHeight="1">
      <c r="B247" s="311"/>
      <c r="C247" s="311"/>
      <c r="D247" s="311"/>
    </row>
    <row r="248" spans="2:4" ht="12.75" customHeight="1">
      <c r="B248" s="311"/>
      <c r="C248" s="311"/>
      <c r="D248" s="311"/>
    </row>
    <row r="249" spans="2:4" ht="12.75" customHeight="1">
      <c r="B249" s="311"/>
      <c r="C249" s="311"/>
      <c r="D249" s="311"/>
    </row>
    <row r="250" spans="2:4" ht="12.75" customHeight="1">
      <c r="B250" s="311"/>
      <c r="C250" s="311"/>
      <c r="D250" s="311"/>
    </row>
    <row r="251" spans="2:4" ht="12.75" customHeight="1">
      <c r="B251" s="311"/>
      <c r="C251" s="311"/>
      <c r="D251" s="311"/>
    </row>
    <row r="252" spans="2:4" ht="12.75" customHeight="1">
      <c r="B252" s="311"/>
      <c r="C252" s="311"/>
      <c r="D252" s="311"/>
    </row>
    <row r="253" spans="2:4" ht="12.75" customHeight="1">
      <c r="B253" s="311"/>
      <c r="C253" s="311"/>
      <c r="D253" s="311"/>
    </row>
    <row r="254" spans="2:4" ht="12.75" customHeight="1">
      <c r="B254" s="311"/>
      <c r="C254" s="311"/>
      <c r="D254" s="311"/>
    </row>
    <row r="255" spans="2:4" ht="12.75" customHeight="1">
      <c r="B255" s="311"/>
      <c r="C255" s="311"/>
      <c r="D255" s="311"/>
    </row>
    <row r="256" spans="2:4" ht="12.75" customHeight="1">
      <c r="B256" s="311"/>
      <c r="C256" s="311"/>
      <c r="D256" s="311"/>
    </row>
    <row r="257" spans="2:4" ht="12.75" customHeight="1">
      <c r="B257" s="311"/>
      <c r="C257" s="311"/>
      <c r="D257" s="311"/>
    </row>
    <row r="258" spans="2:4" ht="12.75" customHeight="1">
      <c r="B258" s="311"/>
      <c r="C258" s="311"/>
      <c r="D258" s="311"/>
    </row>
    <row r="259" spans="2:4" ht="12.75" customHeight="1">
      <c r="B259" s="311"/>
      <c r="C259" s="311"/>
      <c r="D259" s="311"/>
    </row>
    <row r="260" spans="2:4" ht="12.75" customHeight="1">
      <c r="B260" s="311"/>
      <c r="C260" s="311"/>
      <c r="D260" s="311"/>
    </row>
    <row r="261" spans="2:4" ht="12.75" customHeight="1">
      <c r="B261" s="311"/>
      <c r="C261" s="311"/>
      <c r="D261" s="311"/>
    </row>
    <row r="262" spans="2:4" ht="12.75" customHeight="1">
      <c r="B262" s="311"/>
      <c r="C262" s="311"/>
      <c r="D262" s="311"/>
    </row>
    <row r="263" spans="2:4" ht="12.75" customHeight="1">
      <c r="B263" s="311"/>
      <c r="C263" s="311"/>
      <c r="D263" s="311"/>
    </row>
    <row r="264" spans="2:4" ht="12.75" customHeight="1">
      <c r="B264" s="311"/>
      <c r="C264" s="311"/>
      <c r="D264" s="311"/>
    </row>
    <row r="265" spans="2:4" ht="12.75" customHeight="1">
      <c r="B265" s="311"/>
      <c r="C265" s="311"/>
      <c r="D265" s="311"/>
    </row>
    <row r="266" spans="2:4" ht="12.75" customHeight="1">
      <c r="B266" s="311"/>
      <c r="C266" s="311"/>
      <c r="D266" s="311"/>
    </row>
    <row r="267" spans="2:4" ht="12.75" customHeight="1">
      <c r="B267" s="311"/>
      <c r="C267" s="311"/>
      <c r="D267" s="311"/>
    </row>
    <row r="268" spans="2:4" ht="12.75" customHeight="1">
      <c r="B268" s="311"/>
      <c r="C268" s="311"/>
      <c r="D268" s="311"/>
    </row>
    <row r="269" spans="2:4" ht="12.75" customHeight="1">
      <c r="B269" s="311"/>
      <c r="C269" s="311"/>
      <c r="D269" s="311"/>
    </row>
    <row r="270" spans="2:4" ht="12.75" customHeight="1">
      <c r="B270" s="311"/>
      <c r="C270" s="311"/>
      <c r="D270" s="311"/>
    </row>
    <row r="271" spans="2:4" ht="12.75" customHeight="1">
      <c r="B271" s="311"/>
      <c r="C271" s="311"/>
      <c r="D271" s="311"/>
    </row>
    <row r="272" spans="2:4" ht="12.75" customHeight="1">
      <c r="B272" s="311"/>
      <c r="C272" s="311"/>
      <c r="D272" s="311"/>
    </row>
    <row r="273" spans="2:4" ht="12.75" customHeight="1">
      <c r="B273" s="311"/>
      <c r="C273" s="311"/>
      <c r="D273" s="311"/>
    </row>
    <row r="274" spans="2:4" ht="12.75" customHeight="1">
      <c r="B274" s="311"/>
      <c r="C274" s="311"/>
      <c r="D274" s="311"/>
    </row>
    <row r="275" spans="2:4" ht="12.75" customHeight="1">
      <c r="B275" s="311"/>
      <c r="C275" s="311"/>
      <c r="D275" s="311"/>
    </row>
    <row r="276" spans="2:4" ht="12.75" customHeight="1">
      <c r="B276" s="311"/>
      <c r="C276" s="311"/>
      <c r="D276" s="311"/>
    </row>
    <row r="277" spans="2:4" ht="12.75" customHeight="1">
      <c r="B277" s="311"/>
      <c r="C277" s="311"/>
      <c r="D277" s="311"/>
    </row>
    <row r="278" spans="2:4" ht="12.75" customHeight="1">
      <c r="B278" s="311"/>
      <c r="C278" s="311"/>
      <c r="D278" s="311"/>
    </row>
    <row r="279" spans="2:4" ht="12.75" customHeight="1">
      <c r="B279" s="311"/>
      <c r="C279" s="311"/>
      <c r="D279" s="311"/>
    </row>
    <row r="280" spans="2:4" ht="12.75" customHeight="1">
      <c r="B280" s="311"/>
      <c r="C280" s="311"/>
      <c r="D280" s="311"/>
    </row>
    <row r="281" spans="2:4" ht="12.75" customHeight="1">
      <c r="B281" s="311"/>
      <c r="C281" s="311"/>
      <c r="D281" s="311"/>
    </row>
    <row r="282" spans="2:4" ht="12.75" customHeight="1">
      <c r="B282" s="311"/>
      <c r="C282" s="311"/>
      <c r="D282" s="311"/>
    </row>
    <row r="283" spans="2:4" ht="12.75" customHeight="1">
      <c r="B283" s="311"/>
      <c r="C283" s="311"/>
      <c r="D283" s="311"/>
    </row>
    <row r="284" spans="2:4" ht="12.75" customHeight="1">
      <c r="B284" s="311"/>
      <c r="C284" s="311"/>
      <c r="D284" s="311"/>
    </row>
    <row r="285" spans="2:4" ht="12.75" customHeight="1">
      <c r="B285" s="311"/>
      <c r="C285" s="311"/>
      <c r="D285" s="311"/>
    </row>
    <row r="286" spans="2:4" ht="12.75" customHeight="1">
      <c r="B286" s="311"/>
      <c r="C286" s="311"/>
      <c r="D286" s="311"/>
    </row>
    <row r="287" spans="2:4" ht="12.75" customHeight="1">
      <c r="B287" s="311"/>
      <c r="C287" s="311"/>
      <c r="D287" s="311"/>
    </row>
    <row r="288" spans="2:4" ht="12.75" customHeight="1">
      <c r="B288" s="311"/>
      <c r="C288" s="311"/>
      <c r="D288" s="311"/>
    </row>
    <row r="289" spans="2:4" ht="12.75" customHeight="1">
      <c r="B289" s="311"/>
      <c r="C289" s="311"/>
      <c r="D289" s="311"/>
    </row>
    <row r="290" spans="2:4" ht="12.75" customHeight="1">
      <c r="B290" s="311"/>
      <c r="C290" s="311"/>
      <c r="D290" s="311"/>
    </row>
    <row r="291" spans="2:4" ht="12.75" customHeight="1">
      <c r="B291" s="311"/>
      <c r="C291" s="311"/>
      <c r="D291" s="311"/>
    </row>
    <row r="292" spans="2:4" ht="12.75" customHeight="1">
      <c r="B292" s="311"/>
      <c r="C292" s="311"/>
      <c r="D292" s="311"/>
    </row>
    <row r="293" spans="2:4" ht="12.75" customHeight="1">
      <c r="B293" s="311"/>
      <c r="C293" s="311"/>
      <c r="D293" s="311"/>
    </row>
    <row r="294" spans="2:4" ht="12.75" customHeight="1">
      <c r="B294" s="311"/>
      <c r="C294" s="311"/>
      <c r="D294" s="311"/>
    </row>
    <row r="295" spans="2:4" ht="12.75" customHeight="1">
      <c r="B295" s="311"/>
      <c r="C295" s="311"/>
      <c r="D295" s="311"/>
    </row>
    <row r="296" spans="2:4" ht="12.75" customHeight="1">
      <c r="B296" s="311"/>
      <c r="C296" s="311"/>
      <c r="D296" s="311"/>
    </row>
    <row r="297" spans="2:4" ht="12.75" customHeight="1">
      <c r="B297" s="311"/>
      <c r="C297" s="311"/>
      <c r="D297" s="311"/>
    </row>
    <row r="298" spans="2:4" ht="12.75" customHeight="1">
      <c r="B298" s="311"/>
      <c r="C298" s="311"/>
      <c r="D298" s="311"/>
    </row>
    <row r="299" spans="2:4" ht="12.75" customHeight="1">
      <c r="B299" s="311"/>
      <c r="C299" s="311"/>
      <c r="D299" s="311"/>
    </row>
    <row r="300" spans="2:4" ht="12.75" customHeight="1">
      <c r="B300" s="311"/>
      <c r="C300" s="311"/>
      <c r="D300" s="311"/>
    </row>
    <row r="301" spans="2:4" ht="12.75" customHeight="1">
      <c r="B301" s="311"/>
      <c r="C301" s="311"/>
      <c r="D301" s="311"/>
    </row>
    <row r="302" spans="2:4" ht="12.75" customHeight="1">
      <c r="B302" s="311"/>
      <c r="C302" s="311"/>
      <c r="D302" s="311"/>
    </row>
    <row r="303" spans="2:4" ht="12.75" customHeight="1">
      <c r="B303" s="311"/>
      <c r="C303" s="311"/>
      <c r="D303" s="311"/>
    </row>
    <row r="304" spans="2:4" ht="12.75" customHeight="1">
      <c r="B304" s="311"/>
      <c r="C304" s="311"/>
      <c r="D304" s="311"/>
    </row>
    <row r="305" spans="2:4" ht="12.75" customHeight="1">
      <c r="B305" s="311"/>
      <c r="C305" s="311"/>
      <c r="D305" s="311"/>
    </row>
    <row r="306" spans="2:4" ht="12.75" customHeight="1">
      <c r="B306" s="311"/>
      <c r="C306" s="311"/>
      <c r="D306" s="311"/>
    </row>
    <row r="307" spans="2:4" ht="12.75" customHeight="1">
      <c r="B307" s="311"/>
      <c r="C307" s="311"/>
      <c r="D307" s="311"/>
    </row>
    <row r="308" spans="2:4" ht="12.75" customHeight="1">
      <c r="B308" s="311"/>
      <c r="C308" s="311"/>
      <c r="D308" s="311"/>
    </row>
    <row r="309" spans="2:4" ht="12.75" customHeight="1">
      <c r="B309" s="311"/>
      <c r="C309" s="311"/>
      <c r="D309" s="311"/>
    </row>
    <row r="310" spans="2:4" ht="12.75" customHeight="1">
      <c r="B310" s="311"/>
      <c r="C310" s="311"/>
      <c r="D310" s="311"/>
    </row>
    <row r="311" spans="2:4" ht="12.75" customHeight="1">
      <c r="B311" s="311"/>
      <c r="C311" s="311"/>
      <c r="D311" s="311"/>
    </row>
    <row r="312" spans="2:4" ht="12.75" customHeight="1">
      <c r="B312" s="311"/>
      <c r="C312" s="311"/>
      <c r="D312" s="311"/>
    </row>
    <row r="313" spans="2:4" ht="12.75" customHeight="1">
      <c r="B313" s="311"/>
      <c r="C313" s="311"/>
      <c r="D313" s="311"/>
    </row>
    <row r="314" spans="2:4" ht="12.75" customHeight="1">
      <c r="B314" s="311"/>
      <c r="C314" s="311"/>
      <c r="D314" s="311"/>
    </row>
    <row r="315" spans="2:4" ht="12.75" customHeight="1">
      <c r="B315" s="311"/>
      <c r="C315" s="311"/>
      <c r="D315" s="311"/>
    </row>
    <row r="316" spans="2:4" ht="12.75" customHeight="1">
      <c r="B316" s="311"/>
      <c r="C316" s="311"/>
      <c r="D316" s="311"/>
    </row>
    <row r="317" spans="2:4" ht="12.75" customHeight="1">
      <c r="B317" s="311"/>
      <c r="C317" s="311"/>
      <c r="D317" s="311"/>
    </row>
    <row r="318" spans="2:4" ht="12.75" customHeight="1">
      <c r="B318" s="311"/>
      <c r="C318" s="311"/>
      <c r="D318" s="311"/>
    </row>
    <row r="319" spans="2:4" ht="12.75" customHeight="1">
      <c r="B319" s="311"/>
      <c r="C319" s="311"/>
      <c r="D319" s="311"/>
    </row>
    <row r="320" spans="2:4" ht="12.75" customHeight="1">
      <c r="B320" s="311"/>
      <c r="C320" s="311"/>
      <c r="D320" s="311"/>
    </row>
    <row r="321" spans="2:4" ht="12.75" customHeight="1">
      <c r="B321" s="311"/>
      <c r="C321" s="311"/>
      <c r="D321" s="311"/>
    </row>
    <row r="322" spans="2:4" ht="12.75" customHeight="1">
      <c r="B322" s="311"/>
      <c r="C322" s="311"/>
      <c r="D322" s="311"/>
    </row>
    <row r="323" spans="2:4" ht="12.75" customHeight="1">
      <c r="B323" s="311"/>
      <c r="C323" s="311"/>
      <c r="D323" s="311"/>
    </row>
    <row r="324" spans="2:4" ht="12.75" customHeight="1">
      <c r="B324" s="311"/>
      <c r="C324" s="311"/>
      <c r="D324" s="311"/>
    </row>
    <row r="325" spans="2:4" ht="12.75" customHeight="1">
      <c r="B325" s="311"/>
      <c r="C325" s="311"/>
      <c r="D325" s="311"/>
    </row>
    <row r="326" spans="2:4" ht="12.75" customHeight="1">
      <c r="B326" s="311"/>
      <c r="C326" s="311"/>
      <c r="D326" s="311"/>
    </row>
    <row r="327" spans="2:4" ht="12.75" customHeight="1">
      <c r="B327" s="311"/>
      <c r="C327" s="311"/>
      <c r="D327" s="311"/>
    </row>
    <row r="328" spans="2:4" ht="12.75" customHeight="1">
      <c r="B328" s="311"/>
      <c r="C328" s="311"/>
      <c r="D328" s="311"/>
    </row>
    <row r="329" spans="2:4" ht="12.75" customHeight="1">
      <c r="B329" s="311"/>
      <c r="C329" s="311"/>
      <c r="D329" s="311"/>
    </row>
    <row r="330" spans="2:4" ht="12.75" customHeight="1">
      <c r="B330" s="311"/>
      <c r="C330" s="311"/>
      <c r="D330" s="311"/>
    </row>
    <row r="331" spans="2:4" ht="12.75" customHeight="1">
      <c r="B331" s="311"/>
      <c r="C331" s="311"/>
      <c r="D331" s="311"/>
    </row>
    <row r="332" spans="2:4" ht="12.75" customHeight="1">
      <c r="B332" s="311"/>
      <c r="C332" s="311"/>
      <c r="D332" s="311"/>
    </row>
    <row r="333" spans="2:4" ht="12.75" customHeight="1">
      <c r="B333" s="311"/>
      <c r="C333" s="311"/>
      <c r="D333" s="311"/>
    </row>
    <row r="334" spans="2:4" ht="12.75" customHeight="1">
      <c r="B334" s="311"/>
      <c r="C334" s="311"/>
      <c r="D334" s="311"/>
    </row>
    <row r="335" spans="2:4" ht="12.75" customHeight="1">
      <c r="B335" s="311"/>
      <c r="C335" s="311"/>
      <c r="D335" s="311"/>
    </row>
    <row r="336" spans="2:4" ht="12.75" customHeight="1">
      <c r="B336" s="311"/>
      <c r="C336" s="311"/>
      <c r="D336" s="311"/>
    </row>
    <row r="337" spans="2:4" ht="12.75" customHeight="1">
      <c r="B337" s="311"/>
      <c r="C337" s="311"/>
      <c r="D337" s="311"/>
    </row>
    <row r="338" spans="2:4" ht="12.75" customHeight="1">
      <c r="B338" s="311"/>
      <c r="C338" s="311"/>
      <c r="D338" s="311"/>
    </row>
    <row r="339" spans="2:4" ht="12.75" customHeight="1">
      <c r="B339" s="311"/>
      <c r="C339" s="311"/>
      <c r="D339" s="311"/>
    </row>
    <row r="340" spans="2:4" ht="12.75" customHeight="1">
      <c r="B340" s="311"/>
      <c r="C340" s="311"/>
      <c r="D340" s="311"/>
    </row>
    <row r="341" spans="2:4" ht="12.75" customHeight="1">
      <c r="B341" s="311"/>
      <c r="C341" s="311"/>
      <c r="D341" s="311"/>
    </row>
    <row r="342" spans="2:4" ht="12.75" customHeight="1">
      <c r="B342" s="311"/>
      <c r="C342" s="311"/>
      <c r="D342" s="311"/>
    </row>
    <row r="343" spans="2:4" ht="12.75" customHeight="1">
      <c r="B343" s="311"/>
      <c r="C343" s="311"/>
      <c r="D343" s="311"/>
    </row>
    <row r="344" spans="2:4" ht="12.75" customHeight="1">
      <c r="B344" s="311"/>
      <c r="C344" s="311"/>
      <c r="D344" s="311"/>
    </row>
    <row r="345" spans="2:4" ht="12.75" customHeight="1">
      <c r="B345" s="311"/>
      <c r="C345" s="311"/>
      <c r="D345" s="311"/>
    </row>
    <row r="346" spans="2:4" ht="12.75" customHeight="1">
      <c r="B346" s="311"/>
      <c r="C346" s="311"/>
      <c r="D346" s="311"/>
    </row>
    <row r="347" spans="2:4" ht="12.75" customHeight="1">
      <c r="B347" s="311"/>
      <c r="C347" s="311"/>
      <c r="D347" s="311"/>
    </row>
    <row r="348" spans="2:4" ht="12.75" customHeight="1">
      <c r="B348" s="311"/>
      <c r="C348" s="311"/>
      <c r="D348" s="311"/>
    </row>
    <row r="349" spans="2:4" ht="12.75" customHeight="1">
      <c r="B349" s="311"/>
      <c r="C349" s="311"/>
      <c r="D349" s="311"/>
    </row>
    <row r="350" spans="2:4" ht="12.75" customHeight="1">
      <c r="B350" s="311"/>
      <c r="C350" s="311"/>
      <c r="D350" s="311"/>
    </row>
    <row r="351" spans="2:4" ht="12.75" customHeight="1">
      <c r="B351" s="311"/>
      <c r="C351" s="311"/>
      <c r="D351" s="311"/>
    </row>
    <row r="352" spans="2:4" ht="12.75" customHeight="1">
      <c r="B352" s="311"/>
      <c r="C352" s="311"/>
      <c r="D352" s="311"/>
    </row>
    <row r="353" spans="2:4" ht="12.75" customHeight="1">
      <c r="B353" s="311"/>
      <c r="C353" s="311"/>
      <c r="D353" s="311"/>
    </row>
    <row r="354" spans="2:4" ht="12.75" customHeight="1">
      <c r="B354" s="311"/>
      <c r="C354" s="311"/>
      <c r="D354" s="311"/>
    </row>
    <row r="355" spans="2:4" ht="12.75" customHeight="1">
      <c r="B355" s="311"/>
      <c r="C355" s="311"/>
      <c r="D355" s="311"/>
    </row>
    <row r="356" spans="2:4" ht="12.75" customHeight="1">
      <c r="B356" s="311"/>
      <c r="C356" s="311"/>
      <c r="D356" s="311"/>
    </row>
    <row r="357" spans="2:4" ht="12.75" customHeight="1">
      <c r="B357" s="311"/>
      <c r="C357" s="311"/>
      <c r="D357" s="311"/>
    </row>
    <row r="358" spans="2:4" ht="12.75" customHeight="1">
      <c r="B358" s="311"/>
      <c r="C358" s="311"/>
      <c r="D358" s="311"/>
    </row>
    <row r="359" spans="2:4" ht="12.75" customHeight="1">
      <c r="B359" s="311"/>
      <c r="C359" s="311"/>
      <c r="D359" s="311"/>
    </row>
    <row r="360" spans="2:4" ht="12.75" customHeight="1">
      <c r="B360" s="311"/>
      <c r="C360" s="311"/>
      <c r="D360" s="311"/>
    </row>
    <row r="361" spans="2:4" ht="12.75" customHeight="1">
      <c r="B361" s="311"/>
      <c r="C361" s="311"/>
      <c r="D361" s="311"/>
    </row>
  </sheetData>
  <mergeCells count="2">
    <mergeCell ref="A1:A2"/>
    <mergeCell ref="B1:K1"/>
  </mergeCells>
  <hyperlinks>
    <hyperlink ref="A68" location="Índice!A1" display="Índice" xr:uid="{00000000-0004-0000-0C00-000000000000}"/>
  </hyperlinks>
  <printOptions horizontalCentered="1" verticalCentered="1"/>
  <pageMargins left="0.51181102362204722" right="0.51181102362204722" top="0.39370078740157483" bottom="0.39370078740157483" header="0.31496062992125984" footer="0.31496062992125984"/>
  <pageSetup paperSize="9" scale="60" pageOrder="overThenDown" orientation="portrait" r:id="rId1"/>
  <headerFooter alignWithMargins="0">
    <oddHeader xml:space="preserve">&amp;L&amp;"-,Negrito"&amp;11 12 - Balanço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749992370372631"/>
    <pageSetUpPr fitToPage="1"/>
  </sheetPr>
  <dimension ref="A1:L226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defaultColWidth="9.109375" defaultRowHeight="10.199999999999999"/>
  <cols>
    <col min="1" max="1" width="45.44140625" style="1" customWidth="1"/>
    <col min="2" max="2" width="15.6640625" style="190" customWidth="1"/>
    <col min="3" max="5" width="15.6640625" style="1" customWidth="1"/>
    <col min="6" max="8" width="14.5546875" style="1" bestFit="1" customWidth="1"/>
    <col min="9" max="10" width="14.33203125" style="1" bestFit="1" customWidth="1"/>
    <col min="11" max="12" width="15.33203125" style="1" bestFit="1" customWidth="1"/>
    <col min="13" max="16384" width="9.109375" style="1"/>
  </cols>
  <sheetData>
    <row r="1" spans="1:12" s="37" customFormat="1" ht="21" customHeight="1">
      <c r="A1" s="167" t="s">
        <v>22</v>
      </c>
      <c r="B1" s="103">
        <v>0</v>
      </c>
      <c r="C1" s="103">
        <v>2021</v>
      </c>
      <c r="D1" s="103">
        <f t="shared" ref="D1:F1" si="0">+C1+1</f>
        <v>2022</v>
      </c>
      <c r="E1" s="103">
        <f t="shared" si="0"/>
        <v>2023</v>
      </c>
      <c r="F1" s="103">
        <f t="shared" si="0"/>
        <v>2024</v>
      </c>
      <c r="G1" s="103">
        <f t="shared" ref="G1" si="1">+F1+1</f>
        <v>2025</v>
      </c>
      <c r="H1" s="103">
        <f t="shared" ref="H1:I1" si="2">+G1+1</f>
        <v>2026</v>
      </c>
      <c r="I1" s="103">
        <f t="shared" si="2"/>
        <v>2027</v>
      </c>
      <c r="J1" s="103">
        <f t="shared" ref="J1" si="3">+I1+1</f>
        <v>2028</v>
      </c>
      <c r="K1" s="103">
        <f t="shared" ref="K1" si="4">+J1+1</f>
        <v>2029</v>
      </c>
      <c r="L1" s="103">
        <f t="shared" ref="L1" si="5">+K1+1</f>
        <v>2030</v>
      </c>
    </row>
    <row r="2" spans="1:12" s="69" customFormat="1" ht="15" customHeight="1">
      <c r="A2" s="77" t="s">
        <v>40</v>
      </c>
      <c r="B2" s="179">
        <v>0</v>
      </c>
      <c r="C2" s="78">
        <f>+'DR SNC'!C31</f>
        <v>449567.62549999938</v>
      </c>
      <c r="D2" s="78">
        <f>+'DR SNC'!D31</f>
        <v>-424559.62999999995</v>
      </c>
      <c r="E2" s="78">
        <f>+'DR SNC'!E31</f>
        <v>349704.57211140019</v>
      </c>
      <c r="F2" s="78">
        <f>+'DR SNC'!F31</f>
        <v>522563.8309442405</v>
      </c>
      <c r="G2" s="78">
        <f>+'DR SNC'!G31</f>
        <v>397798.95197068847</v>
      </c>
      <c r="H2" s="78">
        <f>+'DR SNC'!H31</f>
        <v>684928.98672115582</v>
      </c>
      <c r="I2" s="78">
        <f>+'DR SNC'!I31</f>
        <v>934515.68049593258</v>
      </c>
      <c r="J2" s="78">
        <f>+'DR SNC'!J31</f>
        <v>1526897.9114154468</v>
      </c>
      <c r="K2" s="78">
        <f>+'DR SNC'!K31</f>
        <v>1856268.8400089913</v>
      </c>
      <c r="L2" s="78">
        <f>+'DR SNC'!L31</f>
        <v>2144580.3921898911</v>
      </c>
    </row>
    <row r="3" spans="1:12" s="69" customFormat="1" ht="15" customHeight="1">
      <c r="A3" s="25" t="s">
        <v>39</v>
      </c>
      <c r="B3" s="180">
        <v>0</v>
      </c>
      <c r="C3" s="75">
        <f>-'DR SNC'!C20</f>
        <v>127990.92</v>
      </c>
      <c r="D3" s="75">
        <f>-'DR SNC'!D20</f>
        <v>57770.64</v>
      </c>
      <c r="E3" s="75">
        <f>-'DR SNC'!E20</f>
        <v>18140.510000000002</v>
      </c>
      <c r="F3" s="75">
        <f>-'DR SNC'!F20</f>
        <v>57726.619770000005</v>
      </c>
      <c r="G3" s="75">
        <f>-'DR SNC'!G20</f>
        <v>109489.48777000001</v>
      </c>
      <c r="H3" s="75">
        <f>-'DR SNC'!H20</f>
        <v>109489.48777000001</v>
      </c>
      <c r="I3" s="75">
        <f>-'DR SNC'!I20</f>
        <v>106920.77800000001</v>
      </c>
      <c r="J3" s="75">
        <f>-'DR SNC'!J20</f>
        <v>89557.768000000011</v>
      </c>
      <c r="K3" s="75">
        <f>-'DR SNC'!K20</f>
        <v>4406.4799999999996</v>
      </c>
      <c r="L3" s="75">
        <f>-'DR SNC'!L20</f>
        <v>4406.4799999999996</v>
      </c>
    </row>
    <row r="4" spans="1:12" s="69" customFormat="1" ht="15" customHeight="1">
      <c r="A4" s="25" t="s">
        <v>57</v>
      </c>
      <c r="B4" s="181">
        <f>SUM(B2:B3)</f>
        <v>0</v>
      </c>
      <c r="C4" s="101">
        <f>SUM(C2:C3)</f>
        <v>577558.54549999943</v>
      </c>
      <c r="D4" s="101">
        <f t="shared" ref="D4:E4" si="6">SUM(D2:D3)</f>
        <v>-366788.98999999993</v>
      </c>
      <c r="E4" s="101">
        <f t="shared" si="6"/>
        <v>367845.0821114002</v>
      </c>
      <c r="F4" s="101">
        <f t="shared" ref="F4:H4" si="7">SUM(F2:F3)</f>
        <v>580290.45071424055</v>
      </c>
      <c r="G4" s="101">
        <f t="shared" si="7"/>
        <v>507288.43974068848</v>
      </c>
      <c r="H4" s="101">
        <f t="shared" si="7"/>
        <v>794418.47449115582</v>
      </c>
      <c r="I4" s="101">
        <f t="shared" ref="I4:L4" si="8">SUM(I2:I3)</f>
        <v>1041436.4584959326</v>
      </c>
      <c r="J4" s="101">
        <f t="shared" si="8"/>
        <v>1616455.6794154467</v>
      </c>
      <c r="K4" s="101">
        <f t="shared" si="8"/>
        <v>1860675.3200089913</v>
      </c>
      <c r="L4" s="101">
        <f t="shared" si="8"/>
        <v>2148986.8721898911</v>
      </c>
    </row>
    <row r="5" spans="1:12" s="69" customFormat="1" ht="15" customHeight="1">
      <c r="A5" s="25" t="s">
        <v>72</v>
      </c>
      <c r="B5" s="182"/>
      <c r="C5" s="79"/>
      <c r="D5" s="79"/>
      <c r="E5" s="79"/>
      <c r="F5" s="79"/>
      <c r="G5" s="79"/>
      <c r="H5" s="79"/>
      <c r="I5" s="79"/>
      <c r="J5" s="79"/>
      <c r="K5" s="79"/>
      <c r="L5" s="79"/>
    </row>
    <row r="6" spans="1:12" s="69" customFormat="1" ht="15" customHeight="1">
      <c r="A6" s="25" t="s">
        <v>42</v>
      </c>
      <c r="D6" s="182">
        <f>-Amortizações!C21</f>
        <v>-127161.60000000001</v>
      </c>
      <c r="E6" s="68">
        <f>-Amortizações!D21</f>
        <v>-622951.68999999994</v>
      </c>
      <c r="F6" s="68"/>
      <c r="G6" s="68"/>
      <c r="H6" s="68"/>
      <c r="I6" s="68"/>
      <c r="J6" s="68"/>
      <c r="K6" s="68"/>
      <c r="L6" s="68"/>
    </row>
    <row r="7" spans="1:12" s="69" customFormat="1" ht="15" customHeight="1">
      <c r="A7" s="26" t="s">
        <v>58</v>
      </c>
      <c r="D7" s="183">
        <f>D6</f>
        <v>-127161.60000000001</v>
      </c>
      <c r="E7" s="80">
        <f>+D4+D5+E6</f>
        <v>-989740.67999999993</v>
      </c>
      <c r="F7" s="80">
        <f t="shared" ref="F7:H7" si="9">+F4+F5+F6</f>
        <v>580290.45071424055</v>
      </c>
      <c r="G7" s="80">
        <f t="shared" si="9"/>
        <v>507288.43974068848</v>
      </c>
      <c r="H7" s="80">
        <f t="shared" si="9"/>
        <v>794418.47449115582</v>
      </c>
      <c r="I7" s="80">
        <f t="shared" ref="I7:L7" si="10">+I4+I5+I6</f>
        <v>1041436.4584959326</v>
      </c>
      <c r="J7" s="80">
        <f t="shared" si="10"/>
        <v>1616455.6794154467</v>
      </c>
      <c r="K7" s="80">
        <f t="shared" si="10"/>
        <v>1860675.3200089913</v>
      </c>
      <c r="L7" s="80">
        <f t="shared" si="10"/>
        <v>2148986.8721898911</v>
      </c>
    </row>
    <row r="8" spans="1:12" s="69" customFormat="1" ht="15" customHeight="1">
      <c r="A8" s="25" t="s">
        <v>67</v>
      </c>
      <c r="D8" s="183">
        <f>+D7</f>
        <v>-127161.60000000001</v>
      </c>
      <c r="E8" s="81">
        <f>+D8+E7</f>
        <v>-1116902.28</v>
      </c>
      <c r="F8" s="81">
        <f>+E8+F7</f>
        <v>-536611.82928575948</v>
      </c>
      <c r="G8" s="81">
        <f t="shared" ref="G8" si="11">+F8+G7</f>
        <v>-29323.389545070997</v>
      </c>
      <c r="H8" s="81">
        <f t="shared" ref="H8:I8" si="12">+G8+H7</f>
        <v>765095.08494608477</v>
      </c>
      <c r="I8" s="81">
        <f t="shared" si="12"/>
        <v>1806531.5434420174</v>
      </c>
      <c r="J8" s="81">
        <f t="shared" ref="J8" si="13">+I8+J7</f>
        <v>3422987.2228574641</v>
      </c>
      <c r="K8" s="81">
        <f t="shared" ref="K8" si="14">+J8+K7</f>
        <v>5283662.5428664554</v>
      </c>
      <c r="L8" s="81">
        <f t="shared" ref="L8" si="15">+K8+L7</f>
        <v>7432649.415056346</v>
      </c>
    </row>
    <row r="9" spans="1:12" s="69" customFormat="1" ht="15" customHeight="1">
      <c r="A9" s="27"/>
      <c r="B9" s="184"/>
      <c r="C9" s="82"/>
      <c r="D9" s="82"/>
      <c r="E9" s="82"/>
      <c r="F9" s="82"/>
      <c r="G9" s="82"/>
      <c r="H9" s="82"/>
      <c r="I9" s="82"/>
      <c r="J9" s="82"/>
      <c r="K9" s="82"/>
      <c r="L9" s="82"/>
    </row>
    <row r="10" spans="1:12" s="69" customFormat="1" ht="15" customHeight="1">
      <c r="A10" s="168" t="s">
        <v>18</v>
      </c>
      <c r="B10" s="326">
        <f>IRR(D7:L7)</f>
        <v>0.62618551710771952</v>
      </c>
      <c r="C10" s="83"/>
      <c r="D10" s="83"/>
      <c r="E10" s="83"/>
    </row>
    <row r="11" spans="1:12" s="69" customFormat="1" ht="14.4">
      <c r="A11" s="169" t="s">
        <v>43</v>
      </c>
      <c r="B11" s="327">
        <f>NPV(B17,D7,D7:I7)</f>
        <v>1116396.0833699775</v>
      </c>
      <c r="C11" s="83"/>
      <c r="D11" s="83"/>
      <c r="E11" s="83"/>
    </row>
    <row r="12" spans="1:12" s="37" customFormat="1" ht="15" customHeight="1">
      <c r="A12" s="58"/>
      <c r="B12" s="325"/>
      <c r="C12" s="36"/>
      <c r="D12" s="36"/>
      <c r="E12" s="36"/>
    </row>
    <row r="13" spans="1:12" s="37" customFormat="1" ht="15" customHeight="1">
      <c r="A13" s="138" t="s">
        <v>9</v>
      </c>
      <c r="B13" s="103" t="s">
        <v>55</v>
      </c>
    </row>
    <row r="14" spans="1:12" s="37" customFormat="1" ht="15" customHeight="1">
      <c r="A14" s="9" t="s">
        <v>68</v>
      </c>
      <c r="B14" s="186">
        <v>0.02</v>
      </c>
      <c r="E14" s="406"/>
    </row>
    <row r="15" spans="1:12" s="37" customFormat="1" ht="15" customHeight="1">
      <c r="A15" s="10" t="s">
        <v>69</v>
      </c>
      <c r="B15" s="187">
        <v>0.05</v>
      </c>
    </row>
    <row r="16" spans="1:12" s="37" customFormat="1" ht="15" customHeight="1">
      <c r="A16" s="10" t="s">
        <v>70</v>
      </c>
      <c r="B16" s="188">
        <v>1</v>
      </c>
    </row>
    <row r="17" spans="1:2" s="37" customFormat="1" ht="17.25" customHeight="1">
      <c r="A17" s="11" t="s">
        <v>71</v>
      </c>
      <c r="B17" s="189">
        <v>0.05</v>
      </c>
    </row>
    <row r="18" spans="1:2" s="37" customFormat="1" ht="15" customHeight="1">
      <c r="A18" s="58"/>
      <c r="B18" s="185"/>
    </row>
    <row r="19" spans="1:2" ht="15" customHeight="1"/>
    <row r="20" spans="1:2" ht="15" customHeight="1"/>
    <row r="21" spans="1:2" ht="15" customHeight="1"/>
    <row r="22" spans="1:2" ht="15" customHeight="1"/>
    <row r="23" spans="1:2" ht="15" customHeight="1"/>
    <row r="24" spans="1:2" ht="15" customHeight="1"/>
    <row r="25" spans="1:2" ht="15" customHeight="1"/>
    <row r="26" spans="1:2" ht="15" customHeight="1"/>
    <row r="27" spans="1:2" ht="15" customHeight="1"/>
    <row r="28" spans="1:2" ht="15" customHeight="1"/>
    <row r="29" spans="1:2" ht="15" customHeight="1"/>
    <row r="30" spans="1:2" ht="15" customHeight="1"/>
    <row r="31" spans="1:2" ht="15" customHeight="1"/>
    <row r="32" spans="1: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</sheetData>
  <conditionalFormatting sqref="B2:L5 D6:L8">
    <cfRule type="cellIs" dxfId="1" priority="3" operator="lessThan">
      <formula>0</formula>
    </cfRule>
  </conditionalFormatting>
  <conditionalFormatting sqref="B10:B11">
    <cfRule type="cellIs" dxfId="0" priority="1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&amp;L&amp;"Arial,Negrito"13 - Avaliação Investimento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3134-0B1A-4B66-ADD2-96E06112ECB0}">
  <dimension ref="A1:J25"/>
  <sheetViews>
    <sheetView showGridLines="0" workbookViewId="0">
      <selection activeCell="G11" sqref="G11"/>
    </sheetView>
  </sheetViews>
  <sheetFormatPr defaultRowHeight="13.2"/>
  <cols>
    <col min="1" max="1" width="62.5546875" customWidth="1"/>
    <col min="2" max="2" width="17.109375" customWidth="1"/>
    <col min="3" max="4" width="16.109375" customWidth="1"/>
    <col min="5" max="6" width="13.109375" bestFit="1" customWidth="1"/>
    <col min="10" max="10" width="13.109375" bestFit="1" customWidth="1"/>
  </cols>
  <sheetData>
    <row r="1" spans="1:10" ht="26.4">
      <c r="A1" s="235" t="s">
        <v>146</v>
      </c>
      <c r="B1" s="221" t="s">
        <v>177</v>
      </c>
      <c r="C1" s="240" t="s">
        <v>189</v>
      </c>
      <c r="D1" s="240" t="s">
        <v>190</v>
      </c>
      <c r="J1" s="336">
        <f t="shared" ref="J1:J12" si="0">+SUM(B2:D2)</f>
        <v>262586.93999999994</v>
      </c>
    </row>
    <row r="2" spans="1:10">
      <c r="A2" s="237" t="s">
        <v>182</v>
      </c>
      <c r="B2" s="242">
        <v>21917.5</v>
      </c>
      <c r="C2" s="242">
        <v>240669.43999999997</v>
      </c>
      <c r="D2" s="242">
        <v>0</v>
      </c>
      <c r="J2" s="336">
        <f t="shared" si="0"/>
        <v>220324</v>
      </c>
    </row>
    <row r="3" spans="1:10">
      <c r="A3" s="237" t="s">
        <v>184</v>
      </c>
      <c r="B3" s="242">
        <v>38875</v>
      </c>
      <c r="C3" s="242">
        <v>181449</v>
      </c>
      <c r="D3" s="242">
        <v>0</v>
      </c>
      <c r="J3" s="336">
        <f t="shared" si="0"/>
        <v>243265</v>
      </c>
    </row>
    <row r="4" spans="1:10">
      <c r="A4" s="237" t="s">
        <v>183</v>
      </c>
      <c r="B4" s="242">
        <v>63426</v>
      </c>
      <c r="C4" s="242">
        <v>179839</v>
      </c>
      <c r="D4" s="242">
        <v>0</v>
      </c>
      <c r="J4" s="336">
        <f t="shared" si="0"/>
        <v>5000</v>
      </c>
    </row>
    <row r="5" spans="1:10">
      <c r="A5" s="237" t="s">
        <v>185</v>
      </c>
      <c r="B5" s="242">
        <v>0</v>
      </c>
      <c r="C5" s="242">
        <v>2500</v>
      </c>
      <c r="D5" s="242">
        <v>2500</v>
      </c>
      <c r="J5" s="336">
        <f t="shared" si="0"/>
        <v>291.35000000000002</v>
      </c>
    </row>
    <row r="6" spans="1:10">
      <c r="A6" s="236" t="s">
        <v>186</v>
      </c>
      <c r="B6" s="241">
        <v>0</v>
      </c>
      <c r="C6" s="241">
        <v>291.35000000000002</v>
      </c>
      <c r="D6" s="242">
        <v>0</v>
      </c>
      <c r="J6" s="336">
        <f t="shared" si="0"/>
        <v>13439.1</v>
      </c>
    </row>
    <row r="7" spans="1:10">
      <c r="A7" s="236" t="s">
        <v>187</v>
      </c>
      <c r="B7" s="241">
        <v>2943.1</v>
      </c>
      <c r="C7" s="241">
        <v>10496</v>
      </c>
      <c r="D7" s="242">
        <v>0</v>
      </c>
      <c r="J7" s="336">
        <f t="shared" si="0"/>
        <v>7706.9</v>
      </c>
    </row>
    <row r="8" spans="1:10">
      <c r="A8" s="331" t="s">
        <v>188</v>
      </c>
      <c r="B8" s="332">
        <v>0</v>
      </c>
      <c r="C8" s="332">
        <v>7706.9</v>
      </c>
      <c r="D8" s="242">
        <v>0</v>
      </c>
      <c r="J8" s="336">
        <f t="shared" si="0"/>
        <v>0</v>
      </c>
    </row>
    <row r="9" spans="1:10">
      <c r="A9" s="331"/>
      <c r="B9" s="332"/>
      <c r="C9" s="332"/>
      <c r="D9" s="242"/>
      <c r="J9" s="336">
        <f t="shared" si="0"/>
        <v>0</v>
      </c>
    </row>
    <row r="10" spans="1:10">
      <c r="A10" s="331"/>
      <c r="B10" s="332"/>
      <c r="C10" s="332"/>
      <c r="D10" s="242"/>
      <c r="J10" s="336">
        <f t="shared" si="0"/>
        <v>0</v>
      </c>
    </row>
    <row r="11" spans="1:10">
      <c r="A11" s="331"/>
      <c r="B11" s="332"/>
      <c r="C11" s="332"/>
      <c r="D11" s="242"/>
      <c r="G11" t="s">
        <v>196</v>
      </c>
      <c r="J11" s="336">
        <f t="shared" si="0"/>
        <v>0</v>
      </c>
    </row>
    <row r="12" spans="1:10">
      <c r="A12" s="331"/>
      <c r="B12" s="332"/>
      <c r="C12" s="332"/>
      <c r="D12" s="242"/>
      <c r="J12" s="336">
        <f t="shared" si="0"/>
        <v>0</v>
      </c>
    </row>
    <row r="13" spans="1:10">
      <c r="A13" s="333"/>
      <c r="B13" s="334"/>
      <c r="C13" s="334"/>
      <c r="D13" s="242"/>
    </row>
    <row r="14" spans="1:10" ht="14.4">
      <c r="A14" s="238"/>
      <c r="B14" s="335"/>
      <c r="C14" s="335"/>
      <c r="D14" s="335"/>
      <c r="E14" s="330"/>
    </row>
    <row r="15" spans="1:10" ht="24.75" customHeight="1">
      <c r="A15" s="239"/>
      <c r="B15" s="231">
        <f>SUM(B2:B14)</f>
        <v>127161.60000000001</v>
      </c>
      <c r="C15" s="231">
        <f>SUM(C2:C14)</f>
        <v>622951.68999999994</v>
      </c>
      <c r="D15" s="231">
        <f>SUM(D2:D14)</f>
        <v>2500</v>
      </c>
      <c r="E15" s="330">
        <f>SUM(J1:J12)</f>
        <v>752613.28999999992</v>
      </c>
    </row>
    <row r="17" spans="1:6" ht="14.4">
      <c r="A17" s="229" t="s">
        <v>149</v>
      </c>
      <c r="B17" s="230">
        <f>+B9+B13</f>
        <v>0</v>
      </c>
      <c r="C17" s="230">
        <f>+C9+C13</f>
        <v>0</v>
      </c>
      <c r="D17" s="230">
        <f>+D9+D13</f>
        <v>0</v>
      </c>
    </row>
    <row r="19" spans="1:6" ht="14.4">
      <c r="A19" s="223" t="s">
        <v>147</v>
      </c>
      <c r="B19" s="224">
        <f>+B15+C15+D15</f>
        <v>752613.28999999992</v>
      </c>
    </row>
    <row r="20" spans="1:6" ht="14.4">
      <c r="A20" s="225" t="s">
        <v>151</v>
      </c>
      <c r="B20" s="226">
        <f>+B15*0.4</f>
        <v>50864.640000000007</v>
      </c>
      <c r="C20" s="226">
        <f>+C15*0.4</f>
        <v>249180.67599999998</v>
      </c>
      <c r="D20" s="226">
        <f>+D15*0.4</f>
        <v>1000</v>
      </c>
      <c r="E20" s="222">
        <f>SUM(B20:D20)</f>
        <v>301045.31599999999</v>
      </c>
      <c r="F20" s="222"/>
    </row>
    <row r="21" spans="1:6" ht="14.4">
      <c r="A21" s="243"/>
      <c r="B21" s="244"/>
      <c r="C21" s="244"/>
      <c r="D21" s="244"/>
      <c r="F21" s="222"/>
    </row>
    <row r="22" spans="1:6" ht="14.4">
      <c r="A22" s="227" t="s">
        <v>148</v>
      </c>
      <c r="B22" s="228">
        <f>+B15*0.6</f>
        <v>76296.960000000006</v>
      </c>
      <c r="C22" s="228">
        <f>+C15*0.6</f>
        <v>373771.01399999997</v>
      </c>
      <c r="D22" s="228">
        <f>+D15*0.6</f>
        <v>1500</v>
      </c>
      <c r="E22" s="222">
        <f>SUM(B22:D22)</f>
        <v>451567.97399999999</v>
      </c>
      <c r="F22" s="222">
        <f>+E22*0.25</f>
        <v>112891.9935</v>
      </c>
    </row>
    <row r="23" spans="1:6" ht="14.4">
      <c r="A23" s="245" t="s">
        <v>191</v>
      </c>
      <c r="B23" s="246">
        <f>+B20*1</f>
        <v>50864.640000000007</v>
      </c>
      <c r="C23" s="246">
        <f>+C20*1</f>
        <v>249180.67599999998</v>
      </c>
      <c r="D23" s="246">
        <f>+D20*1</f>
        <v>1000</v>
      </c>
      <c r="E23" s="222">
        <f>SUM(B23:D23)</f>
        <v>301045.31599999999</v>
      </c>
      <c r="F23" s="222"/>
    </row>
    <row r="24" spans="1:6" ht="14.4">
      <c r="A24" s="227" t="s">
        <v>152</v>
      </c>
      <c r="B24" s="228">
        <v>0</v>
      </c>
      <c r="C24" s="228">
        <v>0</v>
      </c>
      <c r="D24" s="228">
        <v>0</v>
      </c>
      <c r="E24" s="222">
        <f>SUM(B24:D24)</f>
        <v>0</v>
      </c>
    </row>
    <row r="25" spans="1:6">
      <c r="A25" s="247" t="s">
        <v>153</v>
      </c>
      <c r="B25" s="230">
        <f>SUM(B22:B24)</f>
        <v>127161.60000000001</v>
      </c>
      <c r="C25" s="230">
        <f t="shared" ref="C25:D25" si="1">SUM(C22:C24)</f>
        <v>622951.68999999994</v>
      </c>
      <c r="D25" s="230">
        <f t="shared" si="1"/>
        <v>2500</v>
      </c>
      <c r="E25" s="222">
        <f>SUM(E22:E24)</f>
        <v>752613.29</v>
      </c>
    </row>
  </sheetData>
  <phoneticPr fontId="4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B53EA2A34FFF4591C71A257ED8A3F9" ma:contentTypeVersion="8" ma:contentTypeDescription="Create a new document." ma:contentTypeScope="" ma:versionID="de88f5e0adcb5e41febad71475eb7f7f">
  <xsd:schema xmlns:xsd="http://www.w3.org/2001/XMLSchema" xmlns:xs="http://www.w3.org/2001/XMLSchema" xmlns:p="http://schemas.microsoft.com/office/2006/metadata/properties" xmlns:ns2="a1248a8d-f154-4d38-9b26-22135aadad4c" xmlns:ns3="dff52f49-a782-4a67-a6ca-0511cb83c3e7" targetNamespace="http://schemas.microsoft.com/office/2006/metadata/properties" ma:root="true" ma:fieldsID="587775178c6fa0662d79badf2ded03e5" ns2:_="" ns3:_="">
    <xsd:import namespace="a1248a8d-f154-4d38-9b26-22135aadad4c"/>
    <xsd:import namespace="dff52f49-a782-4a67-a6ca-0511cb83c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8a8d-f154-4d38-9b26-22135aada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52f49-a782-4a67-a6ca-0511cb83c3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685103-DB89-49E3-8C1A-ACAB8A4560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C462B4-6712-4B3D-8822-FC618632C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8a8d-f154-4d38-9b26-22135aadad4c"/>
    <ds:schemaRef ds:uri="dff52f49-a782-4a67-a6ca-0511cb83c3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F6F347-EA43-4EFD-98C3-1CC3F0A62909}">
  <ds:schemaRefs>
    <ds:schemaRef ds:uri="dff52f49-a782-4a67-a6ca-0511cb83c3e7"/>
    <ds:schemaRef ds:uri="http://schemas.openxmlformats.org/package/2006/metadata/core-properties"/>
    <ds:schemaRef ds:uri="a1248a8d-f154-4d38-9b26-22135aadad4c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8</vt:i4>
      </vt:variant>
    </vt:vector>
  </HeadingPairs>
  <TitlesOfParts>
    <vt:vector size="23" baseType="lpstr">
      <vt:lpstr>Índice</vt:lpstr>
      <vt:lpstr>Pressupostos</vt:lpstr>
      <vt:lpstr>Previsão Receitas</vt:lpstr>
      <vt:lpstr>Fornecimento  Serviços Externos</vt:lpstr>
      <vt:lpstr>Capital Circulante</vt:lpstr>
      <vt:lpstr>63_G. Pess.</vt:lpstr>
      <vt:lpstr>Amortizações</vt:lpstr>
      <vt:lpstr>Serviço da Divida Emp. Bancario</vt:lpstr>
      <vt:lpstr>Mov dos Impostos S Rendi</vt:lpstr>
      <vt:lpstr>MEIOS LIBERTOS PROJETO</vt:lpstr>
      <vt:lpstr>Plano Financeiro </vt:lpstr>
      <vt:lpstr>DR SNC</vt:lpstr>
      <vt:lpstr>Balanço SNC</vt:lpstr>
      <vt:lpstr>Avaliação Investimento</vt:lpstr>
      <vt:lpstr>MAPA INVESTIMENTOS</vt:lpstr>
      <vt:lpstr>'63_G. Pess.'!Área_de_Impressão</vt:lpstr>
      <vt:lpstr>'Balanço SNC'!Área_de_Impressão</vt:lpstr>
      <vt:lpstr>'Capital Circulante'!Área_de_Impressão</vt:lpstr>
      <vt:lpstr>'DR SNC'!Área_de_Impressão</vt:lpstr>
      <vt:lpstr>'Fornecimento  Serviços Externos'!Área_de_Impressão</vt:lpstr>
      <vt:lpstr>'MEIOS LIBERTOS PROJETO'!Área_de_Impressão</vt:lpstr>
      <vt:lpstr>Pressupostos!Área_de_Impressão</vt:lpstr>
      <vt:lpstr>'Previsão Receitas'!Área_de_Impressão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Andion</dc:creator>
  <cp:lastModifiedBy>joana</cp:lastModifiedBy>
  <cp:lastPrinted>2023-06-01T15:10:36Z</cp:lastPrinted>
  <dcterms:created xsi:type="dcterms:W3CDTF">2006-04-26T13:10:09Z</dcterms:created>
  <dcterms:modified xsi:type="dcterms:W3CDTF">2023-06-06T15:03:28Z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0x01010074B53EA2A34FFF4591C71A257ED8A3F9</vt:lpwstr>
  </property>
</Properties>
</file>