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TurnAround\Criação de Emprego e Empreendedorismo\Saida de Emergência\"/>
    </mc:Choice>
  </mc:AlternateContent>
  <xr:revisionPtr revIDLastSave="0" documentId="8_{94B78C28-A74B-4A2A-A4D9-4B444943B39F}" xr6:coauthVersionLast="47" xr6:coauthVersionMax="47" xr10:uidLastSave="{00000000-0000-0000-0000-000000000000}"/>
  <bookViews>
    <workbookView xWindow="-108" yWindow="-108" windowWidth="23256" windowHeight="12456" xr2:uid="{6E3C4954-4C3C-47E7-AB25-F6A0C3F7866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L3" i="1"/>
  <c r="M3" i="1"/>
  <c r="M9" i="1" s="1"/>
  <c r="F4" i="1"/>
  <c r="G4" i="1" s="1"/>
  <c r="F3" i="1"/>
  <c r="M4" i="1"/>
  <c r="G3" i="1"/>
  <c r="M8" i="1"/>
  <c r="F8" i="1"/>
  <c r="G8" i="1" s="1"/>
  <c r="E8" i="1"/>
  <c r="M7" i="1"/>
  <c r="F7" i="1"/>
  <c r="G7" i="1" s="1"/>
  <c r="K7" i="1" s="1"/>
  <c r="E7" i="1"/>
  <c r="M6" i="1"/>
  <c r="F6" i="1"/>
  <c r="G6" i="1" s="1"/>
  <c r="E6" i="1"/>
  <c r="M5" i="1"/>
  <c r="F5" i="1"/>
  <c r="G5" i="1" s="1"/>
  <c r="E5" i="1"/>
  <c r="E4" i="1"/>
  <c r="E3" i="1"/>
  <c r="K3" i="1" l="1"/>
  <c r="H3" i="1"/>
  <c r="I3" i="1" s="1"/>
  <c r="G9" i="1"/>
  <c r="H9" i="1" s="1"/>
  <c r="J9" i="1" s="1"/>
  <c r="K8" i="1"/>
  <c r="H8" i="1"/>
  <c r="I8" i="1" s="1"/>
  <c r="K4" i="1"/>
  <c r="H4" i="1"/>
  <c r="J4" i="1" s="1"/>
  <c r="H5" i="1"/>
  <c r="J5" i="1" s="1"/>
  <c r="K5" i="1"/>
  <c r="K6" i="1"/>
  <c r="H6" i="1"/>
  <c r="I6" i="1" s="1"/>
  <c r="H7" i="1"/>
  <c r="J7" i="1" s="1"/>
  <c r="J3" i="1" l="1"/>
  <c r="K9" i="1"/>
  <c r="I9" i="1"/>
  <c r="J6" i="1"/>
  <c r="I5" i="1"/>
  <c r="J8" i="1"/>
  <c r="I7" i="1"/>
  <c r="L7" i="1" s="1"/>
  <c r="L5" i="1"/>
  <c r="L6" i="1"/>
  <c r="I4" i="1"/>
  <c r="L4" i="1" s="1"/>
  <c r="L8" i="1"/>
</calcChain>
</file>

<file path=xl/sharedStrings.xml><?xml version="1.0" encoding="utf-8"?>
<sst xmlns="http://schemas.openxmlformats.org/spreadsheetml/2006/main" count="18" uniqueCount="18">
  <si>
    <t>Função</t>
  </si>
  <si>
    <t>Nº de Trabalhadores</t>
  </si>
  <si>
    <t>Salário Base</t>
  </si>
  <si>
    <t>Subsidio de Refeição</t>
  </si>
  <si>
    <t>Valor Max Referencia</t>
  </si>
  <si>
    <t>Valor de Referencia</t>
  </si>
  <si>
    <t>Contribuição Privada</t>
  </si>
  <si>
    <t>Custo total Elegivel</t>
  </si>
  <si>
    <t>Comparticipação FSE+</t>
  </si>
  <si>
    <t>Comparticipação OSS</t>
  </si>
  <si>
    <t>Pressupostos</t>
  </si>
  <si>
    <t>Calculo custo elegivel</t>
  </si>
  <si>
    <t>OCS (40%)</t>
  </si>
  <si>
    <t>Valor Estimado de Subvenção a receber</t>
  </si>
  <si>
    <t>Custo Salarial Total</t>
  </si>
  <si>
    <t>Total</t>
  </si>
  <si>
    <t>Responsável comercial</t>
  </si>
  <si>
    <t>Técnico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</si>
</sst>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6" formatCode="_-* #,##0.00000\ &quot;€&quot;_-;\-* #,##0.000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44" fontId="0" fillId="0" borderId="1" xfId="1" applyFont="1" applyBorder="1"/>
    <xf numFmtId="44" fontId="0" fillId="0" borderId="1" xfId="0" applyNumberFormat="1" applyBorder="1"/>
    <xf numFmtId="0" fontId="2" fillId="0" borderId="0" xfId="0" applyFont="1"/>
    <xf numFmtId="44" fontId="0" fillId="0" borderId="1" xfId="1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2" xfId="1" applyFon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2" xfId="0" applyNumberFormat="1" applyBorder="1"/>
    <xf numFmtId="44" fontId="0" fillId="0" borderId="1" xfId="1" applyFont="1" applyFill="1" applyBorder="1" applyAlignment="1">
      <alignment horizontal="center"/>
    </xf>
    <xf numFmtId="44" fontId="0" fillId="0" borderId="1" xfId="1" applyFont="1" applyFill="1" applyBorder="1"/>
    <xf numFmtId="44" fontId="0" fillId="2" borderId="1" xfId="1" applyFont="1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1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166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8945-9CDB-40C6-91C2-53144C3B1D3F}">
  <sheetPr>
    <pageSetUpPr fitToPage="1"/>
  </sheetPr>
  <dimension ref="A1:EIG15"/>
  <sheetViews>
    <sheetView tabSelected="1" topLeftCell="C1" workbookViewId="0">
      <selection activeCell="D5" sqref="D5"/>
    </sheetView>
  </sheetViews>
  <sheetFormatPr defaultRowHeight="14.4" x14ac:dyDescent="0.3"/>
  <cols>
    <col min="1" max="1" width="20" style="1" bestFit="1" customWidth="1"/>
    <col min="2" max="2" width="17.6640625" style="1" bestFit="1" customWidth="1"/>
    <col min="3" max="3" width="10.88671875" style="1" bestFit="1" customWidth="1"/>
    <col min="4" max="4" width="17.77734375" style="1" bestFit="1" customWidth="1"/>
    <col min="5" max="5" width="18.109375" style="1" bestFit="1" customWidth="1"/>
    <col min="6" max="6" width="16.77734375" style="1" bestFit="1" customWidth="1"/>
    <col min="7" max="7" width="16.77734375" style="1" customWidth="1"/>
    <col min="8" max="8" width="24.5546875" style="1" bestFit="1" customWidth="1"/>
    <col min="9" max="9" width="19.5546875" style="1" bestFit="1" customWidth="1"/>
    <col min="10" max="10" width="18.88671875" style="1" bestFit="1" customWidth="1"/>
    <col min="11" max="11" width="12.5546875" bestFit="1" customWidth="1"/>
    <col min="12" max="12" width="22.88671875" customWidth="1"/>
    <col min="13" max="13" width="16.33203125" bestFit="1" customWidth="1"/>
  </cols>
  <sheetData>
    <row r="1" spans="1:3621" s="4" customFormat="1" ht="24" customHeight="1" x14ac:dyDescent="0.3">
      <c r="A1" s="20" t="s">
        <v>10</v>
      </c>
      <c r="B1" s="20"/>
      <c r="C1" s="20"/>
      <c r="D1" s="20"/>
      <c r="E1" s="20"/>
      <c r="F1" s="20"/>
      <c r="G1" s="20" t="s">
        <v>11</v>
      </c>
      <c r="H1" s="20"/>
      <c r="I1" s="20"/>
      <c r="J1" s="20"/>
    </row>
    <row r="2" spans="1:3621" s="17" customFormat="1" ht="35.4" customHeight="1" x14ac:dyDescent="0.3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7</v>
      </c>
      <c r="H2" s="14" t="s">
        <v>6</v>
      </c>
      <c r="I2" s="14" t="s">
        <v>8</v>
      </c>
      <c r="J2" s="14" t="s">
        <v>9</v>
      </c>
      <c r="K2" s="15" t="s">
        <v>12</v>
      </c>
      <c r="L2" s="14" t="s">
        <v>13</v>
      </c>
      <c r="M2" s="14" t="s">
        <v>14</v>
      </c>
      <c r="N2" s="16"/>
    </row>
    <row r="3" spans="1:3621" x14ac:dyDescent="0.3">
      <c r="A3" s="5" t="s">
        <v>16</v>
      </c>
      <c r="B3" s="18">
        <v>1</v>
      </c>
      <c r="C3" s="12">
        <v>1600</v>
      </c>
      <c r="D3" s="12">
        <v>10.199999999999999</v>
      </c>
      <c r="E3" s="5">
        <f>522.5*3</f>
        <v>1567.5</v>
      </c>
      <c r="F3" s="6">
        <f>E3</f>
        <v>1567.5</v>
      </c>
      <c r="G3" s="5">
        <f>+F3*1.2375*28</f>
        <v>54313.875</v>
      </c>
      <c r="H3" s="5">
        <f>+G3*0.1</f>
        <v>5431.3875000000007</v>
      </c>
      <c r="I3" s="5">
        <f>+(G3-H3)*0.6</f>
        <v>29329.4925</v>
      </c>
      <c r="J3" s="5">
        <f>+(G3-H3)*0.4</f>
        <v>19552.995000000003</v>
      </c>
      <c r="K3" s="6">
        <f>0.4*G3</f>
        <v>21725.550000000003</v>
      </c>
      <c r="L3" s="3">
        <f>+K3+J3+I3</f>
        <v>70608.037500000006</v>
      </c>
      <c r="M3" s="3">
        <f>+B3*C3*28*1.2375+22*D3*21</f>
        <v>60152.4</v>
      </c>
      <c r="N3" s="4"/>
    </row>
    <row r="4" spans="1:3621" x14ac:dyDescent="0.3">
      <c r="A4" s="5" t="s">
        <v>17</v>
      </c>
      <c r="B4" s="18">
        <v>1</v>
      </c>
      <c r="C4" s="12">
        <v>870</v>
      </c>
      <c r="D4" s="12">
        <v>10.199999999999999</v>
      </c>
      <c r="E4" s="5">
        <f t="shared" ref="E4:E8" si="0">522.5*3</f>
        <v>1567.5</v>
      </c>
      <c r="F4" s="6">
        <f>C4</f>
        <v>870</v>
      </c>
      <c r="G4" s="5">
        <f t="shared" ref="G4:G8" si="1">+F4*1.2375*28</f>
        <v>30145.5</v>
      </c>
      <c r="H4" s="5">
        <f t="shared" ref="H4:H9" si="2">+G4*0.1</f>
        <v>3014.55</v>
      </c>
      <c r="I4" s="5">
        <f t="shared" ref="I4:I9" si="3">+(G4-H4)*0.6</f>
        <v>16278.57</v>
      </c>
      <c r="J4" s="5">
        <f t="shared" ref="J4:J9" si="4">+(G4-H4)*0.4</f>
        <v>10852.380000000001</v>
      </c>
      <c r="K4" s="6">
        <f t="shared" ref="K4:K9" si="5">0.4*G4</f>
        <v>12058.2</v>
      </c>
      <c r="L4" s="3">
        <f t="shared" ref="L4:L8" si="6">+K4+J4+I4</f>
        <v>39189.15</v>
      </c>
      <c r="M4" s="3">
        <f>+B4*C4*28*1.2375+22*D4*21</f>
        <v>34857.9</v>
      </c>
      <c r="N4" s="4"/>
    </row>
    <row r="5" spans="1:3621" x14ac:dyDescent="0.3">
      <c r="A5" s="5"/>
      <c r="B5" s="12"/>
      <c r="C5" s="12"/>
      <c r="D5" s="12"/>
      <c r="E5" s="5">
        <f t="shared" si="0"/>
        <v>1567.5</v>
      </c>
      <c r="F5" s="6">
        <f t="shared" ref="F5:F8" si="7">+C5*0.9</f>
        <v>0</v>
      </c>
      <c r="G5" s="5">
        <f t="shared" si="1"/>
        <v>0</v>
      </c>
      <c r="H5" s="5">
        <f t="shared" si="2"/>
        <v>0</v>
      </c>
      <c r="I5" s="5">
        <f t="shared" si="3"/>
        <v>0</v>
      </c>
      <c r="J5" s="5">
        <f t="shared" si="4"/>
        <v>0</v>
      </c>
      <c r="K5" s="6">
        <f t="shared" si="5"/>
        <v>0</v>
      </c>
      <c r="L5" s="3">
        <f t="shared" si="6"/>
        <v>0</v>
      </c>
      <c r="M5" s="3">
        <f t="shared" ref="M5:M8" si="8">+B5+C5*28*1.2375+22*D5*21</f>
        <v>0</v>
      </c>
      <c r="N5" s="4"/>
    </row>
    <row r="6" spans="1:3621" x14ac:dyDescent="0.3">
      <c r="A6" s="5"/>
      <c r="B6" s="12"/>
      <c r="C6" s="12"/>
      <c r="D6" s="12"/>
      <c r="E6" s="5">
        <f t="shared" si="0"/>
        <v>1567.5</v>
      </c>
      <c r="F6" s="6">
        <f t="shared" si="7"/>
        <v>0</v>
      </c>
      <c r="G6" s="5">
        <f t="shared" si="1"/>
        <v>0</v>
      </c>
      <c r="H6" s="5">
        <f t="shared" si="2"/>
        <v>0</v>
      </c>
      <c r="I6" s="5">
        <f t="shared" si="3"/>
        <v>0</v>
      </c>
      <c r="J6" s="5">
        <f t="shared" si="4"/>
        <v>0</v>
      </c>
      <c r="K6" s="6">
        <f t="shared" si="5"/>
        <v>0</v>
      </c>
      <c r="L6" s="3">
        <f t="shared" si="6"/>
        <v>0</v>
      </c>
      <c r="M6" s="3">
        <f t="shared" si="8"/>
        <v>0</v>
      </c>
      <c r="N6" s="4"/>
    </row>
    <row r="7" spans="1:3621" x14ac:dyDescent="0.3">
      <c r="A7" s="5"/>
      <c r="B7" s="12"/>
      <c r="C7" s="12"/>
      <c r="D7" s="12"/>
      <c r="E7" s="5">
        <f t="shared" si="0"/>
        <v>1567.5</v>
      </c>
      <c r="F7" s="6">
        <f t="shared" si="7"/>
        <v>0</v>
      </c>
      <c r="G7" s="5">
        <f t="shared" si="1"/>
        <v>0</v>
      </c>
      <c r="H7" s="5">
        <f t="shared" si="2"/>
        <v>0</v>
      </c>
      <c r="I7" s="5">
        <f t="shared" si="3"/>
        <v>0</v>
      </c>
      <c r="J7" s="5">
        <f t="shared" si="4"/>
        <v>0</v>
      </c>
      <c r="K7" s="6">
        <f t="shared" si="5"/>
        <v>0</v>
      </c>
      <c r="L7" s="3">
        <f t="shared" si="6"/>
        <v>0</v>
      </c>
      <c r="M7" s="3">
        <f t="shared" si="8"/>
        <v>0</v>
      </c>
      <c r="N7" s="4"/>
    </row>
    <row r="8" spans="1:3621" x14ac:dyDescent="0.3">
      <c r="A8" s="7"/>
      <c r="B8" s="13"/>
      <c r="C8" s="13"/>
      <c r="D8" s="13"/>
      <c r="E8" s="7">
        <f t="shared" si="0"/>
        <v>1567.5</v>
      </c>
      <c r="F8" s="8">
        <f t="shared" si="7"/>
        <v>0</v>
      </c>
      <c r="G8" s="7">
        <f t="shared" si="1"/>
        <v>0</v>
      </c>
      <c r="H8" s="7">
        <f t="shared" si="2"/>
        <v>0</v>
      </c>
      <c r="I8" s="7">
        <f t="shared" si="3"/>
        <v>0</v>
      </c>
      <c r="J8" s="7">
        <f t="shared" si="4"/>
        <v>0</v>
      </c>
      <c r="K8" s="8">
        <f t="shared" si="5"/>
        <v>0</v>
      </c>
      <c r="L8" s="9">
        <f t="shared" si="6"/>
        <v>0</v>
      </c>
      <c r="M8" s="9">
        <f t="shared" si="8"/>
        <v>0</v>
      </c>
      <c r="N8" s="4"/>
    </row>
    <row r="9" spans="1:3621" s="2" customFormat="1" x14ac:dyDescent="0.3">
      <c r="A9" s="21" t="s">
        <v>15</v>
      </c>
      <c r="B9" s="21"/>
      <c r="C9" s="21"/>
      <c r="D9" s="21"/>
      <c r="E9" s="21"/>
      <c r="F9" s="21"/>
      <c r="G9" s="5">
        <f>SUM(G3:G8)</f>
        <v>84459.375</v>
      </c>
      <c r="H9" s="5">
        <f t="shared" si="2"/>
        <v>8445.9375</v>
      </c>
      <c r="I9" s="5">
        <f t="shared" si="3"/>
        <v>45608.0625</v>
      </c>
      <c r="J9" s="5">
        <f t="shared" si="4"/>
        <v>30405.375</v>
      </c>
      <c r="K9" s="10">
        <f t="shared" si="5"/>
        <v>33783.75</v>
      </c>
      <c r="L9" s="11">
        <f>SUM(L3:L8)</f>
        <v>109797.1875</v>
      </c>
      <c r="M9" s="11">
        <f>SUM(M3:M8)</f>
        <v>95010.3</v>
      </c>
      <c r="N9" s="4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  <c r="DHW9"/>
      <c r="DHX9"/>
      <c r="DHY9"/>
      <c r="DHZ9"/>
      <c r="DIA9"/>
      <c r="DIB9"/>
      <c r="DIC9"/>
      <c r="DID9"/>
      <c r="DIE9"/>
      <c r="DIF9"/>
      <c r="DIG9"/>
      <c r="DIH9"/>
      <c r="DII9"/>
      <c r="DIJ9"/>
      <c r="DIK9"/>
      <c r="DIL9"/>
      <c r="DIM9"/>
      <c r="DIN9"/>
      <c r="DIO9"/>
      <c r="DIP9"/>
      <c r="DIQ9"/>
      <c r="DIR9"/>
      <c r="DIS9"/>
      <c r="DIT9"/>
      <c r="DIU9"/>
      <c r="DIV9"/>
      <c r="DIW9"/>
      <c r="DIX9"/>
      <c r="DIY9"/>
      <c r="DIZ9"/>
      <c r="DJA9"/>
      <c r="DJB9"/>
      <c r="DJC9"/>
      <c r="DJD9"/>
      <c r="DJE9"/>
      <c r="DJF9"/>
      <c r="DJG9"/>
      <c r="DJH9"/>
      <c r="DJI9"/>
      <c r="DJJ9"/>
      <c r="DJK9"/>
      <c r="DJL9"/>
      <c r="DJM9"/>
      <c r="DJN9"/>
      <c r="DJO9"/>
      <c r="DJP9"/>
      <c r="DJQ9"/>
      <c r="DJR9"/>
      <c r="DJS9"/>
      <c r="DJT9"/>
      <c r="DJU9"/>
      <c r="DJV9"/>
      <c r="DJW9"/>
      <c r="DJX9"/>
      <c r="DJY9"/>
      <c r="DJZ9"/>
      <c r="DKA9"/>
      <c r="DKB9"/>
      <c r="DKC9"/>
      <c r="DKD9"/>
      <c r="DKE9"/>
      <c r="DKF9"/>
      <c r="DKG9"/>
      <c r="DKH9"/>
      <c r="DKI9"/>
      <c r="DKJ9"/>
      <c r="DKK9"/>
      <c r="DKL9"/>
      <c r="DKM9"/>
      <c r="DKN9"/>
      <c r="DKO9"/>
      <c r="DKP9"/>
      <c r="DKQ9"/>
      <c r="DKR9"/>
      <c r="DKS9"/>
      <c r="DKT9"/>
      <c r="DKU9"/>
      <c r="DKV9"/>
      <c r="DKW9"/>
      <c r="DKX9"/>
      <c r="DKY9"/>
      <c r="DKZ9"/>
      <c r="DLA9"/>
      <c r="DLB9"/>
      <c r="DLC9"/>
      <c r="DLD9"/>
      <c r="DLE9"/>
      <c r="DLF9"/>
      <c r="DLG9"/>
      <c r="DLH9"/>
      <c r="DLI9"/>
      <c r="DLJ9"/>
      <c r="DLK9"/>
      <c r="DLL9"/>
      <c r="DLM9"/>
      <c r="DLN9"/>
      <c r="DLO9"/>
      <c r="DLP9"/>
      <c r="DLQ9"/>
      <c r="DLR9"/>
      <c r="DLS9"/>
      <c r="DLT9"/>
      <c r="DLU9"/>
      <c r="DLV9"/>
      <c r="DLW9"/>
      <c r="DLX9"/>
      <c r="DLY9"/>
      <c r="DLZ9"/>
      <c r="DMA9"/>
      <c r="DMB9"/>
      <c r="DMC9"/>
      <c r="DMD9"/>
      <c r="DME9"/>
      <c r="DMF9"/>
      <c r="DMG9"/>
      <c r="DMH9"/>
      <c r="DMI9"/>
      <c r="DMJ9"/>
      <c r="DMK9"/>
      <c r="DML9"/>
      <c r="DMM9"/>
      <c r="DMN9"/>
      <c r="DMO9"/>
      <c r="DMP9"/>
      <c r="DMQ9"/>
      <c r="DMR9"/>
      <c r="DMS9"/>
      <c r="DMT9"/>
      <c r="DMU9"/>
      <c r="DMV9"/>
      <c r="DMW9"/>
      <c r="DMX9"/>
      <c r="DMY9"/>
      <c r="DMZ9"/>
      <c r="DNA9"/>
      <c r="DNB9"/>
      <c r="DNC9"/>
      <c r="DND9"/>
      <c r="DNE9"/>
      <c r="DNF9"/>
      <c r="DNG9"/>
      <c r="DNH9"/>
      <c r="DNI9"/>
      <c r="DNJ9"/>
      <c r="DNK9"/>
      <c r="DNL9"/>
      <c r="DNM9"/>
      <c r="DNN9"/>
      <c r="DNO9"/>
      <c r="DNP9"/>
      <c r="DNQ9"/>
      <c r="DNR9"/>
      <c r="DNS9"/>
      <c r="DNT9"/>
      <c r="DNU9"/>
      <c r="DNV9"/>
      <c r="DNW9"/>
      <c r="DNX9"/>
      <c r="DNY9"/>
      <c r="DNZ9"/>
      <c r="DOA9"/>
      <c r="DOB9"/>
      <c r="DOC9"/>
      <c r="DOD9"/>
      <c r="DOE9"/>
      <c r="DOF9"/>
      <c r="DOG9"/>
      <c r="DOH9"/>
      <c r="DOI9"/>
      <c r="DOJ9"/>
      <c r="DOK9"/>
      <c r="DOL9"/>
      <c r="DOM9"/>
      <c r="DON9"/>
      <c r="DOO9"/>
      <c r="DOP9"/>
      <c r="DOQ9"/>
      <c r="DOR9"/>
      <c r="DOS9"/>
      <c r="DOT9"/>
      <c r="DOU9"/>
      <c r="DOV9"/>
      <c r="DOW9"/>
      <c r="DOX9"/>
      <c r="DOY9"/>
      <c r="DOZ9"/>
      <c r="DPA9"/>
      <c r="DPB9"/>
      <c r="DPC9"/>
      <c r="DPD9"/>
      <c r="DPE9"/>
      <c r="DPF9"/>
      <c r="DPG9"/>
      <c r="DPH9"/>
      <c r="DPI9"/>
      <c r="DPJ9"/>
      <c r="DPK9"/>
      <c r="DPL9"/>
      <c r="DPM9"/>
      <c r="DPN9"/>
      <c r="DPO9"/>
      <c r="DPP9"/>
      <c r="DPQ9"/>
      <c r="DPR9"/>
      <c r="DPS9"/>
      <c r="DPT9"/>
      <c r="DPU9"/>
      <c r="DPV9"/>
      <c r="DPW9"/>
      <c r="DPX9"/>
      <c r="DPY9"/>
      <c r="DPZ9"/>
      <c r="DQA9"/>
      <c r="DQB9"/>
      <c r="DQC9"/>
      <c r="DQD9"/>
      <c r="DQE9"/>
      <c r="DQF9"/>
      <c r="DQG9"/>
      <c r="DQH9"/>
      <c r="DQI9"/>
      <c r="DQJ9"/>
      <c r="DQK9"/>
      <c r="DQL9"/>
      <c r="DQM9"/>
      <c r="DQN9"/>
      <c r="DQO9"/>
      <c r="DQP9"/>
      <c r="DQQ9"/>
      <c r="DQR9"/>
      <c r="DQS9"/>
      <c r="DQT9"/>
      <c r="DQU9"/>
      <c r="DQV9"/>
      <c r="DQW9"/>
      <c r="DQX9"/>
      <c r="DQY9"/>
      <c r="DQZ9"/>
      <c r="DRA9"/>
      <c r="DRB9"/>
      <c r="DRC9"/>
      <c r="DRD9"/>
      <c r="DRE9"/>
      <c r="DRF9"/>
      <c r="DRG9"/>
      <c r="DRH9"/>
      <c r="DRI9"/>
      <c r="DRJ9"/>
      <c r="DRK9"/>
      <c r="DRL9"/>
      <c r="DRM9"/>
      <c r="DRN9"/>
      <c r="DRO9"/>
      <c r="DRP9"/>
      <c r="DRQ9"/>
      <c r="DRR9"/>
      <c r="DRS9"/>
      <c r="DRT9"/>
      <c r="DRU9"/>
      <c r="DRV9"/>
      <c r="DRW9"/>
      <c r="DRX9"/>
      <c r="DRY9"/>
      <c r="DRZ9"/>
      <c r="DSA9"/>
      <c r="DSB9"/>
      <c r="DSC9"/>
      <c r="DSD9"/>
      <c r="DSE9"/>
      <c r="DSF9"/>
      <c r="DSG9"/>
      <c r="DSH9"/>
      <c r="DSI9"/>
      <c r="DSJ9"/>
      <c r="DSK9"/>
      <c r="DSL9"/>
      <c r="DSM9"/>
      <c r="DSN9"/>
      <c r="DSO9"/>
      <c r="DSP9"/>
      <c r="DSQ9"/>
      <c r="DSR9"/>
      <c r="DSS9"/>
      <c r="DST9"/>
      <c r="DSU9"/>
      <c r="DSV9"/>
      <c r="DSW9"/>
      <c r="DSX9"/>
      <c r="DSY9"/>
      <c r="DSZ9"/>
      <c r="DTA9"/>
      <c r="DTB9"/>
      <c r="DTC9"/>
      <c r="DTD9"/>
      <c r="DTE9"/>
      <c r="DTF9"/>
      <c r="DTG9"/>
      <c r="DTH9"/>
      <c r="DTI9"/>
      <c r="DTJ9"/>
      <c r="DTK9"/>
      <c r="DTL9"/>
      <c r="DTM9"/>
      <c r="DTN9"/>
      <c r="DTO9"/>
      <c r="DTP9"/>
      <c r="DTQ9"/>
      <c r="DTR9"/>
      <c r="DTS9"/>
      <c r="DTT9"/>
      <c r="DTU9"/>
      <c r="DTV9"/>
      <c r="DTW9"/>
      <c r="DTX9"/>
      <c r="DTY9"/>
      <c r="DTZ9"/>
      <c r="DUA9"/>
      <c r="DUB9"/>
      <c r="DUC9"/>
      <c r="DUD9"/>
      <c r="DUE9"/>
      <c r="DUF9"/>
      <c r="DUG9"/>
      <c r="DUH9"/>
      <c r="DUI9"/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</row>
    <row r="10" spans="1:3621" x14ac:dyDescent="0.3">
      <c r="G10" s="19"/>
      <c r="K10" s="1"/>
      <c r="L10" s="1"/>
      <c r="M10" s="1"/>
      <c r="N10" s="4"/>
    </row>
    <row r="11" spans="1:3621" x14ac:dyDescent="0.3">
      <c r="J11" s="19"/>
      <c r="N11" s="4"/>
    </row>
    <row r="12" spans="1:3621" x14ac:dyDescent="0.3">
      <c r="I12" s="19"/>
      <c r="J12" s="19"/>
      <c r="N12" s="4"/>
    </row>
    <row r="13" spans="1:3621" x14ac:dyDescent="0.3">
      <c r="I13" s="19"/>
      <c r="J13" s="19"/>
      <c r="N13" s="4"/>
    </row>
    <row r="14" spans="1:3621" x14ac:dyDescent="0.3">
      <c r="I14" s="19"/>
    </row>
    <row r="15" spans="1:3621" x14ac:dyDescent="0.3">
      <c r="J15" s="22"/>
    </row>
  </sheetData>
  <mergeCells count="3">
    <mergeCell ref="A1:F1"/>
    <mergeCell ref="G1:J1"/>
    <mergeCell ref="A9:F9"/>
  </mergeCells>
  <printOptions horizontalCentered="1" verticalCentered="1"/>
  <pageMargins left="0" right="0" top="0" bottom="0" header="0" footer="0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Pereira</dc:creator>
  <cp:lastModifiedBy>JOÃO RODRIGUES</cp:lastModifiedBy>
  <cp:lastPrinted>2025-07-31T09:55:27Z</cp:lastPrinted>
  <dcterms:created xsi:type="dcterms:W3CDTF">2025-07-03T11:16:33Z</dcterms:created>
  <dcterms:modified xsi:type="dcterms:W3CDTF">2025-08-14T14:42:27Z</dcterms:modified>
</cp:coreProperties>
</file>