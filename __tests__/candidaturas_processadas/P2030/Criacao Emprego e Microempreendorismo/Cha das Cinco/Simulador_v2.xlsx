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p\Desktop\Cha das Cinco\"/>
    </mc:Choice>
  </mc:AlternateContent>
  <xr:revisionPtr revIDLastSave="0" documentId="13_ncr:1_{282B5D4C-7862-4AA1-8102-9FC023F46DFD}" xr6:coauthVersionLast="47" xr6:coauthVersionMax="47" xr10:uidLastSave="{00000000-0000-0000-0000-000000000000}"/>
  <bookViews>
    <workbookView xWindow="-108" yWindow="-108" windowWidth="23256" windowHeight="12456" xr2:uid="{6E3C4954-4C3C-47E7-AB25-F6A0C3F7866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3" i="1"/>
  <c r="M9" i="1"/>
  <c r="M3" i="1"/>
  <c r="F4" i="1"/>
  <c r="G4" i="1" s="1"/>
  <c r="F3" i="1"/>
  <c r="M4" i="1"/>
  <c r="G3" i="1"/>
  <c r="M8" i="1"/>
  <c r="F8" i="1"/>
  <c r="G8" i="1" s="1"/>
  <c r="E8" i="1"/>
  <c r="M7" i="1"/>
  <c r="F7" i="1"/>
  <c r="G7" i="1" s="1"/>
  <c r="K7" i="1" s="1"/>
  <c r="E7" i="1"/>
  <c r="M6" i="1"/>
  <c r="F6" i="1"/>
  <c r="G6" i="1" s="1"/>
  <c r="E6" i="1"/>
  <c r="M5" i="1"/>
  <c r="F5" i="1"/>
  <c r="G5" i="1" s="1"/>
  <c r="E5" i="1"/>
  <c r="E4" i="1"/>
  <c r="E3" i="1"/>
  <c r="K3" i="1" l="1"/>
  <c r="H3" i="1"/>
  <c r="I3" i="1" s="1"/>
  <c r="G9" i="1"/>
  <c r="H9" i="1" s="1"/>
  <c r="J9" i="1" s="1"/>
  <c r="K8" i="1"/>
  <c r="H8" i="1"/>
  <c r="I8" i="1" s="1"/>
  <c r="K4" i="1"/>
  <c r="H4" i="1"/>
  <c r="J4" i="1" s="1"/>
  <c r="H5" i="1"/>
  <c r="J5" i="1" s="1"/>
  <c r="K5" i="1"/>
  <c r="K6" i="1"/>
  <c r="H6" i="1"/>
  <c r="I6" i="1" s="1"/>
  <c r="H7" i="1"/>
  <c r="J7" i="1" s="1"/>
  <c r="J3" i="1" l="1"/>
  <c r="K9" i="1"/>
  <c r="I9" i="1"/>
  <c r="J6" i="1"/>
  <c r="I5" i="1"/>
  <c r="J8" i="1"/>
  <c r="I7" i="1"/>
  <c r="L7" i="1" s="1"/>
  <c r="L5" i="1"/>
  <c r="L6" i="1"/>
  <c r="I4" i="1"/>
  <c r="L4" i="1" s="1"/>
  <c r="L8" i="1"/>
</calcChain>
</file>

<file path=xl/sharedStrings.xml><?xml version="1.0" encoding="utf-8"?>
<sst xmlns="http://schemas.openxmlformats.org/spreadsheetml/2006/main" count="18" uniqueCount="18">
  <si>
    <t>Função</t>
  </si>
  <si>
    <t>Nº de Trabalhadores</t>
  </si>
  <si>
    <t>Salário Base</t>
  </si>
  <si>
    <t>Subsidio de Refeição</t>
  </si>
  <si>
    <t>Valor Max Referencia</t>
  </si>
  <si>
    <t>Valor de Referencia</t>
  </si>
  <si>
    <t>Contribuição Privada</t>
  </si>
  <si>
    <t>Custo total Elegivel</t>
  </si>
  <si>
    <t>Comparticipação FSE+</t>
  </si>
  <si>
    <t>Comparticipação OSS</t>
  </si>
  <si>
    <t>Pressupostos</t>
  </si>
  <si>
    <t>Calculo custo elegivel</t>
  </si>
  <si>
    <t>OCS (40%)</t>
  </si>
  <si>
    <t>Valor Estimado de Subvenção a receber</t>
  </si>
  <si>
    <t>Custo Salarial Total</t>
  </si>
  <si>
    <t>Total</t>
  </si>
  <si>
    <t>Editora</t>
  </si>
  <si>
    <t>Promotora de Eventos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</si>
</sst>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0" fontId="2" fillId="0" borderId="0" xfId="0" applyFont="1"/>
    <xf numFmtId="44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2" xfId="0" applyNumberFormat="1" applyBorder="1"/>
    <xf numFmtId="44" fontId="0" fillId="0" borderId="1" xfId="1" applyFont="1" applyFill="1" applyBorder="1" applyAlignment="1">
      <alignment horizontal="center"/>
    </xf>
    <xf numFmtId="44" fontId="0" fillId="0" borderId="1" xfId="1" applyFont="1" applyFill="1" applyBorder="1"/>
    <xf numFmtId="44" fontId="0" fillId="2" borderId="1" xfId="1" applyFont="1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8945-9CDB-40C6-91C2-53144C3B1D3F}">
  <sheetPr>
    <pageSetUpPr fitToPage="1"/>
  </sheetPr>
  <dimension ref="A1:EIG14"/>
  <sheetViews>
    <sheetView tabSelected="1" topLeftCell="C1" workbookViewId="0">
      <selection activeCell="H2" sqref="H2"/>
    </sheetView>
  </sheetViews>
  <sheetFormatPr defaultRowHeight="14.4" x14ac:dyDescent="0.3"/>
  <cols>
    <col min="1" max="1" width="20" style="1" bestFit="1" customWidth="1"/>
    <col min="2" max="2" width="17.6640625" style="1" bestFit="1" customWidth="1"/>
    <col min="3" max="3" width="10.88671875" style="1" bestFit="1" customWidth="1"/>
    <col min="4" max="4" width="17.77734375" style="1" bestFit="1" customWidth="1"/>
    <col min="5" max="5" width="18.109375" style="1" bestFit="1" customWidth="1"/>
    <col min="6" max="6" width="16.77734375" style="1" bestFit="1" customWidth="1"/>
    <col min="7" max="7" width="16.77734375" style="1" customWidth="1"/>
    <col min="8" max="8" width="24.5546875" style="1" bestFit="1" customWidth="1"/>
    <col min="9" max="9" width="19.5546875" style="1" bestFit="1" customWidth="1"/>
    <col min="10" max="10" width="18.88671875" style="1" bestFit="1" customWidth="1"/>
    <col min="11" max="11" width="12.5546875" bestFit="1" customWidth="1"/>
    <col min="12" max="12" width="22.88671875" customWidth="1"/>
    <col min="13" max="13" width="16.33203125" bestFit="1" customWidth="1"/>
  </cols>
  <sheetData>
    <row r="1" spans="1:3621" s="4" customFormat="1" ht="24" customHeight="1" x14ac:dyDescent="0.3">
      <c r="A1" s="19" t="s">
        <v>10</v>
      </c>
      <c r="B1" s="19"/>
      <c r="C1" s="19"/>
      <c r="D1" s="19"/>
      <c r="E1" s="19"/>
      <c r="F1" s="19"/>
      <c r="G1" s="19" t="s">
        <v>11</v>
      </c>
      <c r="H1" s="19"/>
      <c r="I1" s="19"/>
      <c r="J1" s="19"/>
    </row>
    <row r="2" spans="1:3621" s="17" customFormat="1" ht="35.4" customHeight="1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7</v>
      </c>
      <c r="H2" s="14" t="s">
        <v>6</v>
      </c>
      <c r="I2" s="14" t="s">
        <v>8</v>
      </c>
      <c r="J2" s="14" t="s">
        <v>9</v>
      </c>
      <c r="K2" s="15" t="s">
        <v>12</v>
      </c>
      <c r="L2" s="14" t="s">
        <v>13</v>
      </c>
      <c r="M2" s="14" t="s">
        <v>14</v>
      </c>
      <c r="N2" s="16"/>
    </row>
    <row r="3" spans="1:3621" x14ac:dyDescent="0.3">
      <c r="A3" s="5" t="s">
        <v>16</v>
      </c>
      <c r="B3" s="18">
        <v>1</v>
      </c>
      <c r="C3" s="12">
        <v>1568</v>
      </c>
      <c r="D3" s="12">
        <v>10.199999999999999</v>
      </c>
      <c r="E3" s="5">
        <f>522.5*3</f>
        <v>1567.5</v>
      </c>
      <c r="F3" s="6">
        <f>E3</f>
        <v>1567.5</v>
      </c>
      <c r="G3" s="5">
        <f>+F3*1.2375*28</f>
        <v>54313.875</v>
      </c>
      <c r="H3" s="5">
        <f>+G3*0.1</f>
        <v>5431.3875000000007</v>
      </c>
      <c r="I3" s="5">
        <f>+(G3-H3)*0.6</f>
        <v>29329.4925</v>
      </c>
      <c r="J3" s="5">
        <f>+(G3-H3)*0.4</f>
        <v>19552.995000000003</v>
      </c>
      <c r="K3" s="6">
        <f>0.4*G3</f>
        <v>21725.550000000003</v>
      </c>
      <c r="L3" s="3">
        <f>+K3+J3+I3</f>
        <v>70608.037500000006</v>
      </c>
      <c r="M3" s="3">
        <f>+B3*C3*28*1.2375+22*D3*21</f>
        <v>59043.600000000006</v>
      </c>
      <c r="N3" s="4"/>
    </row>
    <row r="4" spans="1:3621" x14ac:dyDescent="0.3">
      <c r="A4" s="5" t="s">
        <v>17</v>
      </c>
      <c r="B4" s="18">
        <v>1</v>
      </c>
      <c r="C4" s="12">
        <v>870</v>
      </c>
      <c r="D4" s="12">
        <v>10.199999999999999</v>
      </c>
      <c r="E4" s="5">
        <f t="shared" ref="E4:E8" si="0">522.5*3</f>
        <v>1567.5</v>
      </c>
      <c r="F4" s="6">
        <f>C4</f>
        <v>870</v>
      </c>
      <c r="G4" s="5">
        <f t="shared" ref="G4:G8" si="1">+F4*1.2375*28</f>
        <v>30145.5</v>
      </c>
      <c r="H4" s="5">
        <f t="shared" ref="H4:H10" si="2">+G4*0.1</f>
        <v>3014.55</v>
      </c>
      <c r="I4" s="5">
        <f t="shared" ref="I4:I10" si="3">+(G4-H4)*0.6</f>
        <v>16278.57</v>
      </c>
      <c r="J4" s="5">
        <f t="shared" ref="J4:J10" si="4">+(G4-H4)*0.4</f>
        <v>10852.380000000001</v>
      </c>
      <c r="K4" s="6">
        <f t="shared" ref="K4:K10" si="5">0.4*G4</f>
        <v>12058.2</v>
      </c>
      <c r="L4" s="3">
        <f t="shared" ref="L4:L8" si="6">+K4+J4+I4</f>
        <v>39189.15</v>
      </c>
      <c r="M4" s="3">
        <f>+B4*C4*28*1.2375+22*D4*21</f>
        <v>34857.9</v>
      </c>
      <c r="N4" s="4"/>
    </row>
    <row r="5" spans="1:3621" x14ac:dyDescent="0.3">
      <c r="A5" s="5"/>
      <c r="B5" s="12"/>
      <c r="C5" s="12"/>
      <c r="D5" s="12"/>
      <c r="E5" s="5">
        <f t="shared" si="0"/>
        <v>1567.5</v>
      </c>
      <c r="F5" s="6">
        <f t="shared" ref="F5:F8" si="7">+C5*0.9</f>
        <v>0</v>
      </c>
      <c r="G5" s="5">
        <f t="shared" si="1"/>
        <v>0</v>
      </c>
      <c r="H5" s="5">
        <f t="shared" si="2"/>
        <v>0</v>
      </c>
      <c r="I5" s="5">
        <f t="shared" si="3"/>
        <v>0</v>
      </c>
      <c r="J5" s="5">
        <f t="shared" si="4"/>
        <v>0</v>
      </c>
      <c r="K5" s="6">
        <f t="shared" si="5"/>
        <v>0</v>
      </c>
      <c r="L5" s="3">
        <f t="shared" si="6"/>
        <v>0</v>
      </c>
      <c r="M5" s="3">
        <f t="shared" ref="M5:M8" si="8">+B5+C5*28*1.2375+22*D5*21</f>
        <v>0</v>
      </c>
      <c r="N5" s="4"/>
    </row>
    <row r="6" spans="1:3621" x14ac:dyDescent="0.3">
      <c r="A6" s="5"/>
      <c r="B6" s="12"/>
      <c r="C6" s="12"/>
      <c r="D6" s="12"/>
      <c r="E6" s="5">
        <f t="shared" si="0"/>
        <v>1567.5</v>
      </c>
      <c r="F6" s="6">
        <f t="shared" si="7"/>
        <v>0</v>
      </c>
      <c r="G6" s="5">
        <f t="shared" si="1"/>
        <v>0</v>
      </c>
      <c r="H6" s="5">
        <f t="shared" si="2"/>
        <v>0</v>
      </c>
      <c r="I6" s="5">
        <f t="shared" si="3"/>
        <v>0</v>
      </c>
      <c r="J6" s="5">
        <f t="shared" si="4"/>
        <v>0</v>
      </c>
      <c r="K6" s="6">
        <f t="shared" si="5"/>
        <v>0</v>
      </c>
      <c r="L6" s="3">
        <f t="shared" si="6"/>
        <v>0</v>
      </c>
      <c r="M6" s="3">
        <f t="shared" si="8"/>
        <v>0</v>
      </c>
      <c r="N6" s="4"/>
    </row>
    <row r="7" spans="1:3621" x14ac:dyDescent="0.3">
      <c r="A7" s="5"/>
      <c r="B7" s="12"/>
      <c r="C7" s="12"/>
      <c r="D7" s="12"/>
      <c r="E7" s="5">
        <f t="shared" si="0"/>
        <v>1567.5</v>
      </c>
      <c r="F7" s="6">
        <f t="shared" si="7"/>
        <v>0</v>
      </c>
      <c r="G7" s="5">
        <f t="shared" si="1"/>
        <v>0</v>
      </c>
      <c r="H7" s="5">
        <f t="shared" si="2"/>
        <v>0</v>
      </c>
      <c r="I7" s="5">
        <f t="shared" si="3"/>
        <v>0</v>
      </c>
      <c r="J7" s="5">
        <f t="shared" si="4"/>
        <v>0</v>
      </c>
      <c r="K7" s="6">
        <f t="shared" si="5"/>
        <v>0</v>
      </c>
      <c r="L7" s="3">
        <f t="shared" si="6"/>
        <v>0</v>
      </c>
      <c r="M7" s="3">
        <f t="shared" si="8"/>
        <v>0</v>
      </c>
      <c r="N7" s="4"/>
    </row>
    <row r="8" spans="1:3621" x14ac:dyDescent="0.3">
      <c r="A8" s="7"/>
      <c r="B8" s="13"/>
      <c r="C8" s="13"/>
      <c r="D8" s="13"/>
      <c r="E8" s="7">
        <f t="shared" si="0"/>
        <v>1567.5</v>
      </c>
      <c r="F8" s="8">
        <f t="shared" si="7"/>
        <v>0</v>
      </c>
      <c r="G8" s="7">
        <f t="shared" si="1"/>
        <v>0</v>
      </c>
      <c r="H8" s="7">
        <f t="shared" si="2"/>
        <v>0</v>
      </c>
      <c r="I8" s="7">
        <f t="shared" si="3"/>
        <v>0</v>
      </c>
      <c r="J8" s="7">
        <f t="shared" si="4"/>
        <v>0</v>
      </c>
      <c r="K8" s="8">
        <f t="shared" si="5"/>
        <v>0</v>
      </c>
      <c r="L8" s="9">
        <f t="shared" si="6"/>
        <v>0</v>
      </c>
      <c r="M8" s="9">
        <f t="shared" si="8"/>
        <v>0</v>
      </c>
      <c r="N8" s="4"/>
    </row>
    <row r="9" spans="1:3621" s="2" customFormat="1" x14ac:dyDescent="0.3">
      <c r="A9" s="20" t="s">
        <v>15</v>
      </c>
      <c r="B9" s="20"/>
      <c r="C9" s="20"/>
      <c r="D9" s="20"/>
      <c r="E9" s="20"/>
      <c r="F9" s="20"/>
      <c r="G9" s="5">
        <f>SUM(G3:G8)</f>
        <v>84459.375</v>
      </c>
      <c r="H9" s="5">
        <f t="shared" si="2"/>
        <v>8445.9375</v>
      </c>
      <c r="I9" s="5">
        <f t="shared" si="3"/>
        <v>45608.0625</v>
      </c>
      <c r="J9" s="5">
        <f t="shared" si="4"/>
        <v>30405.375</v>
      </c>
      <c r="K9" s="10">
        <f t="shared" si="5"/>
        <v>33783.75</v>
      </c>
      <c r="L9" s="11">
        <f>SUM(L3:L8)</f>
        <v>109797.1875</v>
      </c>
      <c r="M9" s="11">
        <f>SUM(M3:M8)</f>
        <v>93901.5</v>
      </c>
      <c r="N9" s="4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</row>
    <row r="10" spans="1:3621" x14ac:dyDescent="0.3">
      <c r="G10" s="21"/>
      <c r="K10" s="1"/>
      <c r="L10" s="1"/>
      <c r="M10" s="1"/>
      <c r="N10" s="4"/>
    </row>
    <row r="11" spans="1:3621" x14ac:dyDescent="0.3">
      <c r="N11" s="4"/>
    </row>
    <row r="12" spans="1:3621" x14ac:dyDescent="0.3">
      <c r="I12" s="21"/>
      <c r="N12" s="4"/>
    </row>
    <row r="13" spans="1:3621" x14ac:dyDescent="0.3">
      <c r="I13" s="21"/>
      <c r="N13" s="4"/>
    </row>
    <row r="14" spans="1:3621" x14ac:dyDescent="0.3">
      <c r="I14" s="21"/>
    </row>
  </sheetData>
  <mergeCells count="3">
    <mergeCell ref="A1:F1"/>
    <mergeCell ref="G1:J1"/>
    <mergeCell ref="A9:F9"/>
  </mergeCells>
  <printOptions horizontalCentered="1" verticalCentered="1"/>
  <pageMargins left="0" right="0" top="0" bottom="0" header="0" footer="0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Pereira</dc:creator>
  <cp:lastModifiedBy>Luis Miguel Pereira</cp:lastModifiedBy>
  <cp:lastPrinted>2025-07-31T09:55:27Z</cp:lastPrinted>
  <dcterms:created xsi:type="dcterms:W3CDTF">2025-07-03T11:16:33Z</dcterms:created>
  <dcterms:modified xsi:type="dcterms:W3CDTF">2025-07-31T09:56:08Z</dcterms:modified>
</cp:coreProperties>
</file>