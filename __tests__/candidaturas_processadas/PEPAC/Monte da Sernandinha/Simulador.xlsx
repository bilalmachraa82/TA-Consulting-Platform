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setores" sheetId="1" r:id="rId4"/>
    <sheet state="visible" name="Agroindustria" sheetId="2" r:id="rId5"/>
  </sheets>
  <definedNames/>
  <calcPr/>
  <extLst>
    <ext uri="GoogleSheetsCustomDataVersion2">
      <go:sheetsCustomData xmlns:go="http://customooxmlschemas.google.com/" r:id="rId6" roundtripDataChecksum="BeB9+RbdJ02GeWChrAvQmJH4QQB5Fw0FlNIqAUANO1U="/>
    </ext>
  </extLst>
</workbook>
</file>

<file path=xl/sharedStrings.xml><?xml version="1.0" encoding="utf-8"?>
<sst xmlns="http://schemas.openxmlformats.org/spreadsheetml/2006/main" count="43" uniqueCount="37">
  <si>
    <t>MULTISSETORES</t>
  </si>
  <si>
    <t>VGO = 0,15 A + 0,20 B + 0,25 C + 0,20 D + 0,20 E</t>
  </si>
  <si>
    <t>Cirtério</t>
  </si>
  <si>
    <t>Pontuação</t>
  </si>
  <si>
    <t>%</t>
  </si>
  <si>
    <t>TOTAL</t>
  </si>
  <si>
    <t>OBS</t>
  </si>
  <si>
    <t>A. Risco</t>
  </si>
  <si>
    <t>seguro de colheitas e Inv gestão de risco</t>
  </si>
  <si>
    <t>B. Dimensão do investimento</t>
  </si>
  <si>
    <t>Valor do investimento</t>
  </si>
  <si>
    <t>Se inferior a 500 K</t>
  </si>
  <si>
    <t>C. Organização da produção</t>
  </si>
  <si>
    <t>OP, AP multiprodutos, reconhecidos no setor do investimento</t>
  </si>
  <si>
    <t>D. Soluções Digitais</t>
  </si>
  <si>
    <t>Inv em soluções digitais.</t>
  </si>
  <si>
    <t>E. Modo de Produção</t>
  </si>
  <si>
    <t>MPB, PI, DOP, IGP outro</t>
  </si>
  <si>
    <t>TOTAIS</t>
  </si>
  <si>
    <t>AGRO INDÚSTRIA</t>
  </si>
  <si>
    <t>VGO = 0,15 A + 0,10 B + 0,20 C + 0,10 D + 0,20 E + 0,10 F + 0,15 G</t>
  </si>
  <si>
    <t>A. Investimento em energias renováveis</t>
  </si>
  <si>
    <t>Apresenta inv energias renováveis</t>
  </si>
  <si>
    <t>B. Organização da Produção</t>
  </si>
  <si>
    <t>OP, AP multiprodutos, reconhecidos no setor do investimento no ano anterior ao da submissão cand</t>
  </si>
  <si>
    <t>C. Rentabilidade</t>
  </si>
  <si>
    <t>Se TIR maior + 1,5% que a taxa de refinanciamento do Banco Central Europeu (REFI), à data de abertura do aviso.</t>
  </si>
  <si>
    <t>D. Certificações de qualidade</t>
  </si>
  <si>
    <t>Certificações ISO ou outras</t>
  </si>
  <si>
    <t>E. Criação de Empregos</t>
  </si>
  <si>
    <t>Criação líquida de emprego</t>
  </si>
  <si>
    <t>Se criar 3 postos</t>
  </si>
  <si>
    <t>F. Dimensão do investimento</t>
  </si>
  <si>
    <t>Investimento total da candidatura</t>
  </si>
  <si>
    <t>Se investimento &lt; 1000000euros</t>
  </si>
  <si>
    <t>G. Utilização e valorização de subprodutos no processo produtivo</t>
  </si>
  <si>
    <t>Investimentos que permitem a utilização e valorização de subprodutos.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</si>
</sst>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0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Calibri"/>
    </font>
    <font>
      <b/>
      <sz val="11.0"/>
      <color rgb="FF000000"/>
      <name val="Aptos Narrow"/>
    </font>
    <font>
      <sz val="10.0"/>
      <color theme="1"/>
      <name val="Times New Roman"/>
    </font>
    <font>
      <b/>
      <sz val="11.0"/>
      <color rgb="FFFFFFFF"/>
      <name val="Aptos Narrow"/>
    </font>
    <font>
      <sz val="11.0"/>
      <color rgb="FF000000"/>
      <name val="Aptos Narrow"/>
    </font>
    <font>
      <b/>
      <sz val="12.0"/>
      <color rgb="FF00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12501B"/>
        <bgColor rgb="FF12501B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12501A"/>
        <bgColor rgb="FF12501A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/>
    </xf>
    <xf borderId="7" fillId="4" fontId="4" numFmtId="0" xfId="0" applyBorder="1" applyFill="1" applyFont="1"/>
    <xf borderId="7" fillId="0" fontId="5" numFmtId="0" xfId="0" applyAlignment="1" applyBorder="1" applyFont="1">
      <alignment horizontal="center" readingOrder="0"/>
    </xf>
    <xf borderId="7" fillId="5" fontId="4" numFmtId="0" xfId="0" applyAlignment="1" applyBorder="1" applyFill="1" applyFont="1">
      <alignment horizontal="center"/>
    </xf>
    <xf borderId="7" fillId="4" fontId="5" numFmtId="0" xfId="0" applyAlignment="1" applyBorder="1" applyFont="1">
      <alignment readingOrder="0"/>
    </xf>
    <xf borderId="0" fillId="0" fontId="6" numFmtId="0" xfId="0" applyFont="1"/>
    <xf borderId="7" fillId="0" fontId="4" numFmtId="0" xfId="0" applyAlignment="1" applyBorder="1" applyFont="1">
      <alignment horizontal="center"/>
    </xf>
    <xf borderId="7" fillId="6" fontId="4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7" fillId="5" fontId="1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0" fillId="0" fontId="1" numFmtId="0" xfId="0" applyFont="1"/>
    <xf borderId="0" fillId="0" fontId="8" numFmtId="0" xfId="0" applyAlignment="1" applyFont="1">
      <alignment vertical="center"/>
    </xf>
    <xf borderId="10" fillId="0" fontId="9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1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11" fillId="7" fontId="11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3" fontId="9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horizontal="center" shrinkToFit="0" vertical="center" wrapText="1"/>
    </xf>
    <xf borderId="16" fillId="4" fontId="12" numFmtId="0" xfId="0" applyAlignment="1" applyBorder="1" applyFont="1">
      <alignment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7" fillId="5" fontId="12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17" fillId="5" fontId="9" numFmtId="0" xfId="0" applyAlignment="1" applyBorder="1" applyFont="1">
      <alignment horizontal="center" shrinkToFit="0" vertical="center" wrapText="1"/>
    </xf>
    <xf borderId="18" fillId="3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4.0"/>
    <col customWidth="1" min="3" max="3" width="11.5"/>
    <col customWidth="1" min="4" max="5" width="8.63"/>
    <col customWidth="1" min="6" max="6" width="50.63"/>
    <col customWidth="1" min="7" max="8" width="8.63"/>
    <col customWidth="1" min="9" max="9" width="12.25"/>
    <col customWidth="1" min="10" max="26" width="8.63"/>
  </cols>
  <sheetData>
    <row r="1" ht="14.25" customHeight="1"/>
    <row r="2" ht="14.25" customHeight="1">
      <c r="B2" s="1" t="s">
        <v>0</v>
      </c>
      <c r="C2" s="2"/>
      <c r="D2" s="2"/>
      <c r="E2" s="2"/>
      <c r="F2" s="2"/>
    </row>
    <row r="3" ht="14.25" customHeight="1">
      <c r="B3" s="3" t="s">
        <v>1</v>
      </c>
      <c r="C3" s="4"/>
      <c r="D3" s="4"/>
      <c r="E3" s="4"/>
      <c r="F3" s="5"/>
    </row>
    <row r="4" ht="14.25" customHeight="1">
      <c r="B4" s="6"/>
      <c r="C4" s="2"/>
      <c r="D4" s="2"/>
      <c r="E4" s="2"/>
      <c r="F4" s="7"/>
    </row>
    <row r="5" ht="14.25" customHeight="1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</row>
    <row r="6" ht="14.25" customHeight="1">
      <c r="B6" s="9" t="s">
        <v>7</v>
      </c>
      <c r="C6" s="10">
        <v>0.0</v>
      </c>
      <c r="D6" s="11">
        <v>0.15</v>
      </c>
      <c r="E6" s="11">
        <f t="shared" ref="E6:E10" si="1">C6*D6</f>
        <v>0</v>
      </c>
      <c r="F6" s="12" t="s">
        <v>8</v>
      </c>
    </row>
    <row r="7" ht="14.25" customHeight="1">
      <c r="B7" s="9" t="s">
        <v>9</v>
      </c>
      <c r="C7" s="10">
        <v>20.0</v>
      </c>
      <c r="D7" s="11">
        <v>0.2</v>
      </c>
      <c r="E7" s="11">
        <f t="shared" si="1"/>
        <v>4</v>
      </c>
      <c r="F7" s="9" t="s">
        <v>10</v>
      </c>
      <c r="G7" s="13" t="s">
        <v>11</v>
      </c>
    </row>
    <row r="8" ht="14.25" customHeight="1">
      <c r="B8" s="9" t="s">
        <v>12</v>
      </c>
      <c r="C8" s="14"/>
      <c r="D8" s="11">
        <v>0.25</v>
      </c>
      <c r="E8" s="11">
        <f t="shared" si="1"/>
        <v>0</v>
      </c>
      <c r="F8" s="9" t="s">
        <v>13</v>
      </c>
    </row>
    <row r="9" ht="14.25" customHeight="1">
      <c r="B9" s="9" t="s">
        <v>14</v>
      </c>
      <c r="C9" s="14">
        <v>20.0</v>
      </c>
      <c r="D9" s="11">
        <v>0.2</v>
      </c>
      <c r="E9" s="11">
        <f t="shared" si="1"/>
        <v>4</v>
      </c>
      <c r="F9" s="9" t="s">
        <v>15</v>
      </c>
    </row>
    <row r="10" ht="14.25" customHeight="1">
      <c r="B10" s="9" t="s">
        <v>16</v>
      </c>
      <c r="C10" s="15"/>
      <c r="D10" s="11">
        <v>0.2</v>
      </c>
      <c r="E10" s="11">
        <f t="shared" si="1"/>
        <v>0</v>
      </c>
      <c r="F10" s="9" t="s">
        <v>17</v>
      </c>
    </row>
    <row r="11" ht="14.25" customHeight="1">
      <c r="B11" s="16" t="s">
        <v>18</v>
      </c>
      <c r="C11" s="17"/>
      <c r="D11" s="18">
        <f t="shared" ref="D11:E11" si="2">SUM(D6:D10)</f>
        <v>1</v>
      </c>
      <c r="E11" s="19">
        <f t="shared" si="2"/>
        <v>8</v>
      </c>
      <c r="F11" s="17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I17" s="20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F2"/>
    <mergeCell ref="B3:F4"/>
    <mergeCell ref="B11:C11"/>
    <mergeCell ref="E11:F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9.5"/>
    <col customWidth="1" min="3" max="3" width="12.25"/>
    <col customWidth="1" min="4" max="5" width="9.38"/>
    <col customWidth="1" min="6" max="6" width="52.13"/>
    <col customWidth="1" min="7" max="7" width="8.63"/>
    <col customWidth="1" min="8" max="8" width="16.25"/>
    <col customWidth="1" min="9" max="26" width="8.63"/>
  </cols>
  <sheetData>
    <row r="1" ht="14.25" customHeight="1"/>
    <row r="2" ht="14.25" customHeight="1"/>
    <row r="3" ht="14.25" customHeight="1">
      <c r="B3" s="21"/>
    </row>
    <row r="4" ht="14.25" customHeight="1">
      <c r="B4" s="22" t="s">
        <v>19</v>
      </c>
      <c r="C4" s="23"/>
      <c r="D4" s="23"/>
      <c r="E4" s="23"/>
      <c r="F4" s="23"/>
      <c r="G4" s="24"/>
      <c r="H4" s="25"/>
    </row>
    <row r="5" ht="14.25" customHeight="1">
      <c r="B5" s="26" t="s">
        <v>20</v>
      </c>
      <c r="C5" s="27"/>
      <c r="D5" s="27"/>
      <c r="E5" s="27"/>
      <c r="F5" s="28"/>
      <c r="G5" s="24"/>
      <c r="H5" s="25"/>
    </row>
    <row r="6" ht="14.25" customHeight="1">
      <c r="B6" s="29"/>
      <c r="C6" s="23"/>
      <c r="D6" s="23"/>
      <c r="E6" s="23"/>
      <c r="F6" s="30"/>
      <c r="G6" s="24"/>
      <c r="H6" s="24"/>
    </row>
    <row r="7" ht="14.25" customHeight="1">
      <c r="B7" s="31" t="s">
        <v>2</v>
      </c>
      <c r="C7" s="32" t="s">
        <v>3</v>
      </c>
      <c r="D7" s="32" t="s">
        <v>4</v>
      </c>
      <c r="E7" s="32" t="s">
        <v>5</v>
      </c>
      <c r="F7" s="32" t="s">
        <v>6</v>
      </c>
      <c r="G7" s="24"/>
      <c r="H7" s="24"/>
    </row>
    <row r="8" ht="14.25" customHeight="1">
      <c r="B8" s="33" t="s">
        <v>21</v>
      </c>
      <c r="C8" s="34">
        <v>20.0</v>
      </c>
      <c r="D8" s="35">
        <v>0.15</v>
      </c>
      <c r="E8" s="35">
        <f t="shared" ref="E8:E14" si="1">+D8*C8</f>
        <v>3</v>
      </c>
      <c r="F8" s="36" t="s">
        <v>22</v>
      </c>
      <c r="G8" s="24">
        <f t="shared" ref="G8:G14" si="2">+D8*C8</f>
        <v>3</v>
      </c>
      <c r="H8" s="24"/>
    </row>
    <row r="9" ht="14.25" customHeight="1">
      <c r="B9" s="33" t="s">
        <v>23</v>
      </c>
      <c r="C9" s="34">
        <v>0.0</v>
      </c>
      <c r="D9" s="35">
        <v>0.1</v>
      </c>
      <c r="E9" s="35">
        <f t="shared" si="1"/>
        <v>0</v>
      </c>
      <c r="F9" s="36" t="s">
        <v>24</v>
      </c>
      <c r="G9" s="24">
        <f t="shared" si="2"/>
        <v>0</v>
      </c>
      <c r="H9" s="24"/>
    </row>
    <row r="10" ht="14.25" customHeight="1">
      <c r="B10" s="33" t="s">
        <v>25</v>
      </c>
      <c r="C10" s="34">
        <v>20.0</v>
      </c>
      <c r="D10" s="35">
        <v>0.2</v>
      </c>
      <c r="E10" s="35">
        <f t="shared" si="1"/>
        <v>4</v>
      </c>
      <c r="F10" s="36" t="s">
        <v>26</v>
      </c>
      <c r="G10" s="24">
        <f t="shared" si="2"/>
        <v>4</v>
      </c>
      <c r="H10" s="24"/>
    </row>
    <row r="11" ht="14.25" customHeight="1">
      <c r="B11" s="33" t="s">
        <v>27</v>
      </c>
      <c r="C11" s="34">
        <v>0.0</v>
      </c>
      <c r="D11" s="35">
        <v>0.1</v>
      </c>
      <c r="E11" s="35">
        <f t="shared" si="1"/>
        <v>0</v>
      </c>
      <c r="F11" s="36" t="s">
        <v>28</v>
      </c>
      <c r="G11" s="24">
        <f t="shared" si="2"/>
        <v>0</v>
      </c>
      <c r="H11" s="24"/>
    </row>
    <row r="12" ht="14.25" customHeight="1">
      <c r="B12" s="33" t="s">
        <v>29</v>
      </c>
      <c r="C12" s="34">
        <v>20.0</v>
      </c>
      <c r="D12" s="35">
        <v>0.2</v>
      </c>
      <c r="E12" s="35">
        <f t="shared" si="1"/>
        <v>4</v>
      </c>
      <c r="F12" s="36" t="s">
        <v>30</v>
      </c>
      <c r="G12" s="24">
        <f t="shared" si="2"/>
        <v>4</v>
      </c>
      <c r="H12" s="24" t="s">
        <v>31</v>
      </c>
    </row>
    <row r="13" ht="14.25" customHeight="1">
      <c r="B13" s="33" t="s">
        <v>32</v>
      </c>
      <c r="C13" s="34">
        <v>20.0</v>
      </c>
      <c r="D13" s="35">
        <v>0.1</v>
      </c>
      <c r="E13" s="35">
        <f t="shared" si="1"/>
        <v>2</v>
      </c>
      <c r="F13" s="36" t="s">
        <v>33</v>
      </c>
      <c r="G13" s="24">
        <f t="shared" si="2"/>
        <v>2</v>
      </c>
      <c r="H13" s="24" t="s">
        <v>34</v>
      </c>
    </row>
    <row r="14" ht="14.25" customHeight="1">
      <c r="B14" s="33" t="s">
        <v>35</v>
      </c>
      <c r="C14" s="34">
        <v>0.0</v>
      </c>
      <c r="D14" s="35">
        <v>0.15</v>
      </c>
      <c r="E14" s="35">
        <f t="shared" si="1"/>
        <v>0</v>
      </c>
      <c r="F14" s="36" t="s">
        <v>36</v>
      </c>
      <c r="G14" s="24">
        <f t="shared" si="2"/>
        <v>0</v>
      </c>
      <c r="H14" s="24"/>
    </row>
    <row r="15" ht="14.25" customHeight="1">
      <c r="B15" s="37" t="s">
        <v>18</v>
      </c>
      <c r="C15" s="38"/>
      <c r="D15" s="39">
        <v>1.0</v>
      </c>
      <c r="E15" s="40">
        <f>SUM(E8:E14)</f>
        <v>13</v>
      </c>
      <c r="F15" s="38"/>
      <c r="G15" s="24">
        <f>SUM(G8:G14)</f>
        <v>13</v>
      </c>
      <c r="H15" s="2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4:F4"/>
    <mergeCell ref="B5:F6"/>
    <mergeCell ref="B15:C15"/>
    <mergeCell ref="E15:F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2025-12-05T15:53:25Z</dcterms:created>
  <dc:creator>Joana Santos</dc:creator>
</cp:coreProperties>
</file>